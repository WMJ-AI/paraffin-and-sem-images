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导管母表_860" sheetId="2" state="visible" r:id="rId2"/>
    <sheet name="候选导管审计" sheetId="3" state="visible" r:id="rId3"/>
    <sheet name="视野统计" sheetId="4" state="visible" r:id="rId4"/>
    <sheet name="导管对_CWR_112" sheetId="5" state="visible" r:id="rId5"/>
    <sheet name="TVW线测量明细" sheetId="6" state="visible" r:id="rId6"/>
    <sheet name="Sheet1 统计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扫描电镜指标汇总（通用规则自动管线，格式同 Wand 模板）</t>
        </is>
      </c>
    </row>
    <row r="2">
      <c r="A2" t="inlineStr">
        <is>
          <t>A/D/Dh：860个全部合格导管；CWR：112个唯一相贴导管对；224个CWR1/2只作侧别追溯，不视为独立重复。跨样品41–63（共23个）合并母表；Sheet1按样品分行。</t>
        </is>
      </c>
    </row>
    <row r="4">
      <c r="A4" t="inlineStr">
        <is>
          <t>统计层级</t>
        </is>
      </c>
      <c r="B4" t="inlineStr">
        <is>
          <t>数值</t>
        </is>
      </c>
      <c r="C4" t="inlineStr">
        <is>
          <t>单位</t>
        </is>
      </c>
      <c r="D4" t="inlineStr">
        <is>
          <t>解释</t>
        </is>
      </c>
    </row>
    <row r="5">
      <c r="A5" t="inlineStr">
        <is>
          <t>n_vessel</t>
        </is>
      </c>
      <c r="B5">
        <f>COUNTA(导管母表_860!C2:C861)</f>
        <v/>
      </c>
      <c r="C5" t="inlineStr">
        <is>
          <t>个导管</t>
        </is>
      </c>
      <c r="D5" t="inlineStr">
        <is>
          <t>A/D/Dh技术观测</t>
        </is>
      </c>
    </row>
    <row r="6">
      <c r="A6" t="inlineStr">
        <is>
          <t>n_pair</t>
        </is>
      </c>
      <c r="B6">
        <f>COUNTA(导管对_CWR_112!A2:A113)</f>
        <v/>
      </c>
      <c r="C6" t="inlineStr">
        <is>
          <t>个导管对</t>
        </is>
      </c>
      <c r="D6" t="inlineStr">
        <is>
          <t>CWR主统计单位</t>
        </is>
      </c>
    </row>
    <row r="7">
      <c r="A7" t="inlineStr">
        <is>
          <t>n_component</t>
        </is>
      </c>
      <c r="B7">
        <f>2*B6</f>
        <v/>
      </c>
      <c r="C7" t="inlineStr">
        <is>
          <t>个侧别分量</t>
        </is>
      </c>
      <c r="D7" t="inlineStr">
        <is>
          <t>CWR1/2，仅追溯；非独立</t>
        </is>
      </c>
    </row>
    <row r="8">
      <c r="A8" t="inlineStr">
        <is>
          <t>n_line</t>
        </is>
      </c>
      <c r="B8">
        <f>COUNT(TVW线测量明细!J2:J224)</f>
        <v/>
      </c>
      <c r="C8" t="inlineStr">
        <is>
          <t>条线</t>
        </is>
      </c>
      <c r="D8" t="inlineStr">
        <is>
          <t>壁内技术测量</t>
        </is>
      </c>
    </row>
    <row r="9">
      <c r="A9" t="inlineStr">
        <is>
          <t>n_bio</t>
        </is>
      </c>
      <c r="B9" t="inlineStr">
        <is>
          <t>23</t>
        </is>
      </c>
      <c r="C9" t="inlineStr">
        <is>
          <t>个样品</t>
        </is>
      </c>
      <c r="D9" t="inlineStr">
        <is>
          <t>Sheet1每行一个样品生物学单位</t>
        </is>
      </c>
    </row>
    <row r="11">
      <c r="A11" t="inlineStr">
        <is>
          <t>统计量</t>
        </is>
      </c>
      <c r="B11" t="inlineStr">
        <is>
          <t>Ai (μm²)</t>
        </is>
      </c>
      <c r="C11" t="inlineStr">
        <is>
          <t>Di (μm)</t>
        </is>
      </c>
      <c r="D11" t="inlineStr">
        <is>
          <t>TVW_pair (μm)</t>
        </is>
      </c>
      <c r="E11" t="inlineStr">
        <is>
          <t>CWR_pair</t>
        </is>
      </c>
      <c r="F11" t="inlineStr">
        <is>
          <t>层级说明</t>
        </is>
      </c>
    </row>
    <row r="12">
      <c r="A12" t="inlineStr">
        <is>
          <t>n</t>
        </is>
      </c>
      <c r="B12">
        <f>COUNT(导管母表_860!F2:F861)</f>
        <v/>
      </c>
      <c r="C12">
        <f>COUNT(导管母表_860!G2:G861)</f>
        <v/>
      </c>
      <c r="D12">
        <f>COUNT(导管对_CWR_112!K2:K113)</f>
        <v/>
      </c>
      <c r="E12">
        <f>COUNT(导管对_CWR_112!S2:S113)</f>
        <v/>
      </c>
      <c r="F12" t="inlineStr">
        <is>
          <t>导管/导管对</t>
        </is>
      </c>
    </row>
    <row r="13">
      <c r="A13" t="inlineStr">
        <is>
          <t>均值</t>
        </is>
      </c>
      <c r="B13">
        <f>AVERAGE(导管母表_860!F2:F861)</f>
        <v/>
      </c>
      <c r="C13">
        <f>AVERAGE(导管母表_860!G2:G861)</f>
        <v/>
      </c>
      <c r="D13">
        <f>AVERAGE(导管对_CWR_112!K2:K113)</f>
        <v/>
      </c>
      <c r="E13">
        <f>AVERAGE(导管对_CWR_112!S2:S113)</f>
        <v/>
      </c>
      <c r="F13" t="inlineStr">
        <is>
          <t>CWR为pair均值</t>
        </is>
      </c>
    </row>
    <row r="14">
      <c r="A14" t="inlineStr">
        <is>
          <t>SD</t>
        </is>
      </c>
      <c r="B14">
        <f>STDEV(导管母表_860!F2:F861)</f>
        <v/>
      </c>
      <c r="C14">
        <f>STDEV(导管母表_860!G2:G861)</f>
        <v/>
      </c>
      <c r="D14">
        <f>STDEV(导管对_CWR_112!K2:K113)</f>
        <v/>
      </c>
      <c r="E14">
        <f>STDEV(导管对_CWR_112!S2:S113)</f>
        <v/>
      </c>
      <c r="F14" t="inlineStr">
        <is>
          <t>技术变异</t>
        </is>
      </c>
    </row>
    <row r="15">
      <c r="A15" t="inlineStr">
        <is>
          <t>中位数</t>
        </is>
      </c>
      <c r="B15">
        <f>MEDIAN(导管母表_860!F2:F861)</f>
        <v/>
      </c>
      <c r="C15">
        <f>MEDIAN(导管母表_860!G2:G861)</f>
        <v/>
      </c>
      <c r="D15">
        <f>MEDIAN(导管对_CWR_112!K2:K113)</f>
        <v/>
      </c>
      <c r="E15">
        <f>MEDIAN(导管对_CWR_112!S2:S113)</f>
        <v/>
      </c>
      <c r="F15" t="inlineStr">
        <is>
          <t>稳健位置统计</t>
        </is>
      </c>
    </row>
    <row r="16">
      <c r="A16" t="inlineStr">
        <is>
          <t>Q1</t>
        </is>
      </c>
      <c r="B16">
        <f>QUARTILE(导管母表_860!F2:F861,1)</f>
        <v/>
      </c>
      <c r="C16">
        <f>QUARTILE(导管母表_860!G2:G861,1)</f>
        <v/>
      </c>
      <c r="D16">
        <f>QUARTILE(导管对_CWR_112!K2:K113,1)</f>
        <v/>
      </c>
      <c r="E16">
        <f>QUARTILE(导管对_CWR_112!S2:S113,1)</f>
        <v/>
      </c>
      <c r="F16" t="inlineStr">
        <is>
          <t>25%分位</t>
        </is>
      </c>
    </row>
    <row r="17">
      <c r="A17" t="inlineStr">
        <is>
          <t>Q3</t>
        </is>
      </c>
      <c r="B17">
        <f>QUARTILE(导管母表_860!F2:F861,3)</f>
        <v/>
      </c>
      <c r="C17">
        <f>QUARTILE(导管母表_860!G2:G861,3)</f>
        <v/>
      </c>
      <c r="D17">
        <f>QUARTILE(导管对_CWR_112!K2:K113,3)</f>
        <v/>
      </c>
      <c r="E17">
        <f>QUARTILE(导管对_CWR_112!S2:S113,3)</f>
        <v/>
      </c>
      <c r="F17" t="inlineStr">
        <is>
          <t>75%分位</t>
        </is>
      </c>
    </row>
    <row r="18">
      <c r="A18" t="inlineStr">
        <is>
          <t>最小</t>
        </is>
      </c>
      <c r="B18">
        <f>MIN(导管母表_860!F2:F861)</f>
        <v/>
      </c>
      <c r="C18">
        <f>MIN(导管母表_860!G2:G861)</f>
        <v/>
      </c>
      <c r="D18">
        <f>MIN(导管对_CWR_112!K2:K113)</f>
        <v/>
      </c>
      <c r="E18">
        <f>MIN(导管对_CWR_112!S2:S113)</f>
        <v/>
      </c>
    </row>
    <row r="19">
      <c r="A19" t="inlineStr">
        <is>
          <t>最大</t>
        </is>
      </c>
      <c r="B19">
        <f>MAX(导管母表_860!F2:F861)</f>
        <v/>
      </c>
      <c r="C19">
        <f>MAX(导管母表_860!G2:G861)</f>
        <v/>
      </c>
      <c r="D19">
        <f>MAX(导管对_CWR_112!K2:K113)</f>
        <v/>
      </c>
      <c r="E19">
        <f>MAX(导管对_CWR_112!S2:S113)</f>
        <v/>
      </c>
    </row>
    <row r="20">
      <c r="A20" t="inlineStr">
        <is>
          <t>CV (%)</t>
        </is>
      </c>
      <c r="B20">
        <f>B14/B13*100</f>
        <v/>
      </c>
      <c r="C20">
        <f>C14/C13*100</f>
        <v/>
      </c>
      <c r="D20">
        <f>D14/D13*100</f>
        <v/>
      </c>
      <c r="E20">
        <f>E14/E13*100</f>
        <v/>
      </c>
      <c r="F20" t="inlineStr">
        <is>
          <t>SD/均值×100</t>
        </is>
      </c>
    </row>
    <row r="22">
      <c r="A22" t="inlineStr">
        <is>
          <t>一致性/水力指标</t>
        </is>
      </c>
      <c r="B22" t="inlineStr">
        <is>
          <t>结果</t>
        </is>
      </c>
      <c r="C22" t="inlineStr">
        <is>
          <t>单位</t>
        </is>
      </c>
      <c r="D22" t="inlineStr">
        <is>
          <t>公式或说明</t>
        </is>
      </c>
    </row>
    <row r="23">
      <c r="A23" t="inlineStr">
        <is>
          <t>侧别分量算术均值</t>
        </is>
      </c>
      <c r="B23">
        <f>(SUM(导管对_CWR_112!Q2:Q113)+SUM(导管对_CWR_112!R2:R113))/(2*B6)</f>
        <v/>
      </c>
      <c r="C23" t="inlineStr">
        <is>
          <t>无量纲</t>
        </is>
      </c>
      <c r="D23" t="inlineStr">
        <is>
          <t>应与CWR_pair均值一致；统计n仍为n_pair</t>
        </is>
      </c>
    </row>
    <row r="24">
      <c r="A24" t="inlineStr">
        <is>
          <t>CWR层级一致性误差</t>
        </is>
      </c>
      <c r="B24">
        <f>ABS(B23-E13)</f>
        <v/>
      </c>
      <c r="C24" t="inlineStr">
        <is>
          <t>无量纲</t>
        </is>
      </c>
      <c r="D24" t="inlineStr">
        <is>
          <t>应为0（浮点容差内）</t>
        </is>
      </c>
    </row>
    <row r="25">
      <c r="A25" t="inlineStr">
        <is>
          <t>Dh（全库合并，仅参考）</t>
        </is>
      </c>
      <c r="B25">
        <f>SUMPRODUCT(导管母表_860!G2:G861^5)/SUMPRODUCT(导管母表_860!G2:G861^4)</f>
        <v/>
      </c>
      <c r="C25" t="inlineStr">
        <is>
          <t>μm</t>
        </is>
      </c>
      <c r="D25" t="inlineStr">
        <is>
          <t>ΣDi⁵/ΣDi⁴；正式按样品见Sheet1</t>
        </is>
      </c>
    </row>
    <row r="27">
      <c r="A27" t="inlineStr">
        <is>
          <t>CWR方案</t>
        </is>
      </c>
      <c r="B27" t="inlineStr">
        <is>
          <t>CWR均值</t>
        </is>
      </c>
      <c r="C27" t="inlineStr">
        <is>
          <t>与主值差异 (%)</t>
        </is>
      </c>
      <c r="D27" t="inlineStr">
        <is>
          <t>用途</t>
        </is>
      </c>
    </row>
    <row r="28">
      <c r="A28" t="inlineStr">
        <is>
          <t>优化主值：TVW壁内均值(3–5线)</t>
        </is>
      </c>
      <c r="B28">
        <f>AVERAGE(导管对_CWR_112!S2:S113)</f>
        <v/>
      </c>
      <c r="C28" t="n">
        <v>0</v>
      </c>
      <c r="D28" t="inlineStr">
        <is>
          <t>主结果</t>
        </is>
      </c>
    </row>
    <row r="29">
      <c r="A29" t="inlineStr">
        <is>
          <t>优化敏感性：TVW壁内中位数</t>
        </is>
      </c>
      <c r="B29">
        <f>AVERAGE(导管对_CWR_112!V2:V113)</f>
        <v/>
      </c>
      <c r="C29">
        <f>B29/B28*100-100</f>
        <v/>
      </c>
      <c r="D29" t="inlineStr">
        <is>
          <t>评估壁内汇总函数</t>
        </is>
      </c>
    </row>
    <row r="30">
      <c r="A30" t="inlineStr">
        <is>
          <t>旧单线法</t>
        </is>
      </c>
      <c r="B30">
        <f>AVERAGE(导管对_CWR_112!T2:T113)</f>
        <v/>
      </c>
      <c r="C30">
        <f>B30/B28*100-100</f>
        <v/>
      </c>
      <c r="D30" t="inlineStr">
        <is>
          <t>评估单线选择影响</t>
        </is>
      </c>
    </row>
    <row r="31">
      <c r="A31" t="inlineStr">
        <is>
          <t>Dtarget版本</t>
        </is>
      </c>
      <c r="B31">
        <f>AVERAGE(导管对_CWR_112!X2:X113)</f>
        <v/>
      </c>
      <c r="C31">
        <f>B31/B28*100-100</f>
        <v/>
      </c>
      <c r="D31" t="inlineStr">
        <is>
          <t>仅方法敏感性；非主公式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图像文件</t>
        </is>
      </c>
      <c r="C1" t="inlineStr">
        <is>
          <t>ROI编号</t>
        </is>
      </c>
      <c r="D1" t="inlineStr">
        <is>
          <t>导管序号</t>
        </is>
      </c>
      <c r="E1" t="inlineStr">
        <is>
          <t>状态</t>
        </is>
      </c>
      <c r="F1" t="inlineStr">
        <is>
          <t>Ai (μm²)</t>
        </is>
      </c>
      <c r="G1" t="inlineStr">
        <is>
          <t>Di=2√(Ai/π) (μm)</t>
        </is>
      </c>
      <c r="H1" t="inlineStr">
        <is>
          <t>周长 (μm)</t>
        </is>
      </c>
      <c r="I1" t="inlineStr">
        <is>
          <t>中心X (px)</t>
        </is>
      </c>
      <c r="J1" t="inlineStr">
        <is>
          <t>中心Y (px)</t>
        </is>
      </c>
      <c r="K1" t="inlineStr">
        <is>
          <t>Ai敏感性下限</t>
        </is>
      </c>
      <c r="L1" t="inlineStr">
        <is>
          <t>Ai敏感性上限</t>
        </is>
      </c>
      <c r="M1" t="inlineStr">
        <is>
          <t>Di敏感性下限</t>
        </is>
      </c>
      <c r="N1" t="inlineStr">
        <is>
          <t>Di敏感性上限</t>
        </is>
      </c>
      <c r="O1" t="inlineStr">
        <is>
          <t>Pair_ID（若用于CWR）</t>
        </is>
      </c>
      <c r="P1" t="inlineStr">
        <is>
          <t>用于A/D/Dh</t>
        </is>
      </c>
      <c r="Q1" t="inlineStr">
        <is>
          <t>来源/质控</t>
        </is>
      </c>
      <c r="R1" t="inlineStr">
        <is>
          <t>样品</t>
        </is>
      </c>
    </row>
    <row r="2">
      <c r="A2" t="n">
        <v>1</v>
      </c>
      <c r="B2" t="inlineStr">
        <is>
          <t>41 (1).tif</t>
        </is>
      </c>
      <c r="C2" t="inlineStr">
        <is>
          <t>41(1)-V01</t>
        </is>
      </c>
      <c r="D2" t="n">
        <v>1</v>
      </c>
      <c r="E2" t="inlineStr">
        <is>
          <t>primary</t>
        </is>
      </c>
      <c r="F2" t="n">
        <v>1226.441398865785</v>
      </c>
      <c r="G2">
        <f>2*SQRT(F2/PI())</f>
        <v/>
      </c>
      <c r="H2" t="n">
        <v>131.3910992508349</v>
      </c>
      <c r="I2" t="n">
        <v>437</v>
      </c>
      <c r="J2" t="n">
        <v>334</v>
      </c>
      <c r="K2" t="n">
        <v>1201.912570888469</v>
      </c>
      <c r="L2" t="n">
        <v>1250.9702268431</v>
      </c>
      <c r="M2">
        <f>2*SQRT(K2/PI())</f>
        <v/>
      </c>
      <c r="N2">
        <f>2*SQRT(L2/PI())</f>
        <v/>
      </c>
      <c r="O2" t="inlineStr">
        <is>
          <t>41(1)-P01</t>
        </is>
      </c>
      <c r="P2" t="inlineStr">
        <is>
          <t>是</t>
        </is>
      </c>
      <c r="Q2" t="inlineStr">
        <is>
          <t>auto_pipeline;review_png_green</t>
        </is>
      </c>
      <c r="R2" t="inlineStr">
        <is>
          <t>样品41</t>
        </is>
      </c>
    </row>
    <row r="3">
      <c r="A3" t="n">
        <v>2</v>
      </c>
      <c r="B3" t="inlineStr">
        <is>
          <t>41 (1).tif</t>
        </is>
      </c>
      <c r="C3" t="inlineStr">
        <is>
          <t>41(1)-V02</t>
        </is>
      </c>
      <c r="D3" t="n">
        <v>2</v>
      </c>
      <c r="E3" t="inlineStr">
        <is>
          <t>primary</t>
        </is>
      </c>
      <c r="F3" t="n">
        <v>437.1219281663516</v>
      </c>
      <c r="G3">
        <f>2*SQRT(F3/PI())</f>
        <v/>
      </c>
      <c r="H3" t="n">
        <v>89.63386875131856</v>
      </c>
      <c r="I3" t="n">
        <v>599</v>
      </c>
      <c r="J3" t="n">
        <v>342</v>
      </c>
      <c r="K3" t="n">
        <v>428.3794896030246</v>
      </c>
      <c r="L3" t="n">
        <v>445.8643667296786</v>
      </c>
      <c r="M3">
        <f>2*SQRT(K3/PI())</f>
        <v/>
      </c>
      <c r="N3">
        <f>2*SQRT(L3/PI())</f>
        <v/>
      </c>
      <c r="O3" t="inlineStr">
        <is>
          <t>41(1)-P01</t>
        </is>
      </c>
      <c r="P3" t="inlineStr">
        <is>
          <t>是</t>
        </is>
      </c>
      <c r="Q3" t="inlineStr">
        <is>
          <t>auto_pipeline;review_png_green</t>
        </is>
      </c>
      <c r="R3" t="inlineStr">
        <is>
          <t>样品41</t>
        </is>
      </c>
    </row>
    <row r="4">
      <c r="A4" t="n">
        <v>3</v>
      </c>
      <c r="B4" t="inlineStr">
        <is>
          <t>41 (1).tif</t>
        </is>
      </c>
      <c r="C4" t="inlineStr">
        <is>
          <t>41(1)-V03</t>
        </is>
      </c>
      <c r="D4" t="n">
        <v>3</v>
      </c>
      <c r="E4" t="inlineStr">
        <is>
          <t>primary</t>
        </is>
      </c>
      <c r="F4" t="n">
        <v>96.78638941398866</v>
      </c>
      <c r="G4">
        <f>2*SQRT(F4/PI())</f>
        <v/>
      </c>
      <c r="H4" t="n">
        <v>37.0673187919285</v>
      </c>
      <c r="I4" t="n">
        <v>564</v>
      </c>
      <c r="J4" t="n">
        <v>335</v>
      </c>
      <c r="K4" t="n">
        <v>94.85066162570888</v>
      </c>
      <c r="L4" t="n">
        <v>98.72211720226844</v>
      </c>
      <c r="M4">
        <f>2*SQRT(K4/PI())</f>
        <v/>
      </c>
      <c r="N4">
        <f>2*SQRT(L4/PI())</f>
        <v/>
      </c>
      <c r="P4" t="inlineStr">
        <is>
          <t>是</t>
        </is>
      </c>
      <c r="Q4" t="inlineStr">
        <is>
          <t>auto_pipeline;review_png_green</t>
        </is>
      </c>
      <c r="R4" t="inlineStr">
        <is>
          <t>样品41</t>
        </is>
      </c>
    </row>
    <row r="5">
      <c r="A5" t="n">
        <v>4</v>
      </c>
      <c r="B5" t="inlineStr">
        <is>
          <t>41 (1).tif</t>
        </is>
      </c>
      <c r="C5" t="inlineStr">
        <is>
          <t>41(1)-V04</t>
        </is>
      </c>
      <c r="D5" t="n">
        <v>4</v>
      </c>
      <c r="E5" t="inlineStr">
        <is>
          <t>primary</t>
        </is>
      </c>
      <c r="F5" t="n">
        <v>68.71455576559546</v>
      </c>
      <c r="G5">
        <f>2*SQRT(F5/PI())</f>
        <v/>
      </c>
      <c r="H5" t="n">
        <v>31.63893564887669</v>
      </c>
      <c r="I5" t="n">
        <v>612</v>
      </c>
      <c r="J5" t="n">
        <v>374</v>
      </c>
      <c r="K5" t="n">
        <v>67.34026465028356</v>
      </c>
      <c r="L5" t="n">
        <v>70.08884688090737</v>
      </c>
      <c r="M5">
        <f>2*SQRT(K5/PI())</f>
        <v/>
      </c>
      <c r="N5">
        <f>2*SQRT(L5/PI())</f>
        <v/>
      </c>
      <c r="P5" t="inlineStr">
        <is>
          <t>是</t>
        </is>
      </c>
      <c r="Q5" t="inlineStr">
        <is>
          <t>auto_pipeline;review_png_green</t>
        </is>
      </c>
      <c r="R5" t="inlineStr">
        <is>
          <t>样品41</t>
        </is>
      </c>
    </row>
    <row r="6">
      <c r="A6" t="n">
        <v>5</v>
      </c>
      <c r="B6" t="inlineStr">
        <is>
          <t>41 (2).tif</t>
        </is>
      </c>
      <c r="C6" t="inlineStr">
        <is>
          <t>41(2)-V01</t>
        </is>
      </c>
      <c r="D6" t="n">
        <v>1</v>
      </c>
      <c r="E6" t="inlineStr">
        <is>
          <t>primary</t>
        </is>
      </c>
      <c r="F6" t="n">
        <v>1209.806238185255</v>
      </c>
      <c r="G6">
        <f>2*SQRT(F6/PI())</f>
        <v/>
      </c>
      <c r="H6" t="n">
        <v>130.6270299527956</v>
      </c>
      <c r="I6" t="n">
        <v>379</v>
      </c>
      <c r="J6" t="n">
        <v>436</v>
      </c>
      <c r="K6" t="n">
        <v>1185.61011342155</v>
      </c>
      <c r="L6" t="n">
        <v>1234.00236294896</v>
      </c>
      <c r="M6">
        <f>2*SQRT(K6/PI())</f>
        <v/>
      </c>
      <c r="N6">
        <f>2*SQRT(L6/PI())</f>
        <v/>
      </c>
      <c r="P6" t="inlineStr">
        <is>
          <t>是</t>
        </is>
      </c>
      <c r="Q6" t="inlineStr">
        <is>
          <t>auto_pipeline;review_png_green</t>
        </is>
      </c>
      <c r="R6" t="inlineStr">
        <is>
          <t>样品41</t>
        </is>
      </c>
    </row>
    <row r="7">
      <c r="A7" t="n">
        <v>6</v>
      </c>
      <c r="B7" t="inlineStr">
        <is>
          <t>41 (2).tif</t>
        </is>
      </c>
      <c r="C7" t="inlineStr">
        <is>
          <t>41(2)-V02</t>
        </is>
      </c>
      <c r="D7" t="n">
        <v>2</v>
      </c>
      <c r="E7" t="inlineStr">
        <is>
          <t>primary</t>
        </is>
      </c>
      <c r="F7" t="n">
        <v>680.4820415879017</v>
      </c>
      <c r="G7">
        <f>2*SQRT(F7/PI())</f>
        <v/>
      </c>
      <c r="H7" t="n">
        <v>99.73031463830367</v>
      </c>
      <c r="I7" t="n">
        <v>520</v>
      </c>
      <c r="J7" t="n">
        <v>106</v>
      </c>
      <c r="K7" t="n">
        <v>666.8724007561436</v>
      </c>
      <c r="L7" t="n">
        <v>694.0916824196597</v>
      </c>
      <c r="M7">
        <f>2*SQRT(K7/PI())</f>
        <v/>
      </c>
      <c r="N7">
        <f>2*SQRT(L7/PI())</f>
        <v/>
      </c>
      <c r="P7" t="inlineStr">
        <is>
          <t>是</t>
        </is>
      </c>
      <c r="Q7" t="inlineStr">
        <is>
          <t>auto_pipeline;review_png_green</t>
        </is>
      </c>
      <c r="R7" t="inlineStr">
        <is>
          <t>样品41</t>
        </is>
      </c>
    </row>
    <row r="8">
      <c r="A8" t="n">
        <v>7</v>
      </c>
      <c r="B8" t="inlineStr">
        <is>
          <t>41 (2).tif</t>
        </is>
      </c>
      <c r="C8" t="inlineStr">
        <is>
          <t>41(2)-V03</t>
        </is>
      </c>
      <c r="D8" t="n">
        <v>3</v>
      </c>
      <c r="E8" t="inlineStr">
        <is>
          <t>primary</t>
        </is>
      </c>
      <c r="F8" t="n">
        <v>121.8809073724008</v>
      </c>
      <c r="G8">
        <f>2*SQRT(F8/PI())</f>
        <v/>
      </c>
      <c r="H8" t="n">
        <v>45.50828119982844</v>
      </c>
      <c r="I8" t="n">
        <v>708</v>
      </c>
      <c r="J8" t="n">
        <v>263</v>
      </c>
      <c r="K8" t="n">
        <v>119.4432892249527</v>
      </c>
      <c r="L8" t="n">
        <v>124.3185255198488</v>
      </c>
      <c r="M8">
        <f>2*SQRT(K8/PI())</f>
        <v/>
      </c>
      <c r="N8">
        <f>2*SQRT(L8/PI())</f>
        <v/>
      </c>
      <c r="P8" t="inlineStr">
        <is>
          <t>是</t>
        </is>
      </c>
      <c r="Q8" t="inlineStr">
        <is>
          <t>auto_pipeline;review_png_green</t>
        </is>
      </c>
      <c r="R8" t="inlineStr">
        <is>
          <t>样品41</t>
        </is>
      </c>
    </row>
    <row r="9">
      <c r="A9" t="n">
        <v>8</v>
      </c>
      <c r="B9" t="inlineStr">
        <is>
          <t>41 (3).tif</t>
        </is>
      </c>
      <c r="C9" t="inlineStr">
        <is>
          <t>41(3)-V01</t>
        </is>
      </c>
      <c r="D9" t="n">
        <v>1</v>
      </c>
      <c r="E9" t="inlineStr">
        <is>
          <t>primary</t>
        </is>
      </c>
      <c r="F9" t="n">
        <v>1465.619092627599</v>
      </c>
      <c r="G9">
        <f>2*SQRT(F9/PI())</f>
        <v/>
      </c>
      <c r="H9" t="n">
        <v>156.6009927573411</v>
      </c>
      <c r="I9" t="n">
        <v>356</v>
      </c>
      <c r="J9" t="n">
        <v>189</v>
      </c>
      <c r="K9" t="n">
        <v>1436.306710775047</v>
      </c>
      <c r="L9" t="n">
        <v>1494.931474480151</v>
      </c>
      <c r="M9">
        <f>2*SQRT(K9/PI())</f>
        <v/>
      </c>
      <c r="N9">
        <f>2*SQRT(L9/PI())</f>
        <v/>
      </c>
      <c r="P9" t="inlineStr">
        <is>
          <t>是</t>
        </is>
      </c>
      <c r="Q9" t="inlineStr">
        <is>
          <t>auto_pipeline;review_png_green</t>
        </is>
      </c>
      <c r="R9" t="inlineStr">
        <is>
          <t>样品41</t>
        </is>
      </c>
    </row>
    <row r="10">
      <c r="A10" t="n">
        <v>9</v>
      </c>
      <c r="B10" t="inlineStr">
        <is>
          <t>41 (3).tif</t>
        </is>
      </c>
      <c r="C10" t="inlineStr">
        <is>
          <t>41(3)-V02</t>
        </is>
      </c>
      <c r="D10" t="n">
        <v>2</v>
      </c>
      <c r="E10" t="inlineStr">
        <is>
          <t>primary</t>
        </is>
      </c>
      <c r="F10" t="n">
        <v>141.9659735349717</v>
      </c>
      <c r="G10">
        <f>2*SQRT(F10/PI())</f>
        <v/>
      </c>
      <c r="H10" t="n">
        <v>75.99736400272535</v>
      </c>
      <c r="I10" t="n">
        <v>258</v>
      </c>
      <c r="J10" t="n">
        <v>419</v>
      </c>
      <c r="K10" t="n">
        <v>139.1266540642722</v>
      </c>
      <c r="L10" t="n">
        <v>144.8052930056711</v>
      </c>
      <c r="M10">
        <f>2*SQRT(K10/PI())</f>
        <v/>
      </c>
      <c r="N10">
        <f>2*SQRT(L10/PI())</f>
        <v/>
      </c>
      <c r="P10" t="inlineStr">
        <is>
          <t>是</t>
        </is>
      </c>
      <c r="Q10" t="inlineStr">
        <is>
          <t>auto_pipeline;review_png_green</t>
        </is>
      </c>
      <c r="R10" t="inlineStr">
        <is>
          <t>样品41</t>
        </is>
      </c>
    </row>
    <row r="11">
      <c r="A11" t="n">
        <v>10</v>
      </c>
      <c r="B11" t="inlineStr">
        <is>
          <t>41 (4).tif</t>
        </is>
      </c>
      <c r="C11" t="inlineStr">
        <is>
          <t>41(4)-V01</t>
        </is>
      </c>
      <c r="D11" t="n">
        <v>1</v>
      </c>
      <c r="E11" t="inlineStr">
        <is>
          <t>primary</t>
        </is>
      </c>
      <c r="F11" t="n">
        <v>1025.567107750473</v>
      </c>
      <c r="G11">
        <f>2*SQRT(F11/PI())</f>
        <v/>
      </c>
      <c r="H11" t="n">
        <v>120.5124840010767</v>
      </c>
      <c r="I11" t="n">
        <v>440</v>
      </c>
      <c r="J11" t="n">
        <v>364</v>
      </c>
      <c r="K11" t="n">
        <v>1005.055765595463</v>
      </c>
      <c r="L11" t="n">
        <v>1046.078449905482</v>
      </c>
      <c r="M11">
        <f>2*SQRT(K11/PI())</f>
        <v/>
      </c>
      <c r="N11">
        <f>2*SQRT(L11/PI())</f>
        <v/>
      </c>
      <c r="O11" t="inlineStr">
        <is>
          <t>41(4)-P01</t>
        </is>
      </c>
      <c r="P11" t="inlineStr">
        <is>
          <t>是</t>
        </is>
      </c>
      <c r="Q11" t="inlineStr">
        <is>
          <t>auto_pipeline;review_png_green</t>
        </is>
      </c>
      <c r="R11" t="inlineStr">
        <is>
          <t>样品41</t>
        </is>
      </c>
    </row>
    <row r="12">
      <c r="A12" t="n">
        <v>11</v>
      </c>
      <c r="B12" t="inlineStr">
        <is>
          <t>41 (4).tif</t>
        </is>
      </c>
      <c r="C12" t="inlineStr">
        <is>
          <t>41(4)-V02</t>
        </is>
      </c>
      <c r="D12" t="n">
        <v>2</v>
      </c>
      <c r="E12" t="inlineStr">
        <is>
          <t>primary</t>
        </is>
      </c>
      <c r="F12" t="n">
        <v>854.2060491493384</v>
      </c>
      <c r="G12">
        <f>2*SQRT(F12/PI())</f>
        <v/>
      </c>
      <c r="H12" t="n">
        <v>109.7612136343251</v>
      </c>
      <c r="I12" t="n">
        <v>644</v>
      </c>
      <c r="J12" t="n">
        <v>326</v>
      </c>
      <c r="K12" t="n">
        <v>837.1219281663516</v>
      </c>
      <c r="L12" t="n">
        <v>871.2901701323251</v>
      </c>
      <c r="M12">
        <f>2*SQRT(K12/PI())</f>
        <v/>
      </c>
      <c r="N12">
        <f>2*SQRT(L12/PI())</f>
        <v/>
      </c>
      <c r="O12" t="inlineStr">
        <is>
          <t>41(4)-P01</t>
        </is>
      </c>
      <c r="P12" t="inlineStr">
        <is>
          <t>是</t>
        </is>
      </c>
      <c r="Q12" t="inlineStr">
        <is>
          <t>auto_pipeline;review_png_green</t>
        </is>
      </c>
      <c r="R12" t="inlineStr">
        <is>
          <t>样品41</t>
        </is>
      </c>
    </row>
    <row r="13">
      <c r="A13" t="n">
        <v>12</v>
      </c>
      <c r="B13" t="inlineStr">
        <is>
          <t>41 (4).tif</t>
        </is>
      </c>
      <c r="C13" t="inlineStr">
        <is>
          <t>41(4)-V03</t>
        </is>
      </c>
      <c r="D13" t="n">
        <v>3</v>
      </c>
      <c r="E13" t="inlineStr">
        <is>
          <t>primary</t>
        </is>
      </c>
      <c r="F13" t="n">
        <v>197.9206049149338</v>
      </c>
      <c r="G13">
        <f>2*SQRT(F13/PI())</f>
        <v/>
      </c>
      <c r="H13" t="n">
        <v>53.14147638237994</v>
      </c>
      <c r="I13" t="n">
        <v>693</v>
      </c>
      <c r="J13" t="n">
        <v>371</v>
      </c>
      <c r="K13" t="n">
        <v>193.9621928166352</v>
      </c>
      <c r="L13" t="n">
        <v>201.8790170132325</v>
      </c>
      <c r="M13">
        <f>2*SQRT(K13/PI())</f>
        <v/>
      </c>
      <c r="N13">
        <f>2*SQRT(L13/PI())</f>
        <v/>
      </c>
      <c r="P13" t="inlineStr">
        <is>
          <t>是</t>
        </is>
      </c>
      <c r="Q13" t="inlineStr">
        <is>
          <t>auto_pipeline;review_png_green</t>
        </is>
      </c>
      <c r="R13" t="inlineStr">
        <is>
          <t>样品41</t>
        </is>
      </c>
    </row>
    <row r="14">
      <c r="A14" t="n">
        <v>13</v>
      </c>
      <c r="B14" t="inlineStr">
        <is>
          <t>41 (4).tif</t>
        </is>
      </c>
      <c r="C14" t="inlineStr">
        <is>
          <t>41(4)-V04</t>
        </is>
      </c>
      <c r="D14" t="n">
        <v>4</v>
      </c>
      <c r="E14" t="inlineStr">
        <is>
          <t>primary</t>
        </is>
      </c>
      <c r="F14" t="n">
        <v>117.5803402646503</v>
      </c>
      <c r="G14">
        <f>2*SQRT(F14/PI())</f>
        <v/>
      </c>
      <c r="H14" t="n">
        <v>42.89958554765452</v>
      </c>
      <c r="I14" t="n">
        <v>289</v>
      </c>
      <c r="J14" t="n">
        <v>312</v>
      </c>
      <c r="K14" t="n">
        <v>115.2287334593573</v>
      </c>
      <c r="L14" t="n">
        <v>119.9319470699433</v>
      </c>
      <c r="M14">
        <f>2*SQRT(K14/PI())</f>
        <v/>
      </c>
      <c r="N14">
        <f>2*SQRT(L14/PI())</f>
        <v/>
      </c>
      <c r="P14" t="inlineStr">
        <is>
          <t>是</t>
        </is>
      </c>
      <c r="Q14" t="inlineStr">
        <is>
          <t>auto_pipeline;review_png_green</t>
        </is>
      </c>
      <c r="R14" t="inlineStr">
        <is>
          <t>样品41</t>
        </is>
      </c>
    </row>
    <row r="15">
      <c r="A15" t="n">
        <v>14</v>
      </c>
      <c r="B15" t="inlineStr">
        <is>
          <t>41 (4).tif</t>
        </is>
      </c>
      <c r="C15" t="inlineStr">
        <is>
          <t>41(4)-V05</t>
        </is>
      </c>
      <c r="D15" t="n">
        <v>5</v>
      </c>
      <c r="E15" t="inlineStr">
        <is>
          <t>primary</t>
        </is>
      </c>
      <c r="F15" t="n">
        <v>115.5009451795841</v>
      </c>
      <c r="G15">
        <f>2*SQRT(F15/PI())</f>
        <v/>
      </c>
      <c r="H15" t="n">
        <v>44.53322006308514</v>
      </c>
      <c r="I15" t="n">
        <v>724</v>
      </c>
      <c r="J15" t="n">
        <v>244</v>
      </c>
      <c r="K15" t="n">
        <v>113.1909262759924</v>
      </c>
      <c r="L15" t="n">
        <v>117.8109640831758</v>
      </c>
      <c r="M15">
        <f>2*SQRT(K15/PI())</f>
        <v/>
      </c>
      <c r="N15">
        <f>2*SQRT(L15/PI())</f>
        <v/>
      </c>
      <c r="P15" t="inlineStr">
        <is>
          <t>是</t>
        </is>
      </c>
      <c r="Q15" t="inlineStr">
        <is>
          <t>auto_pipeline;review_png_green</t>
        </is>
      </c>
      <c r="R15" t="inlineStr">
        <is>
          <t>样品41</t>
        </is>
      </c>
    </row>
    <row r="16">
      <c r="A16" t="n">
        <v>15</v>
      </c>
      <c r="B16" t="inlineStr">
        <is>
          <t>41 (4).tif</t>
        </is>
      </c>
      <c r="C16" t="inlineStr">
        <is>
          <t>41(4)-V06</t>
        </is>
      </c>
      <c r="D16" t="n">
        <v>6</v>
      </c>
      <c r="E16" t="inlineStr">
        <is>
          <t>primary</t>
        </is>
      </c>
      <c r="F16" t="n">
        <v>106.0018903591682</v>
      </c>
      <c r="G16">
        <f>2*SQRT(F16/PI())</f>
        <v/>
      </c>
      <c r="H16" t="n">
        <v>41.05495919351992</v>
      </c>
      <c r="I16" t="n">
        <v>534</v>
      </c>
      <c r="J16" t="n">
        <v>246</v>
      </c>
      <c r="K16" t="n">
        <v>103.8818525519849</v>
      </c>
      <c r="L16" t="n">
        <v>108.1219281663516</v>
      </c>
      <c r="M16">
        <f>2*SQRT(K16/PI())</f>
        <v/>
      </c>
      <c r="N16">
        <f>2*SQRT(L16/PI())</f>
        <v/>
      </c>
      <c r="P16" t="inlineStr">
        <is>
          <t>是</t>
        </is>
      </c>
      <c r="Q16" t="inlineStr">
        <is>
          <t>auto_pipeline;review_png_green</t>
        </is>
      </c>
      <c r="R16" t="inlineStr">
        <is>
          <t>样品41</t>
        </is>
      </c>
    </row>
    <row r="17">
      <c r="A17" t="n">
        <v>16</v>
      </c>
      <c r="B17" t="inlineStr">
        <is>
          <t>41 (5).tif</t>
        </is>
      </c>
      <c r="C17" t="inlineStr">
        <is>
          <t>41(5)-V01</t>
        </is>
      </c>
      <c r="D17" t="n">
        <v>1</v>
      </c>
      <c r="E17" t="inlineStr">
        <is>
          <t>primary</t>
        </is>
      </c>
      <c r="F17" t="n">
        <v>959.1682419659735</v>
      </c>
      <c r="G17">
        <f>2*SQRT(F17/PI())</f>
        <v/>
      </c>
      <c r="H17" t="n">
        <v>116.0591619947682</v>
      </c>
      <c r="I17" t="n">
        <v>596</v>
      </c>
      <c r="J17" t="n">
        <v>388</v>
      </c>
      <c r="K17" t="n">
        <v>939.9848771266541</v>
      </c>
      <c r="L17" t="n">
        <v>978.3516068052929</v>
      </c>
      <c r="M17">
        <f>2*SQRT(K17/PI())</f>
        <v/>
      </c>
      <c r="N17">
        <f>2*SQRT(L17/PI())</f>
        <v/>
      </c>
      <c r="O17" t="inlineStr">
        <is>
          <t>41(5)-P01</t>
        </is>
      </c>
      <c r="P17" t="inlineStr">
        <is>
          <t>是</t>
        </is>
      </c>
      <c r="Q17" t="inlineStr">
        <is>
          <t>auto_pipeline;review_png_green</t>
        </is>
      </c>
      <c r="R17" t="inlineStr">
        <is>
          <t>样品41</t>
        </is>
      </c>
    </row>
    <row r="18">
      <c r="A18" t="n">
        <v>17</v>
      </c>
      <c r="B18" t="inlineStr">
        <is>
          <t>41 (5).tif</t>
        </is>
      </c>
      <c r="C18" t="inlineStr">
        <is>
          <t>41(5)-V02</t>
        </is>
      </c>
      <c r="D18" t="n">
        <v>2</v>
      </c>
      <c r="E18" t="inlineStr">
        <is>
          <t>primary</t>
        </is>
      </c>
      <c r="F18" t="n">
        <v>955.4111531190927</v>
      </c>
      <c r="G18">
        <f>2*SQRT(F18/PI())</f>
        <v/>
      </c>
      <c r="H18" t="n">
        <v>116.4411966437879</v>
      </c>
      <c r="I18" t="n">
        <v>425</v>
      </c>
      <c r="J18" t="n">
        <v>345</v>
      </c>
      <c r="K18" t="n">
        <v>936.3029300567108</v>
      </c>
      <c r="L18" t="n">
        <v>974.5193761814745</v>
      </c>
      <c r="M18">
        <f>2*SQRT(K18/PI())</f>
        <v/>
      </c>
      <c r="N18">
        <f>2*SQRT(L18/PI())</f>
        <v/>
      </c>
      <c r="O18" t="inlineStr">
        <is>
          <t>41(5)-P01</t>
        </is>
      </c>
      <c r="P18" t="inlineStr">
        <is>
          <t>是</t>
        </is>
      </c>
      <c r="Q18" t="inlineStr">
        <is>
          <t>auto_pipeline;review_png_green</t>
        </is>
      </c>
      <c r="R18" t="inlineStr">
        <is>
          <t>样品41</t>
        </is>
      </c>
    </row>
    <row r="19">
      <c r="A19" t="n">
        <v>18</v>
      </c>
      <c r="B19" t="inlineStr">
        <is>
          <t>41 (5).tif</t>
        </is>
      </c>
      <c r="C19" t="inlineStr">
        <is>
          <t>41(5)-V03</t>
        </is>
      </c>
      <c r="D19" t="n">
        <v>3</v>
      </c>
      <c r="E19" t="inlineStr">
        <is>
          <t>primary</t>
        </is>
      </c>
      <c r="F19" t="n">
        <v>431.9470699432893</v>
      </c>
      <c r="G19">
        <f>2*SQRT(F19/PI())</f>
        <v/>
      </c>
      <c r="H19" t="n">
        <v>82.42640614509583</v>
      </c>
      <c r="I19" t="n">
        <v>813</v>
      </c>
      <c r="J19" t="n">
        <v>61</v>
      </c>
      <c r="K19" t="n">
        <v>423.3081285444235</v>
      </c>
      <c r="L19" t="n">
        <v>440.586011342155</v>
      </c>
      <c r="M19">
        <f>2*SQRT(K19/PI())</f>
        <v/>
      </c>
      <c r="N19">
        <f>2*SQRT(L19/PI())</f>
        <v/>
      </c>
      <c r="P19" t="inlineStr">
        <is>
          <t>是</t>
        </is>
      </c>
      <c r="Q19" t="inlineStr">
        <is>
          <t>auto_pipeline;review_png_green</t>
        </is>
      </c>
      <c r="R19" t="inlineStr">
        <is>
          <t>样品41</t>
        </is>
      </c>
    </row>
    <row r="20">
      <c r="A20" t="n">
        <v>19</v>
      </c>
      <c r="B20" t="inlineStr">
        <is>
          <t>41 (5).tif</t>
        </is>
      </c>
      <c r="C20" t="inlineStr">
        <is>
          <t>41(5)-V04</t>
        </is>
      </c>
      <c r="D20" t="n">
        <v>4</v>
      </c>
      <c r="E20" t="inlineStr">
        <is>
          <t>primary</t>
        </is>
      </c>
      <c r="F20" t="n">
        <v>127.3393194706994</v>
      </c>
      <c r="G20">
        <f>2*SQRT(F20/PI())</f>
        <v/>
      </c>
      <c r="H20" t="n">
        <v>46.10130768755208</v>
      </c>
      <c r="I20" t="n">
        <v>521</v>
      </c>
      <c r="J20" t="n">
        <v>397</v>
      </c>
      <c r="K20" t="n">
        <v>124.7925330812854</v>
      </c>
      <c r="L20" t="n">
        <v>129.8861058601134</v>
      </c>
      <c r="M20">
        <f>2*SQRT(K20/PI())</f>
        <v/>
      </c>
      <c r="N20">
        <f>2*SQRT(L20/PI())</f>
        <v/>
      </c>
      <c r="P20" t="inlineStr">
        <is>
          <t>是</t>
        </is>
      </c>
      <c r="Q20" t="inlineStr">
        <is>
          <t>auto_pipeline;review_png_green</t>
        </is>
      </c>
      <c r="R20" t="inlineStr">
        <is>
          <t>样品41</t>
        </is>
      </c>
    </row>
    <row r="21">
      <c r="A21" t="n">
        <v>20</v>
      </c>
      <c r="B21" t="inlineStr">
        <is>
          <t>41 (5).tif</t>
        </is>
      </c>
      <c r="C21" t="inlineStr">
        <is>
          <t>41(5)-V05</t>
        </is>
      </c>
      <c r="D21" t="n">
        <v>5</v>
      </c>
      <c r="E21" t="inlineStr">
        <is>
          <t>primary</t>
        </is>
      </c>
      <c r="F21" t="n">
        <v>123.1332703213611</v>
      </c>
      <c r="G21">
        <f>2*SQRT(F21/PI())</f>
        <v/>
      </c>
      <c r="H21" t="n">
        <v>43.13242635001307</v>
      </c>
      <c r="I21" t="n">
        <v>736</v>
      </c>
      <c r="J21" t="n">
        <v>361</v>
      </c>
      <c r="K21" t="n">
        <v>120.6706049149338</v>
      </c>
      <c r="L21" t="n">
        <v>125.5959357277883</v>
      </c>
      <c r="M21">
        <f>2*SQRT(K21/PI())</f>
        <v/>
      </c>
      <c r="N21">
        <f>2*SQRT(L21/PI())</f>
        <v/>
      </c>
      <c r="P21" t="inlineStr">
        <is>
          <t>是</t>
        </is>
      </c>
      <c r="Q21" t="inlineStr">
        <is>
          <t>auto_pipeline;review_png_green</t>
        </is>
      </c>
      <c r="R21" t="inlineStr">
        <is>
          <t>样品41</t>
        </is>
      </c>
    </row>
    <row r="22">
      <c r="A22" t="n">
        <v>21</v>
      </c>
      <c r="B22" t="inlineStr">
        <is>
          <t>41 (5).tif</t>
        </is>
      </c>
      <c r="C22" t="inlineStr">
        <is>
          <t>41(5)-V06</t>
        </is>
      </c>
      <c r="D22" t="n">
        <v>6</v>
      </c>
      <c r="E22" t="inlineStr">
        <is>
          <t>primary</t>
        </is>
      </c>
      <c r="F22" t="n">
        <v>109.8298676748582</v>
      </c>
      <c r="G22">
        <f>2*SQRT(F22/PI())</f>
        <v/>
      </c>
      <c r="H22" t="n">
        <v>42.79408962830253</v>
      </c>
      <c r="I22" t="n">
        <v>603</v>
      </c>
      <c r="J22" t="n">
        <v>99</v>
      </c>
      <c r="K22" t="n">
        <v>107.6332703213611</v>
      </c>
      <c r="L22" t="n">
        <v>112.0264650283554</v>
      </c>
      <c r="M22">
        <f>2*SQRT(K22/PI())</f>
        <v/>
      </c>
      <c r="N22">
        <f>2*SQRT(L22/PI())</f>
        <v/>
      </c>
      <c r="P22" t="inlineStr">
        <is>
          <t>是</t>
        </is>
      </c>
      <c r="Q22" t="inlineStr">
        <is>
          <t>auto_pipeline;review_png_green</t>
        </is>
      </c>
      <c r="R22" t="inlineStr">
        <is>
          <t>样品41</t>
        </is>
      </c>
    </row>
    <row r="23">
      <c r="A23" t="n">
        <v>22</v>
      </c>
      <c r="B23" t="inlineStr">
        <is>
          <t>41 (6).tif</t>
        </is>
      </c>
      <c r="C23" t="inlineStr">
        <is>
          <t>41(6)-V01</t>
        </is>
      </c>
      <c r="D23" t="n">
        <v>1</v>
      </c>
      <c r="E23" t="inlineStr">
        <is>
          <t>primary</t>
        </is>
      </c>
      <c r="F23" t="n">
        <v>1294.470699432892</v>
      </c>
      <c r="G23">
        <f>2*SQRT(F23/PI())</f>
        <v/>
      </c>
      <c r="H23" t="n">
        <v>134.8475111567456</v>
      </c>
      <c r="I23" t="n">
        <v>627</v>
      </c>
      <c r="J23" t="n">
        <v>348</v>
      </c>
      <c r="K23" t="n">
        <v>1268.581285444234</v>
      </c>
      <c r="L23" t="n">
        <v>1320.36011342155</v>
      </c>
      <c r="M23">
        <f>2*SQRT(K23/PI())</f>
        <v/>
      </c>
      <c r="N23">
        <f>2*SQRT(L23/PI())</f>
        <v/>
      </c>
      <c r="P23" t="inlineStr">
        <is>
          <t>是</t>
        </is>
      </c>
      <c r="Q23" t="inlineStr">
        <is>
          <t>auto_pipeline;review_png_green</t>
        </is>
      </c>
      <c r="R23" t="inlineStr">
        <is>
          <t>样品41</t>
        </is>
      </c>
    </row>
    <row r="24">
      <c r="A24" t="n">
        <v>23</v>
      </c>
      <c r="B24" t="inlineStr">
        <is>
          <t>41 (6).tif</t>
        </is>
      </c>
      <c r="C24" t="inlineStr">
        <is>
          <t>41(6)-V02</t>
        </is>
      </c>
      <c r="D24" t="n">
        <v>2</v>
      </c>
      <c r="E24" t="inlineStr">
        <is>
          <t>primary</t>
        </is>
      </c>
      <c r="F24" t="n">
        <v>1075.992438563327</v>
      </c>
      <c r="G24">
        <f>2*SQRT(F24/PI())</f>
        <v/>
      </c>
      <c r="H24" t="n">
        <v>123.5868612579677</v>
      </c>
      <c r="I24" t="n">
        <v>406</v>
      </c>
      <c r="J24" t="n">
        <v>312</v>
      </c>
      <c r="K24" t="n">
        <v>1054.47258979206</v>
      </c>
      <c r="L24" t="n">
        <v>1097.512287334594</v>
      </c>
      <c r="M24">
        <f>2*SQRT(K24/PI())</f>
        <v/>
      </c>
      <c r="N24">
        <f>2*SQRT(L24/PI())</f>
        <v/>
      </c>
      <c r="P24" t="inlineStr">
        <is>
          <t>是</t>
        </is>
      </c>
      <c r="Q24" t="inlineStr">
        <is>
          <t>auto_pipeline;review_png_green</t>
        </is>
      </c>
      <c r="R24" t="inlineStr">
        <is>
          <t>样品41</t>
        </is>
      </c>
    </row>
    <row r="25">
      <c r="A25" t="n">
        <v>24</v>
      </c>
      <c r="B25" t="inlineStr">
        <is>
          <t>41 (6).tif</t>
        </is>
      </c>
      <c r="C25" t="inlineStr">
        <is>
          <t>41(6)-V03</t>
        </is>
      </c>
      <c r="D25" t="n">
        <v>3</v>
      </c>
      <c r="E25" t="inlineStr">
        <is>
          <t>primary</t>
        </is>
      </c>
      <c r="F25" t="n">
        <v>697.9678638941399</v>
      </c>
      <c r="G25">
        <f>2*SQRT(F25/PI())</f>
        <v/>
      </c>
      <c r="H25" t="n">
        <v>100.9600655410601</v>
      </c>
      <c r="I25" t="n">
        <v>234</v>
      </c>
      <c r="J25" t="n">
        <v>107</v>
      </c>
      <c r="K25" t="n">
        <v>684.0085066162571</v>
      </c>
      <c r="L25" t="n">
        <v>711.9272211720227</v>
      </c>
      <c r="M25">
        <f>2*SQRT(K25/PI())</f>
        <v/>
      </c>
      <c r="N25">
        <f>2*SQRT(L25/PI())</f>
        <v/>
      </c>
      <c r="P25" t="inlineStr">
        <is>
          <t>是</t>
        </is>
      </c>
      <c r="Q25" t="inlineStr">
        <is>
          <t>auto_pipeline;review_png_green</t>
        </is>
      </c>
      <c r="R25" t="inlineStr">
        <is>
          <t>样品41</t>
        </is>
      </c>
    </row>
    <row r="26">
      <c r="A26" t="n">
        <v>25</v>
      </c>
      <c r="B26" t="inlineStr">
        <is>
          <t>41 (6).tif</t>
        </is>
      </c>
      <c r="C26" t="inlineStr">
        <is>
          <t>41(6)-V04</t>
        </is>
      </c>
      <c r="D26" t="n">
        <v>4</v>
      </c>
      <c r="E26" t="inlineStr">
        <is>
          <t>primary</t>
        </is>
      </c>
      <c r="F26" t="n">
        <v>136.507561436673</v>
      </c>
      <c r="G26">
        <f>2*SQRT(F26/PI())</f>
        <v/>
      </c>
      <c r="H26" t="n">
        <v>46.35599745356518</v>
      </c>
      <c r="I26" t="n">
        <v>888</v>
      </c>
      <c r="J26" t="n">
        <v>410</v>
      </c>
      <c r="K26" t="n">
        <v>133.7774102079395</v>
      </c>
      <c r="L26" t="n">
        <v>139.2377126654064</v>
      </c>
      <c r="M26">
        <f>2*SQRT(K26/PI())</f>
        <v/>
      </c>
      <c r="N26">
        <f>2*SQRT(L26/PI())</f>
        <v/>
      </c>
      <c r="P26" t="inlineStr">
        <is>
          <t>是</t>
        </is>
      </c>
      <c r="Q26" t="inlineStr">
        <is>
          <t>auto_pipeline;review_png_green</t>
        </is>
      </c>
      <c r="R26" t="inlineStr">
        <is>
          <t>样品41</t>
        </is>
      </c>
    </row>
    <row r="27">
      <c r="A27" t="n">
        <v>26</v>
      </c>
      <c r="B27" t="inlineStr">
        <is>
          <t>41 (7).tif</t>
        </is>
      </c>
      <c r="C27" t="inlineStr">
        <is>
          <t>41(7)-V01</t>
        </is>
      </c>
      <c r="D27" t="n">
        <v>1</v>
      </c>
      <c r="E27" t="inlineStr">
        <is>
          <t>primary</t>
        </is>
      </c>
      <c r="F27" t="n">
        <v>605.9310018903592</v>
      </c>
      <c r="G27">
        <f>2*SQRT(F27/PI())</f>
        <v/>
      </c>
      <c r="H27" t="n">
        <v>92.0752704920976</v>
      </c>
      <c r="I27" t="n">
        <v>577</v>
      </c>
      <c r="J27" t="n">
        <v>408</v>
      </c>
      <c r="K27" t="n">
        <v>593.812381852552</v>
      </c>
      <c r="L27" t="n">
        <v>618.0496219281664</v>
      </c>
      <c r="M27">
        <f>2*SQRT(K27/PI())</f>
        <v/>
      </c>
      <c r="N27">
        <f>2*SQRT(L27/PI())</f>
        <v/>
      </c>
      <c r="P27" t="inlineStr">
        <is>
          <t>是</t>
        </is>
      </c>
      <c r="Q27" t="inlineStr">
        <is>
          <t>auto_pipeline;review_png_green</t>
        </is>
      </c>
      <c r="R27" t="inlineStr">
        <is>
          <t>样品41</t>
        </is>
      </c>
    </row>
    <row r="28">
      <c r="A28" t="n">
        <v>27</v>
      </c>
      <c r="B28" t="inlineStr">
        <is>
          <t>41 (7).tif</t>
        </is>
      </c>
      <c r="C28" t="inlineStr">
        <is>
          <t>41(7)-V02</t>
        </is>
      </c>
      <c r="D28" t="n">
        <v>2</v>
      </c>
      <c r="E28" t="inlineStr">
        <is>
          <t>primary</t>
        </is>
      </c>
      <c r="F28" t="n">
        <v>542.2022684310019</v>
      </c>
      <c r="G28">
        <f>2*SQRT(F28/PI())</f>
        <v/>
      </c>
      <c r="H28" t="n">
        <v>87.38910768343054</v>
      </c>
      <c r="I28" t="n">
        <v>444</v>
      </c>
      <c r="J28" t="n">
        <v>358</v>
      </c>
      <c r="K28" t="n">
        <v>531.3582230623819</v>
      </c>
      <c r="L28" t="n">
        <v>553.046313799622</v>
      </c>
      <c r="M28">
        <f>2*SQRT(K28/PI())</f>
        <v/>
      </c>
      <c r="N28">
        <f>2*SQRT(L28/PI())</f>
        <v/>
      </c>
      <c r="O28" t="inlineStr">
        <is>
          <t>41(7)-P01</t>
        </is>
      </c>
      <c r="P28" t="inlineStr">
        <is>
          <t>是</t>
        </is>
      </c>
      <c r="Q28" t="inlineStr">
        <is>
          <t>auto_pipeline;review_png_green</t>
        </is>
      </c>
      <c r="R28" t="inlineStr">
        <is>
          <t>样品41</t>
        </is>
      </c>
    </row>
    <row r="29">
      <c r="A29" t="n">
        <v>28</v>
      </c>
      <c r="B29" t="inlineStr">
        <is>
          <t>41 (7).tif</t>
        </is>
      </c>
      <c r="C29" t="inlineStr">
        <is>
          <t>41(7)-V03</t>
        </is>
      </c>
      <c r="D29" t="n">
        <v>3</v>
      </c>
      <c r="E29" t="inlineStr">
        <is>
          <t>primary</t>
        </is>
      </c>
      <c r="F29" t="n">
        <v>96.2429111531191</v>
      </c>
      <c r="G29">
        <f>2*SQRT(F29/PI())</f>
        <v/>
      </c>
      <c r="H29" t="n">
        <v>40.26904093182605</v>
      </c>
      <c r="I29" t="n">
        <v>472</v>
      </c>
      <c r="J29" t="n">
        <v>390</v>
      </c>
      <c r="K29" t="n">
        <v>94.31805293005671</v>
      </c>
      <c r="L29" t="n">
        <v>98.16776937618148</v>
      </c>
      <c r="M29">
        <f>2*SQRT(K29/PI())</f>
        <v/>
      </c>
      <c r="N29">
        <f>2*SQRT(L29/PI())</f>
        <v/>
      </c>
      <c r="O29" t="inlineStr">
        <is>
          <t>41(7)-P01</t>
        </is>
      </c>
      <c r="P29" t="inlineStr">
        <is>
          <t>是</t>
        </is>
      </c>
      <c r="Q29" t="inlineStr">
        <is>
          <t>auto_pipeline;review_png_green</t>
        </is>
      </c>
      <c r="R29" t="inlineStr">
        <is>
          <t>样品41</t>
        </is>
      </c>
    </row>
    <row r="30">
      <c r="A30" t="n">
        <v>29</v>
      </c>
      <c r="B30" t="inlineStr">
        <is>
          <t>41 (8).tif</t>
        </is>
      </c>
      <c r="C30" t="inlineStr">
        <is>
          <t>41(8)-V01</t>
        </is>
      </c>
      <c r="D30" t="n">
        <v>1</v>
      </c>
      <c r="E30" t="inlineStr">
        <is>
          <t>primary</t>
        </is>
      </c>
      <c r="F30" t="n">
        <v>1184.428166351607</v>
      </c>
      <c r="G30">
        <f>2*SQRT(F30/PI())</f>
        <v/>
      </c>
      <c r="H30" t="n">
        <v>129.6519688160523</v>
      </c>
      <c r="I30" t="n">
        <v>424</v>
      </c>
      <c r="J30" t="n">
        <v>293</v>
      </c>
      <c r="K30" t="n">
        <v>1160.739603024575</v>
      </c>
      <c r="L30" t="n">
        <v>1208.116729678639</v>
      </c>
      <c r="M30">
        <f>2*SQRT(K30/PI())</f>
        <v/>
      </c>
      <c r="N30">
        <f>2*SQRT(L30/PI())</f>
        <v/>
      </c>
      <c r="P30" t="inlineStr">
        <is>
          <t>是</t>
        </is>
      </c>
      <c r="Q30" t="inlineStr">
        <is>
          <t>auto_pipeline;review_png_green</t>
        </is>
      </c>
      <c r="R30" t="inlineStr">
        <is>
          <t>样品41</t>
        </is>
      </c>
    </row>
    <row r="31">
      <c r="A31" t="n">
        <v>30</v>
      </c>
      <c r="B31" t="inlineStr">
        <is>
          <t>42 (1).tif</t>
        </is>
      </c>
      <c r="C31" t="inlineStr">
        <is>
          <t>42(1)-V01</t>
        </is>
      </c>
      <c r="D31" t="n">
        <v>1</v>
      </c>
      <c r="E31" t="inlineStr">
        <is>
          <t>primary</t>
        </is>
      </c>
      <c r="F31" t="n">
        <v>833.7429111531191</v>
      </c>
      <c r="G31">
        <f>2*SQRT(F31/PI())</f>
        <v/>
      </c>
      <c r="H31" t="n">
        <v>108.2767729655556</v>
      </c>
      <c r="I31" t="n">
        <v>609</v>
      </c>
      <c r="J31" t="n">
        <v>385</v>
      </c>
      <c r="K31" t="n">
        <v>817.0680529300566</v>
      </c>
      <c r="L31" t="n">
        <v>850.4177693761815</v>
      </c>
      <c r="M31">
        <f>2*SQRT(K31/PI())</f>
        <v/>
      </c>
      <c r="N31">
        <f>2*SQRT(L31/PI())</f>
        <v/>
      </c>
      <c r="O31" t="inlineStr">
        <is>
          <t>42(1)-P01</t>
        </is>
      </c>
      <c r="P31" t="inlineStr">
        <is>
          <t>是</t>
        </is>
      </c>
      <c r="Q31" t="inlineStr">
        <is>
          <t>auto_pipeline;review_png_green</t>
        </is>
      </c>
      <c r="R31" t="inlineStr">
        <is>
          <t>样品42</t>
        </is>
      </c>
    </row>
    <row r="32">
      <c r="A32" t="n">
        <v>31</v>
      </c>
      <c r="B32" t="inlineStr">
        <is>
          <t>42 (1).tif</t>
        </is>
      </c>
      <c r="C32" t="inlineStr">
        <is>
          <t>42(1)-V02</t>
        </is>
      </c>
      <c r="D32" t="n">
        <v>2</v>
      </c>
      <c r="E32" t="inlineStr">
        <is>
          <t>primary</t>
        </is>
      </c>
      <c r="F32" t="n">
        <v>586.4366729678638</v>
      </c>
      <c r="G32">
        <f>2*SQRT(F32/PI())</f>
        <v/>
      </c>
      <c r="H32" t="n">
        <v>90.97286447234775</v>
      </c>
      <c r="I32" t="n">
        <v>475</v>
      </c>
      <c r="J32" t="n">
        <v>277</v>
      </c>
      <c r="K32" t="n">
        <v>574.7079395085066</v>
      </c>
      <c r="L32" t="n">
        <v>598.1654064272211</v>
      </c>
      <c r="M32">
        <f>2*SQRT(K32/PI())</f>
        <v/>
      </c>
      <c r="N32">
        <f>2*SQRT(L32/PI())</f>
        <v/>
      </c>
      <c r="O32" t="inlineStr">
        <is>
          <t>42(1)-P01</t>
        </is>
      </c>
      <c r="P32" t="inlineStr">
        <is>
          <t>是</t>
        </is>
      </c>
      <c r="Q32" t="inlineStr">
        <is>
          <t>auto_pipeline;review_png_green</t>
        </is>
      </c>
      <c r="R32" t="inlineStr">
        <is>
          <t>样品42</t>
        </is>
      </c>
    </row>
    <row r="33">
      <c r="A33" t="n">
        <v>32</v>
      </c>
      <c r="B33" t="inlineStr">
        <is>
          <t>42 (1).tif</t>
        </is>
      </c>
      <c r="C33" t="inlineStr">
        <is>
          <t>42(1)-V03</t>
        </is>
      </c>
      <c r="D33" t="n">
        <v>3</v>
      </c>
      <c r="E33" t="inlineStr">
        <is>
          <t>primary</t>
        </is>
      </c>
      <c r="F33" t="n">
        <v>173.6531190926276</v>
      </c>
      <c r="G33">
        <f>2*SQRT(F33/PI())</f>
        <v/>
      </c>
      <c r="H33" t="n">
        <v>52.14456628198209</v>
      </c>
      <c r="I33" t="n">
        <v>389</v>
      </c>
      <c r="J33" t="n">
        <v>337</v>
      </c>
      <c r="K33" t="n">
        <v>170.1800567107751</v>
      </c>
      <c r="L33" t="n">
        <v>177.1261814744801</v>
      </c>
      <c r="M33">
        <f>2*SQRT(K33/PI())</f>
        <v/>
      </c>
      <c r="N33">
        <f>2*SQRT(L33/PI())</f>
        <v/>
      </c>
      <c r="P33" t="inlineStr">
        <is>
          <t>是</t>
        </is>
      </c>
      <c r="Q33" t="inlineStr">
        <is>
          <t>auto_pipeline;review_png_green</t>
        </is>
      </c>
      <c r="R33" t="inlineStr">
        <is>
          <t>样品42</t>
        </is>
      </c>
    </row>
    <row r="34">
      <c r="A34" t="n">
        <v>33</v>
      </c>
      <c r="B34" t="inlineStr">
        <is>
          <t>42 (1).tif</t>
        </is>
      </c>
      <c r="C34" t="inlineStr">
        <is>
          <t>42(1)-V04</t>
        </is>
      </c>
      <c r="D34" t="n">
        <v>4</v>
      </c>
      <c r="E34" t="inlineStr">
        <is>
          <t>primary</t>
        </is>
      </c>
      <c r="F34" t="n">
        <v>173.6058601134216</v>
      </c>
      <c r="G34">
        <f>2*SQRT(F34/PI())</f>
        <v/>
      </c>
      <c r="H34" t="n">
        <v>52.14456628198209</v>
      </c>
      <c r="I34" t="n">
        <v>480</v>
      </c>
      <c r="J34" t="n">
        <v>418</v>
      </c>
      <c r="K34" t="n">
        <v>170.1337429111531</v>
      </c>
      <c r="L34" t="n">
        <v>177.07797731569</v>
      </c>
      <c r="M34">
        <f>2*SQRT(K34/PI())</f>
        <v/>
      </c>
      <c r="N34">
        <f>2*SQRT(L34/PI())</f>
        <v/>
      </c>
      <c r="P34" t="inlineStr">
        <is>
          <t>是</t>
        </is>
      </c>
      <c r="Q34" t="inlineStr">
        <is>
          <t>auto_pipeline;review_png_green</t>
        </is>
      </c>
      <c r="R34" t="inlineStr">
        <is>
          <t>样品42</t>
        </is>
      </c>
    </row>
    <row r="35">
      <c r="A35" t="n">
        <v>34</v>
      </c>
      <c r="B35" t="inlineStr">
        <is>
          <t>42 (1).tif</t>
        </is>
      </c>
      <c r="C35" t="inlineStr">
        <is>
          <t>42(1)-V05</t>
        </is>
      </c>
      <c r="D35" t="n">
        <v>5</v>
      </c>
      <c r="E35" t="inlineStr">
        <is>
          <t>primary</t>
        </is>
      </c>
      <c r="F35" t="n">
        <v>137.476370510397</v>
      </c>
      <c r="G35">
        <f>2*SQRT(F35/PI())</f>
        <v/>
      </c>
      <c r="H35" t="n">
        <v>44.12933645041092</v>
      </c>
      <c r="I35" t="n">
        <v>792</v>
      </c>
      <c r="J35" t="n">
        <v>602</v>
      </c>
      <c r="K35" t="n">
        <v>134.726843100189</v>
      </c>
      <c r="L35" t="n">
        <v>140.2258979206049</v>
      </c>
      <c r="M35">
        <f>2*SQRT(K35/PI())</f>
        <v/>
      </c>
      <c r="N35">
        <f>2*SQRT(L35/PI())</f>
        <v/>
      </c>
      <c r="P35" t="inlineStr">
        <is>
          <t>是</t>
        </is>
      </c>
      <c r="Q35" t="inlineStr">
        <is>
          <t>auto_pipeline;review_png_green</t>
        </is>
      </c>
      <c r="R35" t="inlineStr">
        <is>
          <t>样品42</t>
        </is>
      </c>
    </row>
    <row r="36">
      <c r="A36" t="n">
        <v>35</v>
      </c>
      <c r="B36" t="inlineStr">
        <is>
          <t>42 (1).tif</t>
        </is>
      </c>
      <c r="C36" t="inlineStr">
        <is>
          <t>42(1)-V06</t>
        </is>
      </c>
      <c r="D36" t="n">
        <v>6</v>
      </c>
      <c r="E36" t="inlineStr">
        <is>
          <t>primary</t>
        </is>
      </c>
      <c r="F36" t="n">
        <v>124.8109640831758</v>
      </c>
      <c r="G36">
        <f>2*SQRT(F36/PI())</f>
        <v/>
      </c>
      <c r="H36" t="n">
        <v>43.25977123301962</v>
      </c>
      <c r="I36" t="n">
        <v>725</v>
      </c>
      <c r="J36" t="n">
        <v>557</v>
      </c>
      <c r="K36" t="n">
        <v>122.3147448015123</v>
      </c>
      <c r="L36" t="n">
        <v>127.3071833648393</v>
      </c>
      <c r="M36">
        <f>2*SQRT(K36/PI())</f>
        <v/>
      </c>
      <c r="N36">
        <f>2*SQRT(L36/PI())</f>
        <v/>
      </c>
      <c r="P36" t="inlineStr">
        <is>
          <t>是</t>
        </is>
      </c>
      <c r="Q36" t="inlineStr">
        <is>
          <t>auto_pipeline;review_png_green</t>
        </is>
      </c>
      <c r="R36" t="inlineStr">
        <is>
          <t>样品42</t>
        </is>
      </c>
    </row>
    <row r="37">
      <c r="A37" t="n">
        <v>36</v>
      </c>
      <c r="B37" t="inlineStr">
        <is>
          <t>42 (1).tif</t>
        </is>
      </c>
      <c r="C37" t="inlineStr">
        <is>
          <t>42(1)-V07</t>
        </is>
      </c>
      <c r="D37" t="n">
        <v>7</v>
      </c>
      <c r="E37" t="inlineStr">
        <is>
          <t>primary</t>
        </is>
      </c>
      <c r="F37" t="n">
        <v>110.1134215500945</v>
      </c>
      <c r="G37">
        <f>2*SQRT(F37/PI())</f>
        <v/>
      </c>
      <c r="H37" t="n">
        <v>42.43390394293743</v>
      </c>
      <c r="I37" t="n">
        <v>57</v>
      </c>
      <c r="J37" t="n">
        <v>557</v>
      </c>
      <c r="K37" t="n">
        <v>107.9111531190926</v>
      </c>
      <c r="L37" t="n">
        <v>112.3156899810964</v>
      </c>
      <c r="M37">
        <f>2*SQRT(K37/PI())</f>
        <v/>
      </c>
      <c r="N37">
        <f>2*SQRT(L37/PI())</f>
        <v/>
      </c>
      <c r="P37" t="inlineStr">
        <is>
          <t>是</t>
        </is>
      </c>
      <c r="Q37" t="inlineStr">
        <is>
          <t>auto_pipeline;review_png_green</t>
        </is>
      </c>
      <c r="R37" t="inlineStr">
        <is>
          <t>样品42</t>
        </is>
      </c>
    </row>
    <row r="38">
      <c r="A38" t="n">
        <v>37</v>
      </c>
      <c r="B38" t="inlineStr">
        <is>
          <t>42 (2).tif</t>
        </is>
      </c>
      <c r="C38" t="inlineStr">
        <is>
          <t>42(2)-V01</t>
        </is>
      </c>
      <c r="D38" t="n">
        <v>1</v>
      </c>
      <c r="E38" t="inlineStr">
        <is>
          <t>primary</t>
        </is>
      </c>
      <c r="F38" t="n">
        <v>552.6465028355387</v>
      </c>
      <c r="G38">
        <f>2*SQRT(F38/PI())</f>
        <v/>
      </c>
      <c r="H38" t="n">
        <v>88.00398313480875</v>
      </c>
      <c r="I38" t="n">
        <v>566</v>
      </c>
      <c r="J38" t="n">
        <v>331</v>
      </c>
      <c r="K38" t="n">
        <v>541.5935727788279</v>
      </c>
      <c r="L38" t="n">
        <v>563.6994328922495</v>
      </c>
      <c r="M38">
        <f>2*SQRT(K38/PI())</f>
        <v/>
      </c>
      <c r="N38">
        <f>2*SQRT(L38/PI())</f>
        <v/>
      </c>
      <c r="P38" t="inlineStr">
        <is>
          <t>是</t>
        </is>
      </c>
      <c r="Q38" t="inlineStr">
        <is>
          <t>auto_pipeline;review_png_green</t>
        </is>
      </c>
      <c r="R38" t="inlineStr">
        <is>
          <t>样品42</t>
        </is>
      </c>
    </row>
    <row r="39">
      <c r="A39" t="n">
        <v>38</v>
      </c>
      <c r="B39" t="inlineStr">
        <is>
          <t>42 (2).tif</t>
        </is>
      </c>
      <c r="C39" t="inlineStr">
        <is>
          <t>42(2)-V02</t>
        </is>
      </c>
      <c r="D39" t="n">
        <v>2</v>
      </c>
      <c r="E39" t="inlineStr">
        <is>
          <t>primary</t>
        </is>
      </c>
      <c r="F39" t="n">
        <v>469.9905482041588</v>
      </c>
      <c r="G39">
        <f>2*SQRT(F39/PI())</f>
        <v/>
      </c>
      <c r="H39" t="n">
        <v>81.70603477436563</v>
      </c>
      <c r="I39" t="n">
        <v>725</v>
      </c>
      <c r="J39" t="n">
        <v>195</v>
      </c>
      <c r="K39" t="n">
        <v>460.5907372400756</v>
      </c>
      <c r="L39" t="n">
        <v>479.390359168242</v>
      </c>
      <c r="M39">
        <f>2*SQRT(K39/PI())</f>
        <v/>
      </c>
      <c r="N39">
        <f>2*SQRT(L39/PI())</f>
        <v/>
      </c>
      <c r="P39" t="inlineStr">
        <is>
          <t>是</t>
        </is>
      </c>
      <c r="Q39" t="inlineStr">
        <is>
          <t>auto_pipeline;review_png_green</t>
        </is>
      </c>
      <c r="R39" t="inlineStr">
        <is>
          <t>样品42</t>
        </is>
      </c>
    </row>
    <row r="40">
      <c r="A40" t="n">
        <v>39</v>
      </c>
      <c r="B40" t="inlineStr">
        <is>
          <t>42 (2).tif</t>
        </is>
      </c>
      <c r="C40" t="inlineStr">
        <is>
          <t>42(2)-V03</t>
        </is>
      </c>
      <c r="D40" t="n">
        <v>3</v>
      </c>
      <c r="E40" t="inlineStr">
        <is>
          <t>primary</t>
        </is>
      </c>
      <c r="F40" t="n">
        <v>334.2863894139887</v>
      </c>
      <c r="G40">
        <f>2*SQRT(F40/PI())</f>
        <v/>
      </c>
      <c r="H40" t="n">
        <v>68.72810340445974</v>
      </c>
      <c r="I40" t="n">
        <v>302</v>
      </c>
      <c r="J40" t="n">
        <v>478</v>
      </c>
      <c r="K40" t="n">
        <v>327.6006616257089</v>
      </c>
      <c r="L40" t="n">
        <v>340.9721172022685</v>
      </c>
      <c r="M40">
        <f>2*SQRT(K40/PI())</f>
        <v/>
      </c>
      <c r="N40">
        <f>2*SQRT(L40/PI())</f>
        <v/>
      </c>
      <c r="O40" t="inlineStr">
        <is>
          <t>42(2)-P01</t>
        </is>
      </c>
      <c r="P40" t="inlineStr">
        <is>
          <t>是</t>
        </is>
      </c>
      <c r="Q40" t="inlineStr">
        <is>
          <t>auto_pipeline;review_png_green</t>
        </is>
      </c>
      <c r="R40" t="inlineStr">
        <is>
          <t>样品42</t>
        </is>
      </c>
    </row>
    <row r="41">
      <c r="A41" t="n">
        <v>40</v>
      </c>
      <c r="B41" t="inlineStr">
        <is>
          <t>42 (2).tif</t>
        </is>
      </c>
      <c r="C41" t="inlineStr">
        <is>
          <t>42(2)-V04</t>
        </is>
      </c>
      <c r="D41" t="n">
        <v>4</v>
      </c>
      <c r="E41" t="inlineStr">
        <is>
          <t>primary</t>
        </is>
      </c>
      <c r="F41" t="n">
        <v>314.2722117202268</v>
      </c>
      <c r="G41">
        <f>2*SQRT(F41/PI())</f>
        <v/>
      </c>
      <c r="H41" t="n">
        <v>73.05408052776171</v>
      </c>
      <c r="I41" t="n">
        <v>203</v>
      </c>
      <c r="J41" t="n">
        <v>534</v>
      </c>
      <c r="K41" t="n">
        <v>307.9867674858223</v>
      </c>
      <c r="L41" t="n">
        <v>320.5576559546314</v>
      </c>
      <c r="M41">
        <f>2*SQRT(K41/PI())</f>
        <v/>
      </c>
      <c r="N41">
        <f>2*SQRT(L41/PI())</f>
        <v/>
      </c>
      <c r="O41" t="inlineStr">
        <is>
          <t>42(2)-P01</t>
        </is>
      </c>
      <c r="P41" t="inlineStr">
        <is>
          <t>是</t>
        </is>
      </c>
      <c r="Q41" t="inlineStr">
        <is>
          <t>auto_pipeline;review_png_green</t>
        </is>
      </c>
      <c r="R41" t="inlineStr">
        <is>
          <t>样品42</t>
        </is>
      </c>
    </row>
    <row r="42">
      <c r="A42" t="n">
        <v>41</v>
      </c>
      <c r="B42" t="inlineStr">
        <is>
          <t>42 (2).tif</t>
        </is>
      </c>
      <c r="C42" t="inlineStr">
        <is>
          <t>42(2)-V05</t>
        </is>
      </c>
      <c r="D42" t="n">
        <v>5</v>
      </c>
      <c r="E42" t="inlineStr">
        <is>
          <t>primary</t>
        </is>
      </c>
      <c r="F42" t="n">
        <v>248.038752362949</v>
      </c>
      <c r="G42">
        <f>2*SQRT(F42/PI())</f>
        <v/>
      </c>
      <c r="H42" t="n">
        <v>59.20658394046452</v>
      </c>
      <c r="I42" t="n">
        <v>857</v>
      </c>
      <c r="J42" t="n">
        <v>105</v>
      </c>
      <c r="K42" t="n">
        <v>243.07797731569</v>
      </c>
      <c r="L42" t="n">
        <v>252.9995274102079</v>
      </c>
      <c r="M42">
        <f>2*SQRT(K42/PI())</f>
        <v/>
      </c>
      <c r="N42">
        <f>2*SQRT(L42/PI())</f>
        <v/>
      </c>
      <c r="P42" t="inlineStr">
        <is>
          <t>是</t>
        </is>
      </c>
      <c r="Q42" t="inlineStr">
        <is>
          <t>auto_pipeline;review_png_green</t>
        </is>
      </c>
      <c r="R42" t="inlineStr">
        <is>
          <t>样品42</t>
        </is>
      </c>
    </row>
    <row r="43">
      <c r="A43" t="n">
        <v>42</v>
      </c>
      <c r="B43" t="inlineStr">
        <is>
          <t>42 (3).tif</t>
        </is>
      </c>
      <c r="C43" t="inlineStr">
        <is>
          <t>42(3)-V01</t>
        </is>
      </c>
      <c r="D43" t="n">
        <v>1</v>
      </c>
      <c r="E43" t="inlineStr">
        <is>
          <t>primary</t>
        </is>
      </c>
      <c r="F43" t="n">
        <v>531.1436672967864</v>
      </c>
      <c r="G43">
        <f>2*SQRT(F43/PI())</f>
        <v/>
      </c>
      <c r="H43" t="n">
        <v>86.77423223205234</v>
      </c>
      <c r="I43" t="n">
        <v>542</v>
      </c>
      <c r="J43" t="n">
        <v>340</v>
      </c>
      <c r="K43" t="n">
        <v>520.5207939508506</v>
      </c>
      <c r="L43" t="n">
        <v>541.7665406427221</v>
      </c>
      <c r="M43">
        <f>2*SQRT(K43/PI())</f>
        <v/>
      </c>
      <c r="N43">
        <f>2*SQRT(L43/PI())</f>
        <v/>
      </c>
      <c r="O43" t="inlineStr">
        <is>
          <t>42(3)-P01</t>
        </is>
      </c>
      <c r="P43" t="inlineStr">
        <is>
          <t>是</t>
        </is>
      </c>
      <c r="Q43" t="inlineStr">
        <is>
          <t>auto_pipeline;review_png_green</t>
        </is>
      </c>
      <c r="R43" t="inlineStr">
        <is>
          <t>样品42</t>
        </is>
      </c>
    </row>
    <row r="44">
      <c r="A44" t="n">
        <v>43</v>
      </c>
      <c r="B44" t="inlineStr">
        <is>
          <t>42 (3).tif</t>
        </is>
      </c>
      <c r="C44" t="inlineStr">
        <is>
          <t>42(3)-V02</t>
        </is>
      </c>
      <c r="D44" t="n">
        <v>2</v>
      </c>
      <c r="E44" t="inlineStr">
        <is>
          <t>primary</t>
        </is>
      </c>
      <c r="F44" t="n">
        <v>508.1758034026465</v>
      </c>
      <c r="G44">
        <f>2*SQRT(F44/PI())</f>
        <v/>
      </c>
      <c r="H44" t="n">
        <v>84.42022634589154</v>
      </c>
      <c r="I44" t="n">
        <v>448</v>
      </c>
      <c r="J44" t="n">
        <v>439</v>
      </c>
      <c r="K44" t="n">
        <v>498.0122873345936</v>
      </c>
      <c r="L44" t="n">
        <v>518.3393194706995</v>
      </c>
      <c r="M44">
        <f>2*SQRT(K44/PI())</f>
        <v/>
      </c>
      <c r="N44">
        <f>2*SQRT(L44/PI())</f>
        <v/>
      </c>
      <c r="O44" t="inlineStr">
        <is>
          <t>42(3)-P01</t>
        </is>
      </c>
      <c r="P44" t="inlineStr">
        <is>
          <t>是</t>
        </is>
      </c>
      <c r="Q44" t="inlineStr">
        <is>
          <t>auto_pipeline;review_png_green</t>
        </is>
      </c>
      <c r="R44" t="inlineStr">
        <is>
          <t>样品42</t>
        </is>
      </c>
    </row>
    <row r="45">
      <c r="A45" t="n">
        <v>44</v>
      </c>
      <c r="B45" t="inlineStr">
        <is>
          <t>42 (3).tif</t>
        </is>
      </c>
      <c r="C45" t="inlineStr">
        <is>
          <t>42(3)-V03</t>
        </is>
      </c>
      <c r="D45" t="n">
        <v>3</v>
      </c>
      <c r="E45" t="inlineStr">
        <is>
          <t>primary</t>
        </is>
      </c>
      <c r="F45" t="n">
        <v>422.9206049149338</v>
      </c>
      <c r="G45">
        <f>2*SQRT(F45/PI())</f>
        <v/>
      </c>
      <c r="H45" t="n">
        <v>78.22777390480042</v>
      </c>
      <c r="I45" t="n">
        <v>167</v>
      </c>
      <c r="J45" t="n">
        <v>457</v>
      </c>
      <c r="K45" t="n">
        <v>414.4621928166351</v>
      </c>
      <c r="L45" t="n">
        <v>431.3790170132326</v>
      </c>
      <c r="M45">
        <f>2*SQRT(K45/PI())</f>
        <v/>
      </c>
      <c r="N45">
        <f>2*SQRT(L45/PI())</f>
        <v/>
      </c>
      <c r="P45" t="inlineStr">
        <is>
          <t>是</t>
        </is>
      </c>
      <c r="Q45" t="inlineStr">
        <is>
          <t>auto_pipeline;review_png_green</t>
        </is>
      </c>
      <c r="R45" t="inlineStr">
        <is>
          <t>样品42</t>
        </is>
      </c>
    </row>
    <row r="46">
      <c r="A46" t="n">
        <v>45</v>
      </c>
      <c r="B46" t="inlineStr">
        <is>
          <t>42 (3).tif</t>
        </is>
      </c>
      <c r="C46" t="inlineStr">
        <is>
          <t>42(3)-V04</t>
        </is>
      </c>
      <c r="D46" t="n">
        <v>4</v>
      </c>
      <c r="E46" t="inlineStr">
        <is>
          <t>primary</t>
        </is>
      </c>
      <c r="F46" t="n">
        <v>407.3251417769376</v>
      </c>
      <c r="G46">
        <f>2*SQRT(F46/PI())</f>
        <v/>
      </c>
      <c r="H46" t="n">
        <v>75.76827209928761</v>
      </c>
      <c r="I46" t="n">
        <v>287</v>
      </c>
      <c r="J46" t="n">
        <v>349</v>
      </c>
      <c r="K46" t="n">
        <v>399.1786389413989</v>
      </c>
      <c r="L46" t="n">
        <v>415.4716446124764</v>
      </c>
      <c r="M46">
        <f>2*SQRT(K46/PI())</f>
        <v/>
      </c>
      <c r="N46">
        <f>2*SQRT(L46/PI())</f>
        <v/>
      </c>
      <c r="P46" t="inlineStr">
        <is>
          <t>是</t>
        </is>
      </c>
      <c r="Q46" t="inlineStr">
        <is>
          <t>auto_pipeline;review_png_green</t>
        </is>
      </c>
      <c r="R46" t="inlineStr">
        <is>
          <t>样品42</t>
        </is>
      </c>
    </row>
    <row r="47">
      <c r="A47" t="n">
        <v>46</v>
      </c>
      <c r="B47" t="inlineStr">
        <is>
          <t>42 (4).tif</t>
        </is>
      </c>
      <c r="C47" t="inlineStr">
        <is>
          <t>42(4)-V01</t>
        </is>
      </c>
      <c r="D47" t="n">
        <v>1</v>
      </c>
      <c r="E47" t="inlineStr">
        <is>
          <t>primary</t>
        </is>
      </c>
      <c r="F47" t="n">
        <v>1144.13988657845</v>
      </c>
      <c r="G47">
        <f>2*SQRT(F47/PI())</f>
        <v/>
      </c>
      <c r="H47" t="n">
        <v>126.8104323615199</v>
      </c>
      <c r="I47" t="n">
        <v>384</v>
      </c>
      <c r="J47" t="n">
        <v>371</v>
      </c>
      <c r="K47" t="n">
        <v>1121.257088846881</v>
      </c>
      <c r="L47" t="n">
        <v>1167.022684310019</v>
      </c>
      <c r="M47">
        <f>2*SQRT(K47/PI())</f>
        <v/>
      </c>
      <c r="N47">
        <f>2*SQRT(L47/PI())</f>
        <v/>
      </c>
      <c r="P47" t="inlineStr">
        <is>
          <t>是</t>
        </is>
      </c>
      <c r="Q47" t="inlineStr">
        <is>
          <t>auto_pipeline;review_png_green</t>
        </is>
      </c>
      <c r="R47" t="inlineStr">
        <is>
          <t>样品42</t>
        </is>
      </c>
    </row>
    <row r="48">
      <c r="A48" t="n">
        <v>47</v>
      </c>
      <c r="B48" t="inlineStr">
        <is>
          <t>42 (4).tif</t>
        </is>
      </c>
      <c r="C48" t="inlineStr">
        <is>
          <t>42(4)-V02</t>
        </is>
      </c>
      <c r="D48" t="n">
        <v>2</v>
      </c>
      <c r="E48" t="inlineStr">
        <is>
          <t>primary</t>
        </is>
      </c>
      <c r="F48" t="n">
        <v>999.1965973534972</v>
      </c>
      <c r="G48">
        <f>2*SQRT(F48/PI())</f>
        <v/>
      </c>
      <c r="H48" t="n">
        <v>119.6429187836854</v>
      </c>
      <c r="I48" t="n">
        <v>587</v>
      </c>
      <c r="J48" t="n">
        <v>330</v>
      </c>
      <c r="K48" t="n">
        <v>979.2126654064272</v>
      </c>
      <c r="L48" t="n">
        <v>1019.180529300567</v>
      </c>
      <c r="M48">
        <f>2*SQRT(K48/PI())</f>
        <v/>
      </c>
      <c r="N48">
        <f>2*SQRT(L48/PI())</f>
        <v/>
      </c>
      <c r="P48" t="inlineStr">
        <is>
          <t>是</t>
        </is>
      </c>
      <c r="Q48" t="inlineStr">
        <is>
          <t>auto_pipeline;review_png_green</t>
        </is>
      </c>
      <c r="R48" t="inlineStr">
        <is>
          <t>样品42</t>
        </is>
      </c>
    </row>
    <row r="49">
      <c r="A49" t="n">
        <v>48</v>
      </c>
      <c r="B49" t="inlineStr">
        <is>
          <t>42 (5).tif</t>
        </is>
      </c>
      <c r="C49" t="inlineStr">
        <is>
          <t>42(5)-V01</t>
        </is>
      </c>
      <c r="D49" t="n">
        <v>1</v>
      </c>
      <c r="E49" t="inlineStr">
        <is>
          <t>primary</t>
        </is>
      </c>
      <c r="F49" t="n">
        <v>738.6814744801512</v>
      </c>
      <c r="G49">
        <f>2*SQRT(F49/PI())</f>
        <v/>
      </c>
      <c r="H49" t="n">
        <v>103.3359203908754</v>
      </c>
      <c r="I49" t="n">
        <v>442</v>
      </c>
      <c r="J49" t="n">
        <v>437</v>
      </c>
      <c r="K49" t="n">
        <v>723.9078449905481</v>
      </c>
      <c r="L49" t="n">
        <v>753.4551039697543</v>
      </c>
      <c r="M49">
        <f>2*SQRT(K49/PI())</f>
        <v/>
      </c>
      <c r="N49">
        <f>2*SQRT(L49/PI())</f>
        <v/>
      </c>
      <c r="O49" t="inlineStr">
        <is>
          <t>42(5)-P01</t>
        </is>
      </c>
      <c r="P49" t="inlineStr">
        <is>
          <t>是</t>
        </is>
      </c>
      <c r="Q49" t="inlineStr">
        <is>
          <t>auto_pipeline;review_png_green</t>
        </is>
      </c>
      <c r="R49" t="inlineStr">
        <is>
          <t>样品42</t>
        </is>
      </c>
    </row>
    <row r="50">
      <c r="A50" t="n">
        <v>49</v>
      </c>
      <c r="B50" t="inlineStr">
        <is>
          <t>42 (5).tif</t>
        </is>
      </c>
      <c r="C50" t="inlineStr">
        <is>
          <t>42(5)-V02</t>
        </is>
      </c>
      <c r="D50" t="n">
        <v>2</v>
      </c>
      <c r="E50" t="inlineStr">
        <is>
          <t>primary</t>
        </is>
      </c>
      <c r="F50" t="n">
        <v>656.4508506616257</v>
      </c>
      <c r="G50">
        <f>2*SQRT(F50/PI())</f>
        <v/>
      </c>
      <c r="H50" t="n">
        <v>97.86383932051451</v>
      </c>
      <c r="I50" t="n">
        <v>117</v>
      </c>
      <c r="J50" t="n">
        <v>432</v>
      </c>
      <c r="K50" t="n">
        <v>643.3218336483932</v>
      </c>
      <c r="L50" t="n">
        <v>669.5798676748583</v>
      </c>
      <c r="M50">
        <f>2*SQRT(K50/PI())</f>
        <v/>
      </c>
      <c r="N50">
        <f>2*SQRT(L50/PI())</f>
        <v/>
      </c>
      <c r="P50" t="inlineStr">
        <is>
          <t>是</t>
        </is>
      </c>
      <c r="Q50" t="inlineStr">
        <is>
          <t>auto_pipeline;review_png_green</t>
        </is>
      </c>
      <c r="R50" t="inlineStr">
        <is>
          <t>样品42</t>
        </is>
      </c>
    </row>
    <row r="51">
      <c r="A51" t="n">
        <v>50</v>
      </c>
      <c r="B51" t="inlineStr">
        <is>
          <t>42 (5).tif</t>
        </is>
      </c>
      <c r="C51" t="inlineStr">
        <is>
          <t>42(5)-V03</t>
        </is>
      </c>
      <c r="D51" t="n">
        <v>3</v>
      </c>
      <c r="E51" t="inlineStr">
        <is>
          <t>primary</t>
        </is>
      </c>
      <c r="F51" t="n">
        <v>463.3270321361059</v>
      </c>
      <c r="G51">
        <f>2*SQRT(F51/PI())</f>
        <v/>
      </c>
      <c r="H51" t="n">
        <v>82.32091022574383</v>
      </c>
      <c r="I51" t="n">
        <v>517</v>
      </c>
      <c r="J51" t="n">
        <v>319</v>
      </c>
      <c r="K51" t="n">
        <v>454.0604914933837</v>
      </c>
      <c r="L51" t="n">
        <v>472.593572778828</v>
      </c>
      <c r="M51">
        <f>2*SQRT(K51/PI())</f>
        <v/>
      </c>
      <c r="N51">
        <f>2*SQRT(L51/PI())</f>
        <v/>
      </c>
      <c r="O51" t="inlineStr">
        <is>
          <t>42(5)-P01</t>
        </is>
      </c>
      <c r="P51" t="inlineStr">
        <is>
          <t>是</t>
        </is>
      </c>
      <c r="Q51" t="inlineStr">
        <is>
          <t>auto_pipeline;review_png_green</t>
        </is>
      </c>
      <c r="R51" t="inlineStr">
        <is>
          <t>样品42</t>
        </is>
      </c>
    </row>
    <row r="52">
      <c r="A52" t="n">
        <v>51</v>
      </c>
      <c r="B52" t="inlineStr">
        <is>
          <t>42 (5).tif</t>
        </is>
      </c>
      <c r="C52" t="inlineStr">
        <is>
          <t>42(5)-V04</t>
        </is>
      </c>
      <c r="D52" t="n">
        <v>4</v>
      </c>
      <c r="E52" t="inlineStr">
        <is>
          <t>primary</t>
        </is>
      </c>
      <c r="F52" t="n">
        <v>436.0349716446125</v>
      </c>
      <c r="G52">
        <f>2*SQRT(F52/PI())</f>
        <v/>
      </c>
      <c r="H52" t="n">
        <v>78.86449831983317</v>
      </c>
      <c r="I52" t="n">
        <v>171</v>
      </c>
      <c r="J52" t="n">
        <v>221</v>
      </c>
      <c r="K52" t="n">
        <v>427.3142722117202</v>
      </c>
      <c r="L52" t="n">
        <v>444.7556710775048</v>
      </c>
      <c r="M52">
        <f>2*SQRT(K52/PI())</f>
        <v/>
      </c>
      <c r="N52">
        <f>2*SQRT(L52/PI())</f>
        <v/>
      </c>
      <c r="P52" t="inlineStr">
        <is>
          <t>是</t>
        </is>
      </c>
      <c r="Q52" t="inlineStr">
        <is>
          <t>auto_pipeline;review_png_green</t>
        </is>
      </c>
      <c r="R52" t="inlineStr">
        <is>
          <t>样品42</t>
        </is>
      </c>
    </row>
    <row r="53">
      <c r="A53" t="n">
        <v>52</v>
      </c>
      <c r="B53" t="inlineStr">
        <is>
          <t>42 (6).tif</t>
        </is>
      </c>
      <c r="C53" t="inlineStr">
        <is>
          <t>42(6)-V01</t>
        </is>
      </c>
      <c r="D53" t="n">
        <v>1</v>
      </c>
      <c r="E53" t="inlineStr">
        <is>
          <t>primary</t>
        </is>
      </c>
      <c r="F53" t="n">
        <v>654.749527410208</v>
      </c>
      <c r="G53">
        <f>2*SQRT(F53/PI())</f>
        <v/>
      </c>
      <c r="H53" t="n">
        <v>96.16840681304102</v>
      </c>
      <c r="I53" t="n">
        <v>446</v>
      </c>
      <c r="J53" t="n">
        <v>443</v>
      </c>
      <c r="K53" t="n">
        <v>641.6545368620039</v>
      </c>
      <c r="L53" t="n">
        <v>667.8445179584121</v>
      </c>
      <c r="M53">
        <f>2*SQRT(K53/PI())</f>
        <v/>
      </c>
      <c r="N53">
        <f>2*SQRT(L53/PI())</f>
        <v/>
      </c>
      <c r="O53" t="inlineStr">
        <is>
          <t>42(6)-P01</t>
        </is>
      </c>
      <c r="P53" t="inlineStr">
        <is>
          <t>是</t>
        </is>
      </c>
      <c r="Q53" t="inlineStr">
        <is>
          <t>auto_pipeline;review_png_green</t>
        </is>
      </c>
      <c r="R53" t="inlineStr">
        <is>
          <t>样品42</t>
        </is>
      </c>
    </row>
    <row r="54">
      <c r="A54" t="n">
        <v>53</v>
      </c>
      <c r="B54" t="inlineStr">
        <is>
          <t>42 (6).tif</t>
        </is>
      </c>
      <c r="C54" t="inlineStr">
        <is>
          <t>42(6)-V02</t>
        </is>
      </c>
      <c r="D54" t="n">
        <v>2</v>
      </c>
      <c r="E54" t="inlineStr">
        <is>
          <t>primary</t>
        </is>
      </c>
      <c r="F54" t="n">
        <v>528.6153119092628</v>
      </c>
      <c r="G54">
        <f>2*SQRT(F54/PI())</f>
        <v/>
      </c>
      <c r="H54" t="n">
        <v>91.96977457274561</v>
      </c>
      <c r="I54" t="n">
        <v>918</v>
      </c>
      <c r="J54" t="n">
        <v>116</v>
      </c>
      <c r="K54" t="n">
        <v>518.0430056710775</v>
      </c>
      <c r="L54" t="n">
        <v>539.1876181474481</v>
      </c>
      <c r="M54">
        <f>2*SQRT(K54/PI())</f>
        <v/>
      </c>
      <c r="N54">
        <f>2*SQRT(L54/PI())</f>
        <v/>
      </c>
      <c r="P54" t="inlineStr">
        <is>
          <t>是</t>
        </is>
      </c>
      <c r="Q54" t="inlineStr">
        <is>
          <t>auto_pipeline;review_png_green</t>
        </is>
      </c>
      <c r="R54" t="inlineStr">
        <is>
          <t>样品42</t>
        </is>
      </c>
    </row>
    <row r="55">
      <c r="A55" t="n">
        <v>54</v>
      </c>
      <c r="B55" t="inlineStr">
        <is>
          <t>42 (6).tif</t>
        </is>
      </c>
      <c r="C55" t="inlineStr">
        <is>
          <t>42(6)-V03</t>
        </is>
      </c>
      <c r="D55" t="n">
        <v>3</v>
      </c>
      <c r="E55" t="inlineStr">
        <is>
          <t>primary</t>
        </is>
      </c>
      <c r="F55" t="n">
        <v>489.7211720226843</v>
      </c>
      <c r="G55">
        <f>2*SQRT(F55/PI())</f>
        <v/>
      </c>
      <c r="H55" t="n">
        <v>84.187385543533</v>
      </c>
      <c r="I55" t="n">
        <v>515</v>
      </c>
      <c r="J55" t="n">
        <v>328</v>
      </c>
      <c r="K55" t="n">
        <v>479.9267485822306</v>
      </c>
      <c r="L55" t="n">
        <v>499.515595463138</v>
      </c>
      <c r="M55">
        <f>2*SQRT(K55/PI())</f>
        <v/>
      </c>
      <c r="N55">
        <f>2*SQRT(L55/PI())</f>
        <v/>
      </c>
      <c r="O55" t="inlineStr">
        <is>
          <t>42(6)-P01</t>
        </is>
      </c>
      <c r="P55" t="inlineStr">
        <is>
          <t>是</t>
        </is>
      </c>
      <c r="Q55" t="inlineStr">
        <is>
          <t>auto_pipeline;review_png_green</t>
        </is>
      </c>
      <c r="R55" t="inlineStr">
        <is>
          <t>样品42</t>
        </is>
      </c>
    </row>
    <row r="56">
      <c r="A56" t="n">
        <v>55</v>
      </c>
      <c r="B56" t="inlineStr">
        <is>
          <t>42 (6).tif</t>
        </is>
      </c>
      <c r="C56" t="inlineStr">
        <is>
          <t>42(6)-V04</t>
        </is>
      </c>
      <c r="D56" t="n">
        <v>4</v>
      </c>
      <c r="E56" t="inlineStr">
        <is>
          <t>primary</t>
        </is>
      </c>
      <c r="F56" t="n">
        <v>424.4801512287335</v>
      </c>
      <c r="G56">
        <f>2*SQRT(F56/PI())</f>
        <v/>
      </c>
      <c r="H56" t="n">
        <v>80.68727571031322</v>
      </c>
      <c r="I56" t="n">
        <v>111</v>
      </c>
      <c r="J56" t="n">
        <v>417</v>
      </c>
      <c r="K56" t="n">
        <v>415.9905482041588</v>
      </c>
      <c r="L56" t="n">
        <v>432.9697542533081</v>
      </c>
      <c r="M56">
        <f>2*SQRT(K56/PI())</f>
        <v/>
      </c>
      <c r="N56">
        <f>2*SQRT(L56/PI())</f>
        <v/>
      </c>
      <c r="P56" t="inlineStr">
        <is>
          <t>是</t>
        </is>
      </c>
      <c r="Q56" t="inlineStr">
        <is>
          <t>auto_pipeline;review_png_green</t>
        </is>
      </c>
      <c r="R56" t="inlineStr">
        <is>
          <t>样品42</t>
        </is>
      </c>
    </row>
    <row r="57">
      <c r="A57" t="n">
        <v>56</v>
      </c>
      <c r="B57" t="inlineStr">
        <is>
          <t>42 (6).tif</t>
        </is>
      </c>
      <c r="C57" t="inlineStr">
        <is>
          <t>42(6)-V05</t>
        </is>
      </c>
      <c r="D57" t="n">
        <v>5</v>
      </c>
      <c r="E57" t="inlineStr">
        <is>
          <t>primary</t>
        </is>
      </c>
      <c r="F57" t="n">
        <v>383.1994328922495</v>
      </c>
      <c r="G57">
        <f>2*SQRT(F57/PI())</f>
        <v/>
      </c>
      <c r="H57" t="n">
        <v>73.79630086214645</v>
      </c>
      <c r="I57" t="n">
        <v>734</v>
      </c>
      <c r="J57" t="n">
        <v>214</v>
      </c>
      <c r="K57" t="n">
        <v>375.5354442344046</v>
      </c>
      <c r="L57" t="n">
        <v>390.8634215500945</v>
      </c>
      <c r="M57">
        <f>2*SQRT(K57/PI())</f>
        <v/>
      </c>
      <c r="N57">
        <f>2*SQRT(L57/PI())</f>
        <v/>
      </c>
      <c r="P57" t="inlineStr">
        <is>
          <t>是</t>
        </is>
      </c>
      <c r="Q57" t="inlineStr">
        <is>
          <t>auto_pipeline;review_png_green</t>
        </is>
      </c>
      <c r="R57" t="inlineStr">
        <is>
          <t>样品42</t>
        </is>
      </c>
    </row>
    <row r="58">
      <c r="A58" t="n">
        <v>57</v>
      </c>
      <c r="B58" t="inlineStr">
        <is>
          <t>42 (7).tif</t>
        </is>
      </c>
      <c r="C58" t="inlineStr">
        <is>
          <t>42(7)-V01</t>
        </is>
      </c>
      <c r="D58" t="n">
        <v>1</v>
      </c>
      <c r="E58" t="inlineStr">
        <is>
          <t>primary</t>
        </is>
      </c>
      <c r="F58" t="n">
        <v>537.6654064272212</v>
      </c>
      <c r="G58">
        <f>2*SQRT(F58/PI())</f>
        <v/>
      </c>
      <c r="H58" t="n">
        <v>87.74929336879565</v>
      </c>
      <c r="I58" t="n">
        <v>744</v>
      </c>
      <c r="J58" t="n">
        <v>402</v>
      </c>
      <c r="K58" t="n">
        <v>526.9120982986768</v>
      </c>
      <c r="L58" t="n">
        <v>548.4187145557656</v>
      </c>
      <c r="M58">
        <f>2*SQRT(K58/PI())</f>
        <v/>
      </c>
      <c r="N58">
        <f>2*SQRT(L58/PI())</f>
        <v/>
      </c>
      <c r="O58" t="inlineStr">
        <is>
          <t>42(7)-P01</t>
        </is>
      </c>
      <c r="P58" t="inlineStr">
        <is>
          <t>是</t>
        </is>
      </c>
      <c r="Q58" t="inlineStr">
        <is>
          <t>auto_pipeline;review_png_green</t>
        </is>
      </c>
      <c r="R58" t="inlineStr">
        <is>
          <t>样品42</t>
        </is>
      </c>
    </row>
    <row r="59">
      <c r="A59" t="n">
        <v>58</v>
      </c>
      <c r="B59" t="inlineStr">
        <is>
          <t>42 (7).tif</t>
        </is>
      </c>
      <c r="C59" t="inlineStr">
        <is>
          <t>42(7)-V02</t>
        </is>
      </c>
      <c r="D59" t="n">
        <v>2</v>
      </c>
      <c r="E59" t="inlineStr">
        <is>
          <t>primary</t>
        </is>
      </c>
      <c r="F59" t="n">
        <v>450.6852551984877</v>
      </c>
      <c r="G59">
        <f>2*SQRT(F59/PI())</f>
        <v/>
      </c>
      <c r="H59" t="n">
        <v>81.32400012534598</v>
      </c>
      <c r="I59" t="n">
        <v>880</v>
      </c>
      <c r="J59" t="n">
        <v>423</v>
      </c>
      <c r="K59" t="n">
        <v>441.671550094518</v>
      </c>
      <c r="L59" t="n">
        <v>459.6989603024575</v>
      </c>
      <c r="M59">
        <f>2*SQRT(K59/PI())</f>
        <v/>
      </c>
      <c r="N59">
        <f>2*SQRT(L59/PI())</f>
        <v/>
      </c>
      <c r="O59" t="inlineStr">
        <is>
          <t>42(7)-P01</t>
        </is>
      </c>
      <c r="P59" t="inlineStr">
        <is>
          <t>是</t>
        </is>
      </c>
      <c r="Q59" t="inlineStr">
        <is>
          <t>auto_pipeline;review_png_green</t>
        </is>
      </c>
      <c r="R59" t="inlineStr">
        <is>
          <t>样品42</t>
        </is>
      </c>
    </row>
    <row r="60">
      <c r="A60" t="n">
        <v>59</v>
      </c>
      <c r="B60" t="inlineStr">
        <is>
          <t>42 (7).tif</t>
        </is>
      </c>
      <c r="C60" t="inlineStr">
        <is>
          <t>42(7)-V03</t>
        </is>
      </c>
      <c r="D60" t="n">
        <v>3</v>
      </c>
      <c r="E60" t="inlineStr">
        <is>
          <t>primary</t>
        </is>
      </c>
      <c r="F60" t="n">
        <v>446.0066162570889</v>
      </c>
      <c r="G60">
        <f>2*SQRT(F60/PI())</f>
        <v/>
      </c>
      <c r="H60" t="n">
        <v>79.83955945657647</v>
      </c>
      <c r="I60" t="n">
        <v>573</v>
      </c>
      <c r="J60" t="n">
        <v>359</v>
      </c>
      <c r="K60" t="n">
        <v>437.0864839319471</v>
      </c>
      <c r="L60" t="n">
        <v>454.9267485822306</v>
      </c>
      <c r="M60">
        <f>2*SQRT(K60/PI())</f>
        <v/>
      </c>
      <c r="N60">
        <f>2*SQRT(L60/PI())</f>
        <v/>
      </c>
      <c r="P60" t="inlineStr">
        <is>
          <t>是</t>
        </is>
      </c>
      <c r="Q60" t="inlineStr">
        <is>
          <t>auto_pipeline;review_png_green</t>
        </is>
      </c>
      <c r="R60" t="inlineStr">
        <is>
          <t>样品42</t>
        </is>
      </c>
    </row>
    <row r="61">
      <c r="A61" t="n">
        <v>60</v>
      </c>
      <c r="B61" t="inlineStr">
        <is>
          <t>42 (8).tif</t>
        </is>
      </c>
      <c r="C61" t="inlineStr">
        <is>
          <t>42(8)-V01</t>
        </is>
      </c>
      <c r="D61" t="n">
        <v>1</v>
      </c>
      <c r="E61" t="inlineStr">
        <is>
          <t>primary</t>
        </is>
      </c>
      <c r="F61" t="n">
        <v>744.9669187145557</v>
      </c>
      <c r="G61">
        <f>2*SQRT(F61/PI())</f>
        <v/>
      </c>
      <c r="H61" t="n">
        <v>102.4663551734841</v>
      </c>
      <c r="I61" t="n">
        <v>431</v>
      </c>
      <c r="J61" t="n">
        <v>325</v>
      </c>
      <c r="K61" t="n">
        <v>730.0675803402646</v>
      </c>
      <c r="L61" t="n">
        <v>759.8662570888469</v>
      </c>
      <c r="M61">
        <f>2*SQRT(K61/PI())</f>
        <v/>
      </c>
      <c r="N61">
        <f>2*SQRT(L61/PI())</f>
        <v/>
      </c>
      <c r="P61" t="inlineStr">
        <is>
          <t>是</t>
        </is>
      </c>
      <c r="Q61" t="inlineStr">
        <is>
          <t>auto_pipeline;review_png_green</t>
        </is>
      </c>
      <c r="R61" t="inlineStr">
        <is>
          <t>样品42</t>
        </is>
      </c>
    </row>
    <row r="62">
      <c r="A62" t="n">
        <v>61</v>
      </c>
      <c r="B62" t="inlineStr">
        <is>
          <t>42 (8).tif</t>
        </is>
      </c>
      <c r="C62" t="inlineStr">
        <is>
          <t>42(8)-V02</t>
        </is>
      </c>
      <c r="D62" t="n">
        <v>2</v>
      </c>
      <c r="E62" t="inlineStr">
        <is>
          <t>primary</t>
        </is>
      </c>
      <c r="F62" t="n">
        <v>713.3270321361059</v>
      </c>
      <c r="G62">
        <f>2*SQRT(F62/PI())</f>
        <v/>
      </c>
      <c r="H62" t="n">
        <v>100.494383936343</v>
      </c>
      <c r="I62" t="n">
        <v>525</v>
      </c>
      <c r="J62" t="n">
        <v>104</v>
      </c>
      <c r="K62" t="n">
        <v>699.0604914933838</v>
      </c>
      <c r="L62" t="n">
        <v>727.593572778828</v>
      </c>
      <c r="M62">
        <f>2*SQRT(K62/PI())</f>
        <v/>
      </c>
      <c r="N62">
        <f>2*SQRT(L62/PI())</f>
        <v/>
      </c>
      <c r="O62" t="inlineStr">
        <is>
          <t>42(8)-P01</t>
        </is>
      </c>
      <c r="P62" t="inlineStr">
        <is>
          <t>是</t>
        </is>
      </c>
      <c r="Q62" t="inlineStr">
        <is>
          <t>auto_pipeline;review_png_green</t>
        </is>
      </c>
      <c r="R62" t="inlineStr">
        <is>
          <t>样品42</t>
        </is>
      </c>
    </row>
    <row r="63">
      <c r="A63" t="n">
        <v>62</v>
      </c>
      <c r="B63" t="inlineStr">
        <is>
          <t>42 (8).tif</t>
        </is>
      </c>
      <c r="C63" t="inlineStr">
        <is>
          <t>42(8)-V03</t>
        </is>
      </c>
      <c r="D63" t="n">
        <v>3</v>
      </c>
      <c r="E63" t="inlineStr">
        <is>
          <t>primary</t>
        </is>
      </c>
      <c r="F63" t="n">
        <v>646.1011342155009</v>
      </c>
      <c r="G63">
        <f>2*SQRT(F63/PI())</f>
        <v/>
      </c>
      <c r="H63" t="n">
        <v>96.52859249840611</v>
      </c>
      <c r="I63" t="n">
        <v>374</v>
      </c>
      <c r="J63" t="n">
        <v>67</v>
      </c>
      <c r="K63" t="n">
        <v>633.1791115311909</v>
      </c>
      <c r="L63" t="n">
        <v>659.0231568998109</v>
      </c>
      <c r="M63">
        <f>2*SQRT(K63/PI())</f>
        <v/>
      </c>
      <c r="N63">
        <f>2*SQRT(L63/PI())</f>
        <v/>
      </c>
      <c r="O63" t="inlineStr">
        <is>
          <t>42(8)-P01</t>
        </is>
      </c>
      <c r="P63" t="inlineStr">
        <is>
          <t>是</t>
        </is>
      </c>
      <c r="Q63" t="inlineStr">
        <is>
          <t>auto_pipeline;review_png_green</t>
        </is>
      </c>
      <c r="R63" t="inlineStr">
        <is>
          <t>样品42</t>
        </is>
      </c>
    </row>
    <row r="64">
      <c r="A64" t="n">
        <v>63</v>
      </c>
      <c r="B64" t="inlineStr">
        <is>
          <t>42 (8).tif</t>
        </is>
      </c>
      <c r="C64" t="inlineStr">
        <is>
          <t>42(8)-V04</t>
        </is>
      </c>
      <c r="D64" t="n">
        <v>4</v>
      </c>
      <c r="E64" t="inlineStr">
        <is>
          <t>primary</t>
        </is>
      </c>
      <c r="F64" t="n">
        <v>145.6521739130435</v>
      </c>
      <c r="G64">
        <f>2*SQRT(F64/PI())</f>
        <v/>
      </c>
      <c r="H64" t="n">
        <v>45.35908735316733</v>
      </c>
      <c r="I64" t="n">
        <v>760</v>
      </c>
      <c r="J64" t="n">
        <v>528</v>
      </c>
      <c r="K64" t="n">
        <v>142.7391304347826</v>
      </c>
      <c r="L64" t="n">
        <v>148.5652173913043</v>
      </c>
      <c r="M64">
        <f>2*SQRT(K64/PI())</f>
        <v/>
      </c>
      <c r="N64">
        <f>2*SQRT(L64/PI())</f>
        <v/>
      </c>
      <c r="P64" t="inlineStr">
        <is>
          <t>是</t>
        </is>
      </c>
      <c r="Q64" t="inlineStr">
        <is>
          <t>auto_pipeline;review_png_green</t>
        </is>
      </c>
      <c r="R64" t="inlineStr">
        <is>
          <t>样品42</t>
        </is>
      </c>
    </row>
    <row r="65">
      <c r="A65" t="n">
        <v>64</v>
      </c>
      <c r="B65" t="inlineStr">
        <is>
          <t>43 (1).tif</t>
        </is>
      </c>
      <c r="C65" t="inlineStr">
        <is>
          <t>43(1)-V01</t>
        </is>
      </c>
      <c r="D65" t="n">
        <v>1</v>
      </c>
      <c r="E65" t="inlineStr">
        <is>
          <t>primary</t>
        </is>
      </c>
      <c r="F65" t="n">
        <v>406.7816635160681</v>
      </c>
      <c r="G65">
        <f>2*SQRT(F65/PI())</f>
        <v/>
      </c>
      <c r="H65" t="n">
        <v>76.51049243367237</v>
      </c>
      <c r="I65" t="n">
        <v>729</v>
      </c>
      <c r="J65" t="n">
        <v>123</v>
      </c>
      <c r="K65" t="n">
        <v>398.6460302457467</v>
      </c>
      <c r="L65" t="n">
        <v>414.9172967863894</v>
      </c>
      <c r="M65">
        <f>2*SQRT(K65/PI())</f>
        <v/>
      </c>
      <c r="N65">
        <f>2*SQRT(L65/PI())</f>
        <v/>
      </c>
      <c r="P65" t="inlineStr">
        <is>
          <t>是</t>
        </is>
      </c>
      <c r="Q65" t="inlineStr">
        <is>
          <t>auto_pipeline;review_png_green</t>
        </is>
      </c>
      <c r="R65" t="inlineStr">
        <is>
          <t>样品43</t>
        </is>
      </c>
    </row>
    <row r="66">
      <c r="A66" t="n">
        <v>65</v>
      </c>
      <c r="B66" t="inlineStr">
        <is>
          <t>43 (1).tif</t>
        </is>
      </c>
      <c r="C66" t="inlineStr">
        <is>
          <t>43(1)-V02</t>
        </is>
      </c>
      <c r="D66" t="n">
        <v>2</v>
      </c>
      <c r="E66" t="inlineStr">
        <is>
          <t>primary</t>
        </is>
      </c>
      <c r="F66" t="n">
        <v>347.3534971644613</v>
      </c>
      <c r="G66">
        <f>2*SQRT(F66/PI())</f>
        <v/>
      </c>
      <c r="H66" t="n">
        <v>71.20945417362711</v>
      </c>
      <c r="I66" t="n">
        <v>890</v>
      </c>
      <c r="J66" t="n">
        <v>539</v>
      </c>
      <c r="K66" t="n">
        <v>340.406427221172</v>
      </c>
      <c r="L66" t="n">
        <v>354.3005671077505</v>
      </c>
      <c r="M66">
        <f>2*SQRT(K66/PI())</f>
        <v/>
      </c>
      <c r="N66">
        <f>2*SQRT(L66/PI())</f>
        <v/>
      </c>
      <c r="P66" t="inlineStr">
        <is>
          <t>是</t>
        </is>
      </c>
      <c r="Q66" t="inlineStr">
        <is>
          <t>auto_pipeline;review_png_green</t>
        </is>
      </c>
      <c r="R66" t="inlineStr">
        <is>
          <t>样品43</t>
        </is>
      </c>
    </row>
    <row r="67">
      <c r="A67" t="n">
        <v>66</v>
      </c>
      <c r="B67" t="inlineStr">
        <is>
          <t>43 (1).tif</t>
        </is>
      </c>
      <c r="C67" t="inlineStr">
        <is>
          <t>43(1)-V03</t>
        </is>
      </c>
      <c r="D67" t="n">
        <v>3</v>
      </c>
      <c r="E67" t="inlineStr">
        <is>
          <t>primary</t>
        </is>
      </c>
      <c r="F67" t="n">
        <v>321.3610586011342</v>
      </c>
      <c r="G67">
        <f>2*SQRT(F67/PI())</f>
        <v/>
      </c>
      <c r="H67" t="n">
        <v>69.2156339728314</v>
      </c>
      <c r="I67" t="n">
        <v>497</v>
      </c>
      <c r="J67" t="n">
        <v>438</v>
      </c>
      <c r="K67" t="n">
        <v>314.9338374291115</v>
      </c>
      <c r="L67" t="n">
        <v>327.7882797731569</v>
      </c>
      <c r="M67">
        <f>2*SQRT(K67/PI())</f>
        <v/>
      </c>
      <c r="N67">
        <f>2*SQRT(L67/PI())</f>
        <v/>
      </c>
      <c r="P67" t="inlineStr">
        <is>
          <t>是</t>
        </is>
      </c>
      <c r="Q67" t="inlineStr">
        <is>
          <t>auto_pipeline;review_png_green</t>
        </is>
      </c>
      <c r="R67" t="inlineStr">
        <is>
          <t>样品43</t>
        </is>
      </c>
    </row>
    <row r="68">
      <c r="A68" t="n">
        <v>67</v>
      </c>
      <c r="B68" t="inlineStr">
        <is>
          <t>43 (1).tif</t>
        </is>
      </c>
      <c r="C68" t="inlineStr">
        <is>
          <t>43(1)-V04</t>
        </is>
      </c>
      <c r="D68" t="n">
        <v>4</v>
      </c>
      <c r="E68" t="inlineStr">
        <is>
          <t>primary</t>
        </is>
      </c>
      <c r="F68" t="n">
        <v>265.2173913043478</v>
      </c>
      <c r="G68">
        <f>2*SQRT(F68/PI())</f>
        <v/>
      </c>
      <c r="H68" t="n">
        <v>61.43324494361877</v>
      </c>
      <c r="I68" t="n">
        <v>526</v>
      </c>
      <c r="J68" t="n">
        <v>338</v>
      </c>
      <c r="K68" t="n">
        <v>259.9130434782609</v>
      </c>
      <c r="L68" t="n">
        <v>270.5217391304348</v>
      </c>
      <c r="M68">
        <f>2*SQRT(K68/PI())</f>
        <v/>
      </c>
      <c r="N68">
        <f>2*SQRT(L68/PI())</f>
        <v/>
      </c>
      <c r="P68" t="inlineStr">
        <is>
          <t>是</t>
        </is>
      </c>
      <c r="Q68" t="inlineStr">
        <is>
          <t>auto_pipeline;review_png_green</t>
        </is>
      </c>
      <c r="R68" t="inlineStr">
        <is>
          <t>样品43</t>
        </is>
      </c>
    </row>
    <row r="69">
      <c r="A69" t="n">
        <v>68</v>
      </c>
      <c r="B69" t="inlineStr">
        <is>
          <t>43 (2).tif</t>
        </is>
      </c>
      <c r="C69" t="inlineStr">
        <is>
          <t>43(2)-V01</t>
        </is>
      </c>
      <c r="D69" t="n">
        <v>1</v>
      </c>
      <c r="E69" t="inlineStr">
        <is>
          <t>primary</t>
        </is>
      </c>
      <c r="F69" t="n">
        <v>254.1824196597354</v>
      </c>
      <c r="G69">
        <f>2*SQRT(F69/PI())</f>
        <v/>
      </c>
      <c r="H69" t="n">
        <v>60.07614915785582</v>
      </c>
      <c r="I69" t="n">
        <v>455</v>
      </c>
      <c r="J69" t="n">
        <v>356</v>
      </c>
      <c r="K69" t="n">
        <v>249.0987712665406</v>
      </c>
      <c r="L69" t="n">
        <v>259.2660680529301</v>
      </c>
      <c r="M69">
        <f>2*SQRT(K69/PI())</f>
        <v/>
      </c>
      <c r="N69">
        <f>2*SQRT(L69/PI())</f>
        <v/>
      </c>
      <c r="P69" t="inlineStr">
        <is>
          <t>是</t>
        </is>
      </c>
      <c r="Q69" t="inlineStr">
        <is>
          <t>auto_pipeline;review_png_green</t>
        </is>
      </c>
      <c r="R69" t="inlineStr">
        <is>
          <t>样品43</t>
        </is>
      </c>
    </row>
    <row r="70">
      <c r="A70" t="n">
        <v>69</v>
      </c>
      <c r="B70" t="inlineStr">
        <is>
          <t>43 (3).tif</t>
        </is>
      </c>
      <c r="C70" t="inlineStr">
        <is>
          <t>43(3)-V01</t>
        </is>
      </c>
      <c r="D70" t="n">
        <v>1</v>
      </c>
      <c r="E70" t="inlineStr">
        <is>
          <t>primary</t>
        </is>
      </c>
      <c r="F70" t="n">
        <v>399.5982986767486</v>
      </c>
      <c r="G70">
        <f>2*SQRT(F70/PI())</f>
        <v/>
      </c>
      <c r="H70" t="n">
        <v>75.28074153091596</v>
      </c>
      <c r="I70" t="n">
        <v>471</v>
      </c>
      <c r="J70" t="n">
        <v>297</v>
      </c>
      <c r="K70" t="n">
        <v>391.6063327032136</v>
      </c>
      <c r="L70" t="n">
        <v>407.5902646502836</v>
      </c>
      <c r="M70">
        <f>2*SQRT(K70/PI())</f>
        <v/>
      </c>
      <c r="N70">
        <f>2*SQRT(L70/PI())</f>
        <v/>
      </c>
      <c r="O70" t="inlineStr">
        <is>
          <t>43(3)-P01</t>
        </is>
      </c>
      <c r="P70" t="inlineStr">
        <is>
          <t>是</t>
        </is>
      </c>
      <c r="Q70" t="inlineStr">
        <is>
          <t>auto_pipeline;review_png_green</t>
        </is>
      </c>
      <c r="R70" t="inlineStr">
        <is>
          <t>样品43</t>
        </is>
      </c>
    </row>
    <row r="71">
      <c r="A71" t="n">
        <v>70</v>
      </c>
      <c r="B71" t="inlineStr">
        <is>
          <t>43 (3).tif</t>
        </is>
      </c>
      <c r="C71" t="inlineStr">
        <is>
          <t>43(3)-V02</t>
        </is>
      </c>
      <c r="D71" t="n">
        <v>2</v>
      </c>
      <c r="E71" t="inlineStr">
        <is>
          <t>primary</t>
        </is>
      </c>
      <c r="F71" t="n">
        <v>330.3875236294896</v>
      </c>
      <c r="G71">
        <f>2*SQRT(F71/PI())</f>
        <v/>
      </c>
      <c r="H71" t="n">
        <v>70.0851991902227</v>
      </c>
      <c r="I71" t="n">
        <v>523</v>
      </c>
      <c r="J71" t="n">
        <v>406</v>
      </c>
      <c r="K71" t="n">
        <v>323.7797731568998</v>
      </c>
      <c r="L71" t="n">
        <v>336.9952741020793</v>
      </c>
      <c r="M71">
        <f>2*SQRT(K71/PI())</f>
        <v/>
      </c>
      <c r="N71">
        <f>2*SQRT(L71/PI())</f>
        <v/>
      </c>
      <c r="O71" t="inlineStr">
        <is>
          <t>43(3)-P01</t>
        </is>
      </c>
      <c r="P71" t="inlineStr">
        <is>
          <t>是</t>
        </is>
      </c>
      <c r="Q71" t="inlineStr">
        <is>
          <t>auto_pipeline;review_png_green</t>
        </is>
      </c>
      <c r="R71" t="inlineStr">
        <is>
          <t>样品43</t>
        </is>
      </c>
    </row>
    <row r="72">
      <c r="A72" t="n">
        <v>71</v>
      </c>
      <c r="B72" t="inlineStr">
        <is>
          <t>43 (3).tif</t>
        </is>
      </c>
      <c r="C72" t="inlineStr">
        <is>
          <t>43(3)-V03</t>
        </is>
      </c>
      <c r="D72" t="n">
        <v>3</v>
      </c>
      <c r="E72" t="inlineStr">
        <is>
          <t>primary</t>
        </is>
      </c>
      <c r="F72" t="n">
        <v>254.773156899811</v>
      </c>
      <c r="G72">
        <f>2*SQRT(F72/PI())</f>
        <v/>
      </c>
      <c r="H72" t="n">
        <v>62.04812039499697</v>
      </c>
      <c r="I72" t="n">
        <v>933</v>
      </c>
      <c r="J72" t="n">
        <v>506</v>
      </c>
      <c r="K72" t="n">
        <v>249.6776937618147</v>
      </c>
      <c r="L72" t="n">
        <v>259.8686200378072</v>
      </c>
      <c r="M72">
        <f>2*SQRT(K72/PI())</f>
        <v/>
      </c>
      <c r="N72">
        <f>2*SQRT(L72/PI())</f>
        <v/>
      </c>
      <c r="P72" t="inlineStr">
        <is>
          <t>是</t>
        </is>
      </c>
      <c r="Q72" t="inlineStr">
        <is>
          <t>auto_pipeline;review_png_green</t>
        </is>
      </c>
      <c r="R72" t="inlineStr">
        <is>
          <t>样品43</t>
        </is>
      </c>
    </row>
    <row r="73">
      <c r="A73" t="n">
        <v>72</v>
      </c>
      <c r="B73" t="inlineStr">
        <is>
          <t>43 (3).tif</t>
        </is>
      </c>
      <c r="C73" t="inlineStr">
        <is>
          <t>43(3)-V04</t>
        </is>
      </c>
      <c r="D73" t="n">
        <v>4</v>
      </c>
      <c r="E73" t="inlineStr">
        <is>
          <t>primary</t>
        </is>
      </c>
      <c r="F73" t="n">
        <v>240.4300567107751</v>
      </c>
      <c r="G73">
        <f>2*SQRT(F73/PI())</f>
        <v/>
      </c>
      <c r="H73" t="n">
        <v>62.02627143134242</v>
      </c>
      <c r="I73" t="n">
        <v>337</v>
      </c>
      <c r="J73" t="n">
        <v>137</v>
      </c>
      <c r="K73" t="n">
        <v>235.6214555765596</v>
      </c>
      <c r="L73" t="n">
        <v>245.2386578449906</v>
      </c>
      <c r="M73">
        <f>2*SQRT(K73/PI())</f>
        <v/>
      </c>
      <c r="N73">
        <f>2*SQRT(L73/PI())</f>
        <v/>
      </c>
      <c r="P73" t="inlineStr">
        <is>
          <t>是</t>
        </is>
      </c>
      <c r="Q73" t="inlineStr">
        <is>
          <t>auto_pipeline;review_png_green</t>
        </is>
      </c>
      <c r="R73" t="inlineStr">
        <is>
          <t>样品43</t>
        </is>
      </c>
    </row>
    <row r="74">
      <c r="A74" t="n">
        <v>73</v>
      </c>
      <c r="B74" t="inlineStr">
        <is>
          <t>43 (4).tif</t>
        </is>
      </c>
      <c r="C74" t="inlineStr">
        <is>
          <t>43(4)-V01</t>
        </is>
      </c>
      <c r="D74" t="n">
        <v>1</v>
      </c>
      <c r="E74" t="inlineStr">
        <is>
          <t>primary</t>
        </is>
      </c>
      <c r="F74" t="n">
        <v>342.6748582230624</v>
      </c>
      <c r="G74">
        <f>2*SQRT(F74/PI())</f>
        <v/>
      </c>
      <c r="H74" t="n">
        <v>70.0851991902227</v>
      </c>
      <c r="I74" t="n">
        <v>740</v>
      </c>
      <c r="J74" t="n">
        <v>137</v>
      </c>
      <c r="K74" t="n">
        <v>335.8213610586011</v>
      </c>
      <c r="L74" t="n">
        <v>349.5283553875236</v>
      </c>
      <c r="M74">
        <f>2*SQRT(K74/PI())</f>
        <v/>
      </c>
      <c r="N74">
        <f>2*SQRT(L74/PI())</f>
        <v/>
      </c>
      <c r="P74" t="inlineStr">
        <is>
          <t>是</t>
        </is>
      </c>
      <c r="Q74" t="inlineStr">
        <is>
          <t>auto_pipeline;review_png_green</t>
        </is>
      </c>
      <c r="R74" t="inlineStr">
        <is>
          <t>样品43</t>
        </is>
      </c>
    </row>
    <row r="75">
      <c r="A75" t="n">
        <v>74</v>
      </c>
      <c r="B75" t="inlineStr">
        <is>
          <t>43 (4).tif</t>
        </is>
      </c>
      <c r="C75" t="inlineStr">
        <is>
          <t>43(4)-V02</t>
        </is>
      </c>
      <c r="D75" t="n">
        <v>2</v>
      </c>
      <c r="E75" t="inlineStr">
        <is>
          <t>primary</t>
        </is>
      </c>
      <c r="F75" t="n">
        <v>252.2920604914934</v>
      </c>
      <c r="G75">
        <f>2*SQRT(F75/PI())</f>
        <v/>
      </c>
      <c r="H75" t="n">
        <v>60.43633484322092</v>
      </c>
      <c r="I75" t="n">
        <v>542</v>
      </c>
      <c r="J75" t="n">
        <v>403</v>
      </c>
      <c r="K75" t="n">
        <v>247.2462192816635</v>
      </c>
      <c r="L75" t="n">
        <v>257.3379017013232</v>
      </c>
      <c r="M75">
        <f>2*SQRT(K75/PI())</f>
        <v/>
      </c>
      <c r="N75">
        <f>2*SQRT(L75/PI())</f>
        <v/>
      </c>
      <c r="O75" t="inlineStr">
        <is>
          <t>43(4)-P01</t>
        </is>
      </c>
      <c r="P75" t="inlineStr">
        <is>
          <t>是</t>
        </is>
      </c>
      <c r="Q75" t="inlineStr">
        <is>
          <t>auto_pipeline;review_png_green</t>
        </is>
      </c>
      <c r="R75" t="inlineStr">
        <is>
          <t>样品43</t>
        </is>
      </c>
    </row>
    <row r="76">
      <c r="A76" t="n">
        <v>75</v>
      </c>
      <c r="B76" t="inlineStr">
        <is>
          <t>43 (4).tif</t>
        </is>
      </c>
      <c r="C76" t="inlineStr">
        <is>
          <t>43(4)-V03</t>
        </is>
      </c>
      <c r="D76" t="n">
        <v>3</v>
      </c>
      <c r="E76" t="inlineStr">
        <is>
          <t>primary</t>
        </is>
      </c>
      <c r="F76" t="n">
        <v>235.2788279773157</v>
      </c>
      <c r="G76">
        <f>2*SQRT(F76/PI())</f>
        <v/>
      </c>
      <c r="H76" t="n">
        <v>58.95189417445141</v>
      </c>
      <c r="I76" t="n">
        <v>487</v>
      </c>
      <c r="J76" t="n">
        <v>335</v>
      </c>
      <c r="K76" t="n">
        <v>230.5732514177694</v>
      </c>
      <c r="L76" t="n">
        <v>239.984404536862</v>
      </c>
      <c r="M76">
        <f>2*SQRT(K76/PI())</f>
        <v/>
      </c>
      <c r="N76">
        <f>2*SQRT(L76/PI())</f>
        <v/>
      </c>
      <c r="O76" t="inlineStr">
        <is>
          <t>43(4)-P01</t>
        </is>
      </c>
      <c r="P76" t="inlineStr">
        <is>
          <t>是</t>
        </is>
      </c>
      <c r="Q76" t="inlineStr">
        <is>
          <t>auto_pipeline;review_png_green</t>
        </is>
      </c>
      <c r="R76" t="inlineStr">
        <is>
          <t>样品43</t>
        </is>
      </c>
    </row>
    <row r="77">
      <c r="A77" t="n">
        <v>76</v>
      </c>
      <c r="B77" t="inlineStr">
        <is>
          <t>43 (4).tif</t>
        </is>
      </c>
      <c r="C77" t="inlineStr">
        <is>
          <t>43(4)-V04</t>
        </is>
      </c>
      <c r="D77" t="n">
        <v>4</v>
      </c>
      <c r="E77" t="inlineStr">
        <is>
          <t>primary</t>
        </is>
      </c>
      <c r="F77" t="n">
        <v>117.7457466918715</v>
      </c>
      <c r="G77">
        <f>2*SQRT(F77/PI())</f>
        <v/>
      </c>
      <c r="H77" t="n">
        <v>41.90267544725667</v>
      </c>
      <c r="I77" t="n">
        <v>413</v>
      </c>
      <c r="J77" t="n">
        <v>172</v>
      </c>
      <c r="K77" t="n">
        <v>115.390831758034</v>
      </c>
      <c r="L77" t="n">
        <v>120.1006616257089</v>
      </c>
      <c r="M77">
        <f>2*SQRT(K77/PI())</f>
        <v/>
      </c>
      <c r="N77">
        <f>2*SQRT(L77/PI())</f>
        <v/>
      </c>
      <c r="P77" t="inlineStr">
        <is>
          <t>是</t>
        </is>
      </c>
      <c r="Q77" t="inlineStr">
        <is>
          <t>auto_pipeline;review_png_green</t>
        </is>
      </c>
      <c r="R77" t="inlineStr">
        <is>
          <t>样品43</t>
        </is>
      </c>
    </row>
    <row r="78">
      <c r="A78" t="n">
        <v>77</v>
      </c>
      <c r="B78" t="inlineStr">
        <is>
          <t>43 (5).tif</t>
        </is>
      </c>
      <c r="C78" t="inlineStr">
        <is>
          <t>43(5)-V01</t>
        </is>
      </c>
      <c r="D78" t="n">
        <v>1</v>
      </c>
      <c r="E78" t="inlineStr">
        <is>
          <t>primary</t>
        </is>
      </c>
      <c r="F78" t="n">
        <v>534.5935727788279</v>
      </c>
      <c r="G78">
        <f>2*SQRT(F78/PI())</f>
        <v/>
      </c>
      <c r="H78" t="n">
        <v>86.77423223205234</v>
      </c>
      <c r="I78" t="n">
        <v>509</v>
      </c>
      <c r="J78" t="n">
        <v>444</v>
      </c>
      <c r="K78" t="n">
        <v>523.9017013232514</v>
      </c>
      <c r="L78" t="n">
        <v>545.2854442344045</v>
      </c>
      <c r="M78">
        <f>2*SQRT(K78/PI())</f>
        <v/>
      </c>
      <c r="N78">
        <f>2*SQRT(L78/PI())</f>
        <v/>
      </c>
      <c r="O78" t="inlineStr">
        <is>
          <t>43(5)-P01</t>
        </is>
      </c>
      <c r="P78" t="inlineStr">
        <is>
          <t>是</t>
        </is>
      </c>
      <c r="Q78" t="inlineStr">
        <is>
          <t>auto_pipeline;review_png_green</t>
        </is>
      </c>
      <c r="R78" t="inlineStr">
        <is>
          <t>样品43</t>
        </is>
      </c>
    </row>
    <row r="79">
      <c r="A79" t="n">
        <v>78</v>
      </c>
      <c r="B79" t="inlineStr">
        <is>
          <t>43 (5).tif</t>
        </is>
      </c>
      <c r="C79" t="inlineStr">
        <is>
          <t>43(5)-V02</t>
        </is>
      </c>
      <c r="D79" t="n">
        <v>2</v>
      </c>
      <c r="E79" t="inlineStr">
        <is>
          <t>primary</t>
        </is>
      </c>
      <c r="F79" t="n">
        <v>291.3043478260869</v>
      </c>
      <c r="G79">
        <f>2*SQRT(F79/PI())</f>
        <v/>
      </c>
      <c r="H79" t="n">
        <v>64.76231196652287</v>
      </c>
      <c r="I79" t="n">
        <v>514</v>
      </c>
      <c r="J79" t="n">
        <v>328</v>
      </c>
      <c r="K79" t="n">
        <v>285.4782608695652</v>
      </c>
      <c r="L79" t="n">
        <v>297.1304347826087</v>
      </c>
      <c r="M79">
        <f>2*SQRT(K79/PI())</f>
        <v/>
      </c>
      <c r="N79">
        <f>2*SQRT(L79/PI())</f>
        <v/>
      </c>
      <c r="O79" t="inlineStr">
        <is>
          <t>43(5)-P01</t>
        </is>
      </c>
      <c r="P79" t="inlineStr">
        <is>
          <t>是</t>
        </is>
      </c>
      <c r="Q79" t="inlineStr">
        <is>
          <t>auto_pipeline;review_png_green</t>
        </is>
      </c>
      <c r="R79" t="inlineStr">
        <is>
          <t>样品43</t>
        </is>
      </c>
    </row>
    <row r="80">
      <c r="A80" t="n">
        <v>79</v>
      </c>
      <c r="B80" t="inlineStr">
        <is>
          <t>43 (6).tif</t>
        </is>
      </c>
      <c r="C80" t="inlineStr">
        <is>
          <t>43(6)-V01</t>
        </is>
      </c>
      <c r="D80" t="n">
        <v>1</v>
      </c>
      <c r="E80" t="inlineStr">
        <is>
          <t>primary</t>
        </is>
      </c>
      <c r="F80" t="n">
        <v>530.2457466918714</v>
      </c>
      <c r="G80">
        <f>2*SQRT(F80/PI())</f>
        <v/>
      </c>
      <c r="H80" t="n">
        <v>86.51954246603924</v>
      </c>
      <c r="I80" t="n">
        <v>460</v>
      </c>
      <c r="J80" t="n">
        <v>469</v>
      </c>
      <c r="K80" t="n">
        <v>519.640831758034</v>
      </c>
      <c r="L80" t="n">
        <v>540.8506616257089</v>
      </c>
      <c r="M80">
        <f>2*SQRT(K80/PI())</f>
        <v/>
      </c>
      <c r="N80">
        <f>2*SQRT(L80/PI())</f>
        <v/>
      </c>
      <c r="P80" t="inlineStr">
        <is>
          <t>是</t>
        </is>
      </c>
      <c r="Q80" t="inlineStr">
        <is>
          <t>auto_pipeline;review_png_green</t>
        </is>
      </c>
      <c r="R80" t="inlineStr">
        <is>
          <t>样品43</t>
        </is>
      </c>
    </row>
    <row r="81">
      <c r="A81" t="n">
        <v>80</v>
      </c>
      <c r="B81" t="inlineStr">
        <is>
          <t>43 (6).tif</t>
        </is>
      </c>
      <c r="C81" t="inlineStr">
        <is>
          <t>43(6)-V02</t>
        </is>
      </c>
      <c r="D81" t="n">
        <v>2</v>
      </c>
      <c r="E81" t="inlineStr">
        <is>
          <t>primary</t>
        </is>
      </c>
      <c r="F81" t="n">
        <v>431.0727788279773</v>
      </c>
      <c r="G81">
        <f>2*SQRT(F81/PI())</f>
        <v/>
      </c>
      <c r="H81" t="n">
        <v>77.74024333642876</v>
      </c>
      <c r="I81" t="n">
        <v>498</v>
      </c>
      <c r="J81" t="n">
        <v>332</v>
      </c>
      <c r="K81" t="n">
        <v>422.4513232514178</v>
      </c>
      <c r="L81" t="n">
        <v>439.6942344045369</v>
      </c>
      <c r="M81">
        <f>2*SQRT(K81/PI())</f>
        <v/>
      </c>
      <c r="N81">
        <f>2*SQRT(L81/PI())</f>
        <v/>
      </c>
      <c r="P81" t="inlineStr">
        <is>
          <t>是</t>
        </is>
      </c>
      <c r="Q81" t="inlineStr">
        <is>
          <t>auto_pipeline;review_png_green</t>
        </is>
      </c>
      <c r="R81" t="inlineStr">
        <is>
          <t>样品43</t>
        </is>
      </c>
    </row>
    <row r="82">
      <c r="A82" t="n">
        <v>81</v>
      </c>
      <c r="B82" t="inlineStr">
        <is>
          <t>43 (6).tif</t>
        </is>
      </c>
      <c r="C82" t="inlineStr">
        <is>
          <t>43(6)-V03</t>
        </is>
      </c>
      <c r="D82" t="n">
        <v>3</v>
      </c>
      <c r="E82" t="inlineStr">
        <is>
          <t>primary</t>
        </is>
      </c>
      <c r="F82" t="n">
        <v>142.5803402646503</v>
      </c>
      <c r="G82">
        <f>2*SQRT(F82/PI())</f>
        <v/>
      </c>
      <c r="H82" t="n">
        <v>46.22865257055863</v>
      </c>
      <c r="I82" t="n">
        <v>963</v>
      </c>
      <c r="J82" t="n">
        <v>51</v>
      </c>
      <c r="K82" t="n">
        <v>139.7287334593573</v>
      </c>
      <c r="L82" t="n">
        <v>145.4319470699433</v>
      </c>
      <c r="M82">
        <f>2*SQRT(K82/PI())</f>
        <v/>
      </c>
      <c r="N82">
        <f>2*SQRT(L82/PI())</f>
        <v/>
      </c>
      <c r="P82" t="inlineStr">
        <is>
          <t>是</t>
        </is>
      </c>
      <c r="Q82" t="inlineStr">
        <is>
          <t>auto_pipeline;review_png_green</t>
        </is>
      </c>
      <c r="R82" t="inlineStr">
        <is>
          <t>样品43</t>
        </is>
      </c>
    </row>
    <row r="83">
      <c r="A83" t="n">
        <v>82</v>
      </c>
      <c r="B83" t="inlineStr">
        <is>
          <t>43 (7).tif</t>
        </is>
      </c>
      <c r="C83" t="inlineStr">
        <is>
          <t>43(7)-V01</t>
        </is>
      </c>
      <c r="D83" t="n">
        <v>1</v>
      </c>
      <c r="E83" t="inlineStr">
        <is>
          <t>primary</t>
        </is>
      </c>
      <c r="F83" t="n">
        <v>384.9007561436673</v>
      </c>
      <c r="G83">
        <f>2*SQRT(F83/PI())</f>
        <v/>
      </c>
      <c r="H83" t="n">
        <v>73.79630086214645</v>
      </c>
      <c r="I83" t="n">
        <v>558</v>
      </c>
      <c r="J83" t="n">
        <v>409</v>
      </c>
      <c r="K83" t="n">
        <v>377.202741020794</v>
      </c>
      <c r="L83" t="n">
        <v>392.5987712665407</v>
      </c>
      <c r="M83">
        <f>2*SQRT(K83/PI())</f>
        <v/>
      </c>
      <c r="N83">
        <f>2*SQRT(L83/PI())</f>
        <v/>
      </c>
      <c r="P83" t="inlineStr">
        <is>
          <t>是</t>
        </is>
      </c>
      <c r="Q83" t="inlineStr">
        <is>
          <t>auto_pipeline;review_png_green</t>
        </is>
      </c>
      <c r="R83" t="inlineStr">
        <is>
          <t>样品43</t>
        </is>
      </c>
    </row>
    <row r="84">
      <c r="A84" t="n">
        <v>83</v>
      </c>
      <c r="B84" t="inlineStr">
        <is>
          <t>43 (8).tif</t>
        </is>
      </c>
      <c r="C84" t="inlineStr">
        <is>
          <t>43(8)-V01</t>
        </is>
      </c>
      <c r="D84" t="n">
        <v>1</v>
      </c>
      <c r="E84" t="inlineStr">
        <is>
          <t>primary</t>
        </is>
      </c>
      <c r="F84" t="n">
        <v>671.7155009451795</v>
      </c>
      <c r="G84">
        <f>2*SQRT(F84/PI())</f>
        <v/>
      </c>
      <c r="H84" t="n">
        <v>98.52241269920184</v>
      </c>
      <c r="I84" t="n">
        <v>321</v>
      </c>
      <c r="J84" t="n">
        <v>530</v>
      </c>
      <c r="K84" t="n">
        <v>658.2811909262759</v>
      </c>
      <c r="L84" t="n">
        <v>685.1498109640831</v>
      </c>
      <c r="M84">
        <f>2*SQRT(K84/PI())</f>
        <v/>
      </c>
      <c r="N84">
        <f>2*SQRT(L84/PI())</f>
        <v/>
      </c>
      <c r="P84" t="inlineStr">
        <is>
          <t>是</t>
        </is>
      </c>
      <c r="Q84" t="inlineStr">
        <is>
          <t>auto_pipeline;review_png_green</t>
        </is>
      </c>
      <c r="R84" t="inlineStr">
        <is>
          <t>样品43</t>
        </is>
      </c>
    </row>
    <row r="85">
      <c r="A85" t="n">
        <v>84</v>
      </c>
      <c r="B85" t="inlineStr">
        <is>
          <t>43 (8).tif</t>
        </is>
      </c>
      <c r="C85" t="inlineStr">
        <is>
          <t>43(8)-V02</t>
        </is>
      </c>
      <c r="D85" t="n">
        <v>2</v>
      </c>
      <c r="E85" t="inlineStr">
        <is>
          <t>primary</t>
        </is>
      </c>
      <c r="F85" t="n">
        <v>310.9404536862004</v>
      </c>
      <c r="G85">
        <f>2*SQRT(F85/PI())</f>
        <v/>
      </c>
      <c r="H85" t="n">
        <v>66.37409751829894</v>
      </c>
      <c r="I85" t="n">
        <v>565</v>
      </c>
      <c r="J85" t="n">
        <v>366</v>
      </c>
      <c r="K85" t="n">
        <v>304.7216446124764</v>
      </c>
      <c r="L85" t="n">
        <v>317.1592627599244</v>
      </c>
      <c r="M85">
        <f>2*SQRT(K85/PI())</f>
        <v/>
      </c>
      <c r="N85">
        <f>2*SQRT(L85/PI())</f>
        <v/>
      </c>
      <c r="P85" t="inlineStr">
        <is>
          <t>是</t>
        </is>
      </c>
      <c r="Q85" t="inlineStr">
        <is>
          <t>auto_pipeline;review_png_green</t>
        </is>
      </c>
      <c r="R85" t="inlineStr">
        <is>
          <t>样品43</t>
        </is>
      </c>
    </row>
    <row r="86">
      <c r="A86" t="n">
        <v>85</v>
      </c>
      <c r="B86" t="inlineStr">
        <is>
          <t>43 (8).tif</t>
        </is>
      </c>
      <c r="C86" t="inlineStr">
        <is>
          <t>43(8)-V03</t>
        </is>
      </c>
      <c r="D86" t="n">
        <v>3</v>
      </c>
      <c r="E86" t="inlineStr">
        <is>
          <t>primary</t>
        </is>
      </c>
      <c r="F86" t="n">
        <v>229.9385633270321</v>
      </c>
      <c r="G86">
        <f>2*SQRT(F86/PI())</f>
        <v/>
      </c>
      <c r="H86" t="n">
        <v>58.23152280372122</v>
      </c>
      <c r="I86" t="n">
        <v>444</v>
      </c>
      <c r="J86" t="n">
        <v>355</v>
      </c>
      <c r="K86" t="n">
        <v>225.3397920604915</v>
      </c>
      <c r="L86" t="n">
        <v>234.5373345935728</v>
      </c>
      <c r="M86">
        <f>2*SQRT(K86/PI())</f>
        <v/>
      </c>
      <c r="N86">
        <f>2*SQRT(L86/PI())</f>
        <v/>
      </c>
      <c r="P86" t="inlineStr">
        <is>
          <t>是</t>
        </is>
      </c>
      <c r="Q86" t="inlineStr">
        <is>
          <t>auto_pipeline;review_png_green</t>
        </is>
      </c>
      <c r="R86" t="inlineStr">
        <is>
          <t>样品43</t>
        </is>
      </c>
    </row>
    <row r="87">
      <c r="A87" t="n">
        <v>86</v>
      </c>
      <c r="B87" t="inlineStr">
        <is>
          <t>43 (8).tif</t>
        </is>
      </c>
      <c r="C87" t="inlineStr">
        <is>
          <t>43(8)-V04</t>
        </is>
      </c>
      <c r="D87" t="n">
        <v>4</v>
      </c>
      <c r="E87" t="inlineStr">
        <is>
          <t>primary</t>
        </is>
      </c>
      <c r="F87" t="n">
        <v>225.5907372400756</v>
      </c>
      <c r="G87">
        <f>2*SQRT(F87/PI())</f>
        <v/>
      </c>
      <c r="H87" t="n">
        <v>56.49239236893861</v>
      </c>
      <c r="I87" t="n">
        <v>132</v>
      </c>
      <c r="J87" t="n">
        <v>371</v>
      </c>
      <c r="K87" t="n">
        <v>221.0789224952741</v>
      </c>
      <c r="L87" t="n">
        <v>230.1025519848771</v>
      </c>
      <c r="M87">
        <f>2*SQRT(K87/PI())</f>
        <v/>
      </c>
      <c r="N87">
        <f>2*SQRT(L87/PI())</f>
        <v/>
      </c>
      <c r="P87" t="inlineStr">
        <is>
          <t>是</t>
        </is>
      </c>
      <c r="Q87" t="inlineStr">
        <is>
          <t>auto_pipeline;review_png_green</t>
        </is>
      </c>
      <c r="R87" t="inlineStr">
        <is>
          <t>样品43</t>
        </is>
      </c>
    </row>
    <row r="88">
      <c r="A88" t="n">
        <v>87</v>
      </c>
      <c r="B88" t="inlineStr">
        <is>
          <t>44 (1).tif</t>
        </is>
      </c>
      <c r="C88" t="inlineStr">
        <is>
          <t>44(1)-V01</t>
        </is>
      </c>
      <c r="D88" t="n">
        <v>1</v>
      </c>
      <c r="E88" t="inlineStr">
        <is>
          <t>primary</t>
        </is>
      </c>
      <c r="F88" t="n">
        <v>1349.102079395085</v>
      </c>
      <c r="G88">
        <f>2*SQRT(F88/PI())</f>
        <v/>
      </c>
      <c r="H88" t="n">
        <v>142.0587226618891</v>
      </c>
      <c r="I88" t="n">
        <v>636</v>
      </c>
      <c r="J88" t="n">
        <v>397</v>
      </c>
      <c r="K88" t="n">
        <v>1322.120037807184</v>
      </c>
      <c r="L88" t="n">
        <v>1376.084120982987</v>
      </c>
      <c r="M88">
        <f>2*SQRT(K88/PI())</f>
        <v/>
      </c>
      <c r="N88">
        <f>2*SQRT(L88/PI())</f>
        <v/>
      </c>
      <c r="P88" t="inlineStr">
        <is>
          <t>是</t>
        </is>
      </c>
      <c r="Q88" t="inlineStr">
        <is>
          <t>auto_pipeline;review_png_green</t>
        </is>
      </c>
      <c r="R88" t="inlineStr">
        <is>
          <t>样品44</t>
        </is>
      </c>
    </row>
    <row r="89">
      <c r="A89" t="n">
        <v>88</v>
      </c>
      <c r="B89" t="inlineStr">
        <is>
          <t>44 (1).tif</t>
        </is>
      </c>
      <c r="C89" t="inlineStr">
        <is>
          <t>44(1)-V02</t>
        </is>
      </c>
      <c r="D89" t="n">
        <v>2</v>
      </c>
      <c r="E89" t="inlineStr">
        <is>
          <t>primary</t>
        </is>
      </c>
      <c r="F89" t="n">
        <v>638.9886578449906</v>
      </c>
      <c r="G89">
        <f>2*SQRT(F89/PI())</f>
        <v/>
      </c>
      <c r="H89" t="n">
        <v>95.42618647865626</v>
      </c>
      <c r="I89" t="n">
        <v>591</v>
      </c>
      <c r="J89" t="n">
        <v>381</v>
      </c>
      <c r="K89" t="n">
        <v>626.2088846880907</v>
      </c>
      <c r="L89" t="n">
        <v>651.7684310018905</v>
      </c>
      <c r="M89">
        <f>2*SQRT(K89/PI())</f>
        <v/>
      </c>
      <c r="N89">
        <f>2*SQRT(L89/PI())</f>
        <v/>
      </c>
      <c r="P89" t="inlineStr">
        <is>
          <t>是</t>
        </is>
      </c>
      <c r="Q89" t="inlineStr">
        <is>
          <t>auto_pipeline;review_png_green</t>
        </is>
      </c>
      <c r="R89" t="inlineStr">
        <is>
          <t>样品44</t>
        </is>
      </c>
    </row>
    <row r="90">
      <c r="A90" t="n">
        <v>89</v>
      </c>
      <c r="B90" t="inlineStr">
        <is>
          <t>44 (1).tif</t>
        </is>
      </c>
      <c r="C90" t="inlineStr">
        <is>
          <t>44(1)-V03</t>
        </is>
      </c>
      <c r="D90" t="n">
        <v>3</v>
      </c>
      <c r="E90" t="inlineStr">
        <is>
          <t>primary</t>
        </is>
      </c>
      <c r="F90" t="n">
        <v>577.3156899810964</v>
      </c>
      <c r="G90">
        <f>2*SQRT(F90/PI())</f>
        <v/>
      </c>
      <c r="H90" t="n">
        <v>91.84242968973906</v>
      </c>
      <c r="I90" t="n">
        <v>351</v>
      </c>
      <c r="J90" t="n">
        <v>302</v>
      </c>
      <c r="K90" t="n">
        <v>565.7693761814745</v>
      </c>
      <c r="L90" t="n">
        <v>588.8620037807183</v>
      </c>
      <c r="M90">
        <f>2*SQRT(K90/PI())</f>
        <v/>
      </c>
      <c r="N90">
        <f>2*SQRT(L90/PI())</f>
        <v/>
      </c>
      <c r="O90" t="inlineStr">
        <is>
          <t>44(1)-P01</t>
        </is>
      </c>
      <c r="P90" t="inlineStr">
        <is>
          <t>是</t>
        </is>
      </c>
      <c r="Q90" t="inlineStr">
        <is>
          <t>auto_pipeline;review_png_green</t>
        </is>
      </c>
      <c r="R90" t="inlineStr">
        <is>
          <t>样品44</t>
        </is>
      </c>
    </row>
    <row r="91">
      <c r="A91" t="n">
        <v>90</v>
      </c>
      <c r="B91" t="inlineStr">
        <is>
          <t>44 (1).tif</t>
        </is>
      </c>
      <c r="C91" t="inlineStr">
        <is>
          <t>44(1)-V04</t>
        </is>
      </c>
      <c r="D91" t="n">
        <v>4</v>
      </c>
      <c r="E91" t="inlineStr">
        <is>
          <t>primary</t>
        </is>
      </c>
      <c r="F91" t="n">
        <v>373.8185255198488</v>
      </c>
      <c r="G91">
        <f>2*SQRT(F91/PI())</f>
        <v/>
      </c>
      <c r="H91" t="n">
        <v>75.36438848661339</v>
      </c>
      <c r="I91" t="n">
        <v>467</v>
      </c>
      <c r="J91" t="n">
        <v>332</v>
      </c>
      <c r="K91" t="n">
        <v>366.3421550094518</v>
      </c>
      <c r="L91" t="n">
        <v>381.2948960302458</v>
      </c>
      <c r="M91">
        <f>2*SQRT(K91/PI())</f>
        <v/>
      </c>
      <c r="N91">
        <f>2*SQRT(L91/PI())</f>
        <v/>
      </c>
      <c r="P91" t="inlineStr">
        <is>
          <t>是</t>
        </is>
      </c>
      <c r="Q91" t="inlineStr">
        <is>
          <t>auto_pipeline;review_png_green</t>
        </is>
      </c>
      <c r="R91" t="inlineStr">
        <is>
          <t>样品44</t>
        </is>
      </c>
    </row>
    <row r="92">
      <c r="A92" t="n">
        <v>91</v>
      </c>
      <c r="B92" t="inlineStr">
        <is>
          <t>44 (1).tif</t>
        </is>
      </c>
      <c r="C92" t="inlineStr">
        <is>
          <t>44(1)-V05</t>
        </is>
      </c>
      <c r="D92" t="n">
        <v>5</v>
      </c>
      <c r="E92" t="inlineStr">
        <is>
          <t>primary</t>
        </is>
      </c>
      <c r="F92" t="n">
        <v>102.6465028355388</v>
      </c>
      <c r="G92">
        <f>2*SQRT(F92/PI())</f>
        <v/>
      </c>
      <c r="H92" t="n">
        <v>39.82520829076352</v>
      </c>
      <c r="I92" t="n">
        <v>167</v>
      </c>
      <c r="J92" t="n">
        <v>237</v>
      </c>
      <c r="K92" t="n">
        <v>100.593572778828</v>
      </c>
      <c r="L92" t="n">
        <v>104.6994328922495</v>
      </c>
      <c r="M92">
        <f>2*SQRT(K92/PI())</f>
        <v/>
      </c>
      <c r="N92">
        <f>2*SQRT(L92/PI())</f>
        <v/>
      </c>
      <c r="P92" t="inlineStr">
        <is>
          <t>是</t>
        </is>
      </c>
      <c r="Q92" t="inlineStr">
        <is>
          <t>auto_pipeline;review_png_green</t>
        </is>
      </c>
      <c r="R92" t="inlineStr">
        <is>
          <t>样品44</t>
        </is>
      </c>
    </row>
    <row r="93">
      <c r="A93" t="n">
        <v>92</v>
      </c>
      <c r="B93" t="inlineStr">
        <is>
          <t>44 (1).tif</t>
        </is>
      </c>
      <c r="C93" t="inlineStr">
        <is>
          <t>44(1)-V06</t>
        </is>
      </c>
      <c r="D93" t="n">
        <v>6</v>
      </c>
      <c r="E93" t="inlineStr">
        <is>
          <t>primary</t>
        </is>
      </c>
      <c r="F93" t="n">
        <v>17.74574669187146</v>
      </c>
      <c r="G93">
        <f>2*SQRT(F93/PI())</f>
        <v/>
      </c>
      <c r="H93" t="n">
        <v>23.0706283579702</v>
      </c>
      <c r="I93" t="n">
        <v>388</v>
      </c>
      <c r="J93" t="n">
        <v>336</v>
      </c>
      <c r="K93" t="n">
        <v>17.39083175803403</v>
      </c>
      <c r="L93" t="n">
        <v>18.10066162570888</v>
      </c>
      <c r="M93">
        <f>2*SQRT(K93/PI())</f>
        <v/>
      </c>
      <c r="N93">
        <f>2*SQRT(L93/PI())</f>
        <v/>
      </c>
      <c r="O93" t="inlineStr">
        <is>
          <t>44(1)-P01</t>
        </is>
      </c>
      <c r="P93" t="inlineStr">
        <is>
          <t>是</t>
        </is>
      </c>
      <c r="Q93" t="inlineStr">
        <is>
          <t>auto_pipeline;review_png_green</t>
        </is>
      </c>
      <c r="R93" t="inlineStr">
        <is>
          <t>样品44</t>
        </is>
      </c>
    </row>
    <row r="94">
      <c r="A94" t="n">
        <v>93</v>
      </c>
      <c r="B94" t="inlineStr">
        <is>
          <t>44 (2).tif</t>
        </is>
      </c>
      <c r="C94" t="inlineStr">
        <is>
          <t>44(2)-V01</t>
        </is>
      </c>
      <c r="D94" t="n">
        <v>1</v>
      </c>
      <c r="E94" t="inlineStr">
        <is>
          <t>primary</t>
        </is>
      </c>
      <c r="F94" t="n">
        <v>797.3062381852552</v>
      </c>
      <c r="G94">
        <f>2*SQRT(F94/PI())</f>
        <v/>
      </c>
      <c r="H94" t="n">
        <v>105.9227670793948</v>
      </c>
      <c r="I94" t="n">
        <v>598</v>
      </c>
      <c r="J94" t="n">
        <v>370</v>
      </c>
      <c r="K94" t="n">
        <v>781.3601134215501</v>
      </c>
      <c r="L94" t="n">
        <v>813.2523629489604</v>
      </c>
      <c r="M94">
        <f>2*SQRT(K94/PI())</f>
        <v/>
      </c>
      <c r="N94">
        <f>2*SQRT(L94/PI())</f>
        <v/>
      </c>
      <c r="O94" t="inlineStr">
        <is>
          <t>44(2)-P01</t>
        </is>
      </c>
      <c r="P94" t="inlineStr">
        <is>
          <t>是</t>
        </is>
      </c>
      <c r="Q94" t="inlineStr">
        <is>
          <t>auto_pipeline;review_png_green</t>
        </is>
      </c>
      <c r="R94" t="inlineStr">
        <is>
          <t>样品44</t>
        </is>
      </c>
    </row>
    <row r="95">
      <c r="A95" t="n">
        <v>94</v>
      </c>
      <c r="B95" t="inlineStr">
        <is>
          <t>44 (2).tif</t>
        </is>
      </c>
      <c r="C95" t="inlineStr">
        <is>
          <t>44(2)-V02</t>
        </is>
      </c>
      <c r="D95" t="n">
        <v>2</v>
      </c>
      <c r="E95" t="inlineStr">
        <is>
          <t>primary</t>
        </is>
      </c>
      <c r="F95" t="n">
        <v>762.5236294896031</v>
      </c>
      <c r="G95">
        <f>2*SQRT(F95/PI())</f>
        <v/>
      </c>
      <c r="H95" t="n">
        <v>106.3884486841119</v>
      </c>
      <c r="I95" t="n">
        <v>449</v>
      </c>
      <c r="J95" t="n">
        <v>329</v>
      </c>
      <c r="K95" t="n">
        <v>747.2731568998111</v>
      </c>
      <c r="L95" t="n">
        <v>777.7741020793951</v>
      </c>
      <c r="M95">
        <f>2*SQRT(K95/PI())</f>
        <v/>
      </c>
      <c r="N95">
        <f>2*SQRT(L95/PI())</f>
        <v/>
      </c>
      <c r="O95" t="inlineStr">
        <is>
          <t>44(2)-P01</t>
        </is>
      </c>
      <c r="P95" t="inlineStr">
        <is>
          <t>是</t>
        </is>
      </c>
      <c r="Q95" t="inlineStr">
        <is>
          <t>auto_pipeline;review_png_green</t>
        </is>
      </c>
      <c r="R95" t="inlineStr">
        <is>
          <t>样品44</t>
        </is>
      </c>
    </row>
    <row r="96">
      <c r="A96" t="n">
        <v>95</v>
      </c>
      <c r="B96" t="inlineStr">
        <is>
          <t>44 (2).tif</t>
        </is>
      </c>
      <c r="C96" t="inlineStr">
        <is>
          <t>44(2)-V03</t>
        </is>
      </c>
      <c r="D96" t="n">
        <v>3</v>
      </c>
      <c r="E96" t="inlineStr">
        <is>
          <t>primary</t>
        </is>
      </c>
      <c r="F96" t="n">
        <v>40.64272211720227</v>
      </c>
      <c r="G96">
        <f>2*SQRT(F96/PI())</f>
        <v/>
      </c>
      <c r="H96" t="n">
        <v>32.93048454367596</v>
      </c>
      <c r="I96" t="n">
        <v>483</v>
      </c>
      <c r="J96" t="n">
        <v>367</v>
      </c>
      <c r="K96" t="n">
        <v>39.82986767485822</v>
      </c>
      <c r="L96" t="n">
        <v>41.45557655954632</v>
      </c>
      <c r="M96">
        <f>2*SQRT(K96/PI())</f>
        <v/>
      </c>
      <c r="N96">
        <f>2*SQRT(L96/PI())</f>
        <v/>
      </c>
      <c r="P96" t="inlineStr">
        <is>
          <t>是</t>
        </is>
      </c>
      <c r="Q96" t="inlineStr">
        <is>
          <t>auto_pipeline;review_png_green</t>
        </is>
      </c>
      <c r="R96" t="inlineStr">
        <is>
          <t>样品44</t>
        </is>
      </c>
    </row>
    <row r="97">
      <c r="A97" t="n">
        <v>96</v>
      </c>
      <c r="B97" t="inlineStr">
        <is>
          <t>44 (3).tif</t>
        </is>
      </c>
      <c r="C97" t="inlineStr">
        <is>
          <t>44(3)-V01</t>
        </is>
      </c>
      <c r="D97" t="n">
        <v>1</v>
      </c>
      <c r="E97" t="inlineStr">
        <is>
          <t>primary</t>
        </is>
      </c>
      <c r="F97" t="n">
        <v>3192.084120982987</v>
      </c>
      <c r="G97">
        <f>2*SQRT(F97/PI())</f>
        <v/>
      </c>
      <c r="H97" t="n">
        <v>234.0028993720593</v>
      </c>
      <c r="I97" t="n">
        <v>316</v>
      </c>
      <c r="J97" t="n">
        <v>291</v>
      </c>
      <c r="K97" t="n">
        <v>3128.242438563327</v>
      </c>
      <c r="L97" t="n">
        <v>3255.925803402647</v>
      </c>
      <c r="M97">
        <f>2*SQRT(K97/PI())</f>
        <v/>
      </c>
      <c r="N97">
        <f>2*SQRT(L97/PI())</f>
        <v/>
      </c>
      <c r="P97" t="inlineStr">
        <is>
          <t>是</t>
        </is>
      </c>
      <c r="Q97" t="inlineStr">
        <is>
          <t>auto_pipeline;review_png_green</t>
        </is>
      </c>
      <c r="R97" t="inlineStr">
        <is>
          <t>样品44</t>
        </is>
      </c>
    </row>
    <row r="98">
      <c r="A98" t="n">
        <v>97</v>
      </c>
      <c r="B98" t="inlineStr">
        <is>
          <t>44 (3).tif</t>
        </is>
      </c>
      <c r="C98" t="inlineStr">
        <is>
          <t>44(3)-V02</t>
        </is>
      </c>
      <c r="D98" t="n">
        <v>2</v>
      </c>
      <c r="E98" t="inlineStr">
        <is>
          <t>primary</t>
        </is>
      </c>
      <c r="F98" t="n">
        <v>522.0463137996219</v>
      </c>
      <c r="G98">
        <f>2*SQRT(F98/PI())</f>
        <v/>
      </c>
      <c r="H98" t="n">
        <v>86.9015771150589</v>
      </c>
      <c r="I98" t="n">
        <v>439</v>
      </c>
      <c r="J98" t="n">
        <v>375</v>
      </c>
      <c r="K98" t="n">
        <v>511.6053875236294</v>
      </c>
      <c r="L98" t="n">
        <v>532.4872400756143</v>
      </c>
      <c r="M98">
        <f>2*SQRT(K98/PI())</f>
        <v/>
      </c>
      <c r="N98">
        <f>2*SQRT(L98/PI())</f>
        <v/>
      </c>
      <c r="O98" t="inlineStr">
        <is>
          <t>44(3)-P01</t>
        </is>
      </c>
      <c r="P98" t="inlineStr">
        <is>
          <t>是</t>
        </is>
      </c>
      <c r="Q98" t="inlineStr">
        <is>
          <t>auto_pipeline;review_png_green</t>
        </is>
      </c>
      <c r="R98" t="inlineStr">
        <is>
          <t>样品44</t>
        </is>
      </c>
    </row>
    <row r="99">
      <c r="A99" t="n">
        <v>98</v>
      </c>
      <c r="B99" t="inlineStr">
        <is>
          <t>44 (3).tif</t>
        </is>
      </c>
      <c r="C99" t="inlineStr">
        <is>
          <t>44(3)-V03</t>
        </is>
      </c>
      <c r="D99" t="n">
        <v>3</v>
      </c>
      <c r="E99" t="inlineStr">
        <is>
          <t>primary</t>
        </is>
      </c>
      <c r="F99" t="n">
        <v>471.4083175803403</v>
      </c>
      <c r="G99">
        <f>2*SQRT(F99/PI())</f>
        <v/>
      </c>
      <c r="H99" t="n">
        <v>85.79917109530905</v>
      </c>
      <c r="I99" t="n">
        <v>606</v>
      </c>
      <c r="J99" t="n">
        <v>336</v>
      </c>
      <c r="K99" t="n">
        <v>461.9801512287335</v>
      </c>
      <c r="L99" t="n">
        <v>480.8364839319471</v>
      </c>
      <c r="M99">
        <f>2*SQRT(K99/PI())</f>
        <v/>
      </c>
      <c r="N99">
        <f>2*SQRT(L99/PI())</f>
        <v/>
      </c>
      <c r="O99" t="inlineStr">
        <is>
          <t>44(3)-P01</t>
        </is>
      </c>
      <c r="P99" t="inlineStr">
        <is>
          <t>是</t>
        </is>
      </c>
      <c r="Q99" t="inlineStr">
        <is>
          <t>auto_pipeline;review_png_green</t>
        </is>
      </c>
      <c r="R99" t="inlineStr">
        <is>
          <t>样品44</t>
        </is>
      </c>
    </row>
    <row r="100">
      <c r="A100" t="n">
        <v>99</v>
      </c>
      <c r="B100" t="inlineStr">
        <is>
          <t>44 (4).tif</t>
        </is>
      </c>
      <c r="C100" t="inlineStr">
        <is>
          <t>44(4)-V01</t>
        </is>
      </c>
      <c r="D100" t="n">
        <v>1</v>
      </c>
      <c r="E100" t="inlineStr">
        <is>
          <t>primary</t>
        </is>
      </c>
      <c r="F100" t="n">
        <v>569.8015122873346</v>
      </c>
      <c r="G100">
        <f>2*SQRT(F100/PI())</f>
        <v/>
      </c>
      <c r="H100" t="n">
        <v>89.48842380357824</v>
      </c>
      <c r="I100" t="n">
        <v>743</v>
      </c>
      <c r="J100" t="n">
        <v>372</v>
      </c>
      <c r="K100" t="n">
        <v>558.4054820415879</v>
      </c>
      <c r="L100" t="n">
        <v>581.1975425330813</v>
      </c>
      <c r="M100">
        <f>2*SQRT(K100/PI())</f>
        <v/>
      </c>
      <c r="N100">
        <f>2*SQRT(L100/PI())</f>
        <v/>
      </c>
      <c r="P100" t="inlineStr">
        <is>
          <t>是</t>
        </is>
      </c>
      <c r="Q100" t="inlineStr">
        <is>
          <t>auto_pipeline;review_png_green</t>
        </is>
      </c>
      <c r="R100" t="inlineStr">
        <is>
          <t>样品44</t>
        </is>
      </c>
    </row>
    <row r="101">
      <c r="A101" t="n">
        <v>100</v>
      </c>
      <c r="B101" t="inlineStr">
        <is>
          <t>44 (4).tif</t>
        </is>
      </c>
      <c r="C101" t="inlineStr">
        <is>
          <t>44(4)-V02</t>
        </is>
      </c>
      <c r="D101" t="n">
        <v>2</v>
      </c>
      <c r="E101" t="inlineStr">
        <is>
          <t>primary</t>
        </is>
      </c>
      <c r="F101" t="n">
        <v>538.3270321361059</v>
      </c>
      <c r="G101">
        <f>2*SQRT(F101/PI())</f>
        <v/>
      </c>
      <c r="H101" t="n">
        <v>88.61885858618695</v>
      </c>
      <c r="I101" t="n">
        <v>601</v>
      </c>
      <c r="J101" t="n">
        <v>322</v>
      </c>
      <c r="K101" t="n">
        <v>527.5604914933838</v>
      </c>
      <c r="L101" t="n">
        <v>549.093572778828</v>
      </c>
      <c r="M101">
        <f>2*SQRT(K101/PI())</f>
        <v/>
      </c>
      <c r="N101">
        <f>2*SQRT(L101/PI())</f>
        <v/>
      </c>
      <c r="O101" t="inlineStr">
        <is>
          <t>44(4)-P01</t>
        </is>
      </c>
      <c r="P101" t="inlineStr">
        <is>
          <t>是</t>
        </is>
      </c>
      <c r="Q101" t="inlineStr">
        <is>
          <t>auto_pipeline;review_png_green</t>
        </is>
      </c>
      <c r="R101" t="inlineStr">
        <is>
          <t>样品44</t>
        </is>
      </c>
    </row>
    <row r="102">
      <c r="A102" t="n">
        <v>101</v>
      </c>
      <c r="B102" t="inlineStr">
        <is>
          <t>44 (4).tif</t>
        </is>
      </c>
      <c r="C102" t="inlineStr">
        <is>
          <t>44(4)-V03</t>
        </is>
      </c>
      <c r="D102" t="n">
        <v>3</v>
      </c>
      <c r="E102" t="inlineStr">
        <is>
          <t>primary</t>
        </is>
      </c>
      <c r="F102" t="n">
        <v>391.0207939508506</v>
      </c>
      <c r="G102">
        <f>2*SQRT(F102/PI())</f>
        <v/>
      </c>
      <c r="H102" t="n">
        <v>74.28383143051811</v>
      </c>
      <c r="I102" t="n">
        <v>459</v>
      </c>
      <c r="J102" t="n">
        <v>410</v>
      </c>
      <c r="K102" t="n">
        <v>383.2003780718336</v>
      </c>
      <c r="L102" t="n">
        <v>398.8412098298677</v>
      </c>
      <c r="M102">
        <f>2*SQRT(K102/PI())</f>
        <v/>
      </c>
      <c r="N102">
        <f>2*SQRT(L102/PI())</f>
        <v/>
      </c>
      <c r="P102" t="inlineStr">
        <is>
          <t>是</t>
        </is>
      </c>
      <c r="Q102" t="inlineStr">
        <is>
          <t>auto_pipeline;review_png_green</t>
        </is>
      </c>
      <c r="R102" t="inlineStr">
        <is>
          <t>样品44</t>
        </is>
      </c>
    </row>
    <row r="103">
      <c r="A103" t="n">
        <v>102</v>
      </c>
      <c r="B103" t="inlineStr">
        <is>
          <t>44 (4).tif</t>
        </is>
      </c>
      <c r="C103" t="inlineStr">
        <is>
          <t>44(4)-V04</t>
        </is>
      </c>
      <c r="D103" t="n">
        <v>4</v>
      </c>
      <c r="E103" t="inlineStr">
        <is>
          <t>primary</t>
        </is>
      </c>
      <c r="F103" t="n">
        <v>244.1398865784499</v>
      </c>
      <c r="G103">
        <f>2*SQRT(F103/PI())</f>
        <v/>
      </c>
      <c r="H103" t="n">
        <v>59.33392882347107</v>
      </c>
      <c r="I103" t="n">
        <v>311</v>
      </c>
      <c r="J103" t="n">
        <v>499</v>
      </c>
      <c r="K103" t="n">
        <v>239.2570888468809</v>
      </c>
      <c r="L103" t="n">
        <v>249.0226843100189</v>
      </c>
      <c r="M103">
        <f>2*SQRT(K103/PI())</f>
        <v/>
      </c>
      <c r="N103">
        <f>2*SQRT(L103/PI())</f>
        <v/>
      </c>
      <c r="P103" t="inlineStr">
        <is>
          <t>是</t>
        </is>
      </c>
      <c r="Q103" t="inlineStr">
        <is>
          <t>auto_pipeline;review_png_green</t>
        </is>
      </c>
      <c r="R103" t="inlineStr">
        <is>
          <t>样品44</t>
        </is>
      </c>
    </row>
    <row r="104">
      <c r="A104" t="n">
        <v>103</v>
      </c>
      <c r="B104" t="inlineStr">
        <is>
          <t>44 (4).tif</t>
        </is>
      </c>
      <c r="C104" t="inlineStr">
        <is>
          <t>44(4)-V05</t>
        </is>
      </c>
      <c r="D104" t="n">
        <v>5</v>
      </c>
      <c r="E104" t="inlineStr">
        <is>
          <t>primary</t>
        </is>
      </c>
      <c r="F104" t="n">
        <v>62.09829867674858</v>
      </c>
      <c r="G104">
        <f>2*SQRT(F104/PI())</f>
        <v/>
      </c>
      <c r="H104" t="n">
        <v>29.89980521409408</v>
      </c>
      <c r="I104" t="n">
        <v>643</v>
      </c>
      <c r="J104" t="n">
        <v>353</v>
      </c>
      <c r="K104" t="n">
        <v>60.85633270321361</v>
      </c>
      <c r="L104" t="n">
        <v>63.34026465028356</v>
      </c>
      <c r="M104">
        <f>2*SQRT(K104/PI())</f>
        <v/>
      </c>
      <c r="N104">
        <f>2*SQRT(L104/PI())</f>
        <v/>
      </c>
      <c r="O104" t="inlineStr">
        <is>
          <t>44(4)-P01</t>
        </is>
      </c>
      <c r="P104" t="inlineStr">
        <is>
          <t>是</t>
        </is>
      </c>
      <c r="Q104" t="inlineStr">
        <is>
          <t>auto_pipeline;review_png_green</t>
        </is>
      </c>
      <c r="R104" t="inlineStr">
        <is>
          <t>样品44</t>
        </is>
      </c>
    </row>
    <row r="105">
      <c r="A105" t="n">
        <v>104</v>
      </c>
      <c r="B105" t="inlineStr">
        <is>
          <t>44 (5).tif</t>
        </is>
      </c>
      <c r="C105" t="inlineStr">
        <is>
          <t>44(5)-V01</t>
        </is>
      </c>
      <c r="D105" t="n">
        <v>1</v>
      </c>
      <c r="E105" t="inlineStr">
        <is>
          <t>primary</t>
        </is>
      </c>
      <c r="F105" t="n">
        <v>735.2315689981097</v>
      </c>
      <c r="G105">
        <f>2*SQRT(F105/PI())</f>
        <v/>
      </c>
      <c r="H105" t="n">
        <v>101.8514797221059</v>
      </c>
      <c r="I105" t="n">
        <v>258</v>
      </c>
      <c r="J105" t="n">
        <v>394</v>
      </c>
      <c r="K105" t="n">
        <v>720.5269376181475</v>
      </c>
      <c r="L105" t="n">
        <v>749.9362003780718</v>
      </c>
      <c r="M105">
        <f>2*SQRT(K105/PI())</f>
        <v/>
      </c>
      <c r="N105">
        <f>2*SQRT(L105/PI())</f>
        <v/>
      </c>
      <c r="P105" t="inlineStr">
        <is>
          <t>是</t>
        </is>
      </c>
      <c r="Q105" t="inlineStr">
        <is>
          <t>auto_pipeline;review_png_green</t>
        </is>
      </c>
      <c r="R105" t="inlineStr">
        <is>
          <t>样品44</t>
        </is>
      </c>
    </row>
    <row r="106">
      <c r="A106" t="n">
        <v>105</v>
      </c>
      <c r="B106" t="inlineStr">
        <is>
          <t>44 (5).tif</t>
        </is>
      </c>
      <c r="C106" t="inlineStr">
        <is>
          <t>44(5)-V02</t>
        </is>
      </c>
      <c r="D106" t="n">
        <v>2</v>
      </c>
      <c r="E106" t="inlineStr">
        <is>
          <t>primary</t>
        </is>
      </c>
      <c r="F106" t="n">
        <v>441.8478260869565</v>
      </c>
      <c r="G106">
        <f>2*SQRT(F106/PI())</f>
        <v/>
      </c>
      <c r="H106" t="n">
        <v>79.47937377121137</v>
      </c>
      <c r="I106" t="n">
        <v>591</v>
      </c>
      <c r="J106" t="n">
        <v>379</v>
      </c>
      <c r="K106" t="n">
        <v>433.0108695652174</v>
      </c>
      <c r="L106" t="n">
        <v>450.6847826086956</v>
      </c>
      <c r="M106">
        <f>2*SQRT(K106/PI())</f>
        <v/>
      </c>
      <c r="N106">
        <f>2*SQRT(L106/PI())</f>
        <v/>
      </c>
      <c r="O106" t="inlineStr">
        <is>
          <t>44(5)-P01</t>
        </is>
      </c>
      <c r="P106" t="inlineStr">
        <is>
          <t>是</t>
        </is>
      </c>
      <c r="Q106" t="inlineStr">
        <is>
          <t>auto_pipeline;review_png_green</t>
        </is>
      </c>
      <c r="R106" t="inlineStr">
        <is>
          <t>样品44</t>
        </is>
      </c>
    </row>
    <row r="107">
      <c r="A107" t="n">
        <v>106</v>
      </c>
      <c r="B107" t="inlineStr">
        <is>
          <t>44 (5).tif</t>
        </is>
      </c>
      <c r="C107" t="inlineStr">
        <is>
          <t>44(5)-V03</t>
        </is>
      </c>
      <c r="D107" t="n">
        <v>3</v>
      </c>
      <c r="E107" t="inlineStr">
        <is>
          <t>primary</t>
        </is>
      </c>
      <c r="F107" t="n">
        <v>394.3761814744802</v>
      </c>
      <c r="G107">
        <f>2*SQRT(F107/PI())</f>
        <v/>
      </c>
      <c r="H107" t="n">
        <v>79.75591250087903</v>
      </c>
      <c r="I107" t="n">
        <v>365</v>
      </c>
      <c r="J107" t="n">
        <v>67</v>
      </c>
      <c r="K107" t="n">
        <v>386.4886578449905</v>
      </c>
      <c r="L107" t="n">
        <v>402.2637051039698</v>
      </c>
      <c r="M107">
        <f>2*SQRT(K107/PI())</f>
        <v/>
      </c>
      <c r="N107">
        <f>2*SQRT(L107/PI())</f>
        <v/>
      </c>
      <c r="P107" t="inlineStr">
        <is>
          <t>是</t>
        </is>
      </c>
      <c r="Q107" t="inlineStr">
        <is>
          <t>auto_pipeline;review_png_green</t>
        </is>
      </c>
      <c r="R107" t="inlineStr">
        <is>
          <t>样品44</t>
        </is>
      </c>
    </row>
    <row r="108">
      <c r="A108" t="n">
        <v>107</v>
      </c>
      <c r="B108" t="inlineStr">
        <is>
          <t>44 (5).tif</t>
        </is>
      </c>
      <c r="C108" t="inlineStr">
        <is>
          <t>44(5)-V04</t>
        </is>
      </c>
      <c r="D108" t="n">
        <v>4</v>
      </c>
      <c r="E108" t="inlineStr">
        <is>
          <t>primary</t>
        </is>
      </c>
      <c r="F108" t="n">
        <v>392.6748582230624</v>
      </c>
      <c r="G108">
        <f>2*SQRT(F108/PI())</f>
        <v/>
      </c>
      <c r="H108" t="n">
        <v>74.53852119653121</v>
      </c>
      <c r="I108" t="n">
        <v>454</v>
      </c>
      <c r="J108" t="n">
        <v>379</v>
      </c>
      <c r="K108" t="n">
        <v>384.8213610586011</v>
      </c>
      <c r="L108" t="n">
        <v>400.5283553875236</v>
      </c>
      <c r="M108">
        <f>2*SQRT(K108/PI())</f>
        <v/>
      </c>
      <c r="N108">
        <f>2*SQRT(L108/PI())</f>
        <v/>
      </c>
      <c r="P108" t="inlineStr">
        <is>
          <t>是</t>
        </is>
      </c>
      <c r="Q108" t="inlineStr">
        <is>
          <t>auto_pipeline;review_png_green</t>
        </is>
      </c>
      <c r="R108" t="inlineStr">
        <is>
          <t>样品44</t>
        </is>
      </c>
    </row>
    <row r="109">
      <c r="A109" t="n">
        <v>108</v>
      </c>
      <c r="B109" t="inlineStr">
        <is>
          <t>44 (5).tif</t>
        </is>
      </c>
      <c r="C109" t="inlineStr">
        <is>
          <t>44(5)-V05</t>
        </is>
      </c>
      <c r="D109" t="n">
        <v>5</v>
      </c>
      <c r="E109" t="inlineStr">
        <is>
          <t>primary</t>
        </is>
      </c>
      <c r="F109" t="n">
        <v>241.1625708884688</v>
      </c>
      <c r="G109">
        <f>2*SQRT(F109/PI())</f>
        <v/>
      </c>
      <c r="H109" t="n">
        <v>67.81858915868013</v>
      </c>
      <c r="I109" t="n">
        <v>803</v>
      </c>
      <c r="J109" t="n">
        <v>284</v>
      </c>
      <c r="K109" t="n">
        <v>236.3393194706995</v>
      </c>
      <c r="L109" t="n">
        <v>245.9858223062382</v>
      </c>
      <c r="M109">
        <f>2*SQRT(K109/PI())</f>
        <v/>
      </c>
      <c r="N109">
        <f>2*SQRT(L109/PI())</f>
        <v/>
      </c>
      <c r="P109" t="inlineStr">
        <is>
          <t>是</t>
        </is>
      </c>
      <c r="Q109" t="inlineStr">
        <is>
          <t>auto_pipeline;review_png_green</t>
        </is>
      </c>
      <c r="R109" t="inlineStr">
        <is>
          <t>样品44</t>
        </is>
      </c>
    </row>
    <row r="110">
      <c r="A110" t="n">
        <v>109</v>
      </c>
      <c r="B110" t="inlineStr">
        <is>
          <t>44 (5).tif</t>
        </is>
      </c>
      <c r="C110" t="inlineStr">
        <is>
          <t>44(5)-V06</t>
        </is>
      </c>
      <c r="D110" t="n">
        <v>6</v>
      </c>
      <c r="E110" t="inlineStr">
        <is>
          <t>primary</t>
        </is>
      </c>
      <c r="F110" t="n">
        <v>62.09829867674858</v>
      </c>
      <c r="G110">
        <f>2*SQRT(F110/PI())</f>
        <v/>
      </c>
      <c r="H110" t="n">
        <v>29.89980521409408</v>
      </c>
      <c r="I110" t="n">
        <v>627</v>
      </c>
      <c r="J110" t="n">
        <v>411</v>
      </c>
      <c r="K110" t="n">
        <v>60.85633270321361</v>
      </c>
      <c r="L110" t="n">
        <v>63.34026465028356</v>
      </c>
      <c r="M110">
        <f>2*SQRT(K110/PI())</f>
        <v/>
      </c>
      <c r="N110">
        <f>2*SQRT(L110/PI())</f>
        <v/>
      </c>
      <c r="O110" t="inlineStr">
        <is>
          <t>44(5)-P01</t>
        </is>
      </c>
      <c r="P110" t="inlineStr">
        <is>
          <t>是</t>
        </is>
      </c>
      <c r="Q110" t="inlineStr">
        <is>
          <t>auto_pipeline;review_png_green</t>
        </is>
      </c>
      <c r="R110" t="inlineStr">
        <is>
          <t>样品44</t>
        </is>
      </c>
    </row>
    <row r="111">
      <c r="A111" t="n">
        <v>110</v>
      </c>
      <c r="B111" t="inlineStr">
        <is>
          <t>44 (6).tif</t>
        </is>
      </c>
      <c r="C111" t="inlineStr">
        <is>
          <t>44(6)-V01</t>
        </is>
      </c>
      <c r="D111" t="n">
        <v>1</v>
      </c>
      <c r="E111" t="inlineStr">
        <is>
          <t>primary</t>
        </is>
      </c>
      <c r="F111" t="n">
        <v>997.7788279773157</v>
      </c>
      <c r="G111">
        <f>2*SQRT(F111/PI())</f>
        <v/>
      </c>
      <c r="H111" t="n">
        <v>118.1584781149159</v>
      </c>
      <c r="I111" t="n">
        <v>579</v>
      </c>
      <c r="J111" t="n">
        <v>264</v>
      </c>
      <c r="K111" t="n">
        <v>977.8232514177694</v>
      </c>
      <c r="L111" t="n">
        <v>1017.734404536862</v>
      </c>
      <c r="M111">
        <f>2*SQRT(K111/PI())</f>
        <v/>
      </c>
      <c r="N111">
        <f>2*SQRT(L111/PI())</f>
        <v/>
      </c>
      <c r="P111" t="inlineStr">
        <is>
          <t>是</t>
        </is>
      </c>
      <c r="Q111" t="inlineStr">
        <is>
          <t>auto_pipeline;review_png_green</t>
        </is>
      </c>
      <c r="R111" t="inlineStr">
        <is>
          <t>样品44</t>
        </is>
      </c>
    </row>
    <row r="112">
      <c r="A112" t="n">
        <v>111</v>
      </c>
      <c r="B112" t="inlineStr">
        <is>
          <t>44 (6).tif</t>
        </is>
      </c>
      <c r="C112" t="inlineStr">
        <is>
          <t>44(6)-V02</t>
        </is>
      </c>
      <c r="D112" t="n">
        <v>2</v>
      </c>
      <c r="E112" t="inlineStr">
        <is>
          <t>primary</t>
        </is>
      </c>
      <c r="F112" t="n">
        <v>733.648393194707</v>
      </c>
      <c r="G112">
        <f>2*SQRT(F112/PI())</f>
        <v/>
      </c>
      <c r="H112" t="n">
        <v>101.7241348390994</v>
      </c>
      <c r="I112" t="n">
        <v>474</v>
      </c>
      <c r="J112" t="n">
        <v>427</v>
      </c>
      <c r="K112" t="n">
        <v>718.9754253308128</v>
      </c>
      <c r="L112" t="n">
        <v>748.3213610586012</v>
      </c>
      <c r="M112">
        <f>2*SQRT(K112/PI())</f>
        <v/>
      </c>
      <c r="N112">
        <f>2*SQRT(L112/PI())</f>
        <v/>
      </c>
      <c r="O112" t="inlineStr">
        <is>
          <t>44(6)-P01</t>
        </is>
      </c>
      <c r="P112" t="inlineStr">
        <is>
          <t>是</t>
        </is>
      </c>
      <c r="Q112" t="inlineStr">
        <is>
          <t>auto_pipeline;review_png_green</t>
        </is>
      </c>
      <c r="R112" t="inlineStr">
        <is>
          <t>样品44</t>
        </is>
      </c>
    </row>
    <row r="113">
      <c r="A113" t="n">
        <v>112</v>
      </c>
      <c r="B113" t="inlineStr">
        <is>
          <t>44 (6).tif</t>
        </is>
      </c>
      <c r="C113" t="inlineStr">
        <is>
          <t>44(6)-V03</t>
        </is>
      </c>
      <c r="D113" t="n">
        <v>3</v>
      </c>
      <c r="E113" t="inlineStr">
        <is>
          <t>primary</t>
        </is>
      </c>
      <c r="F113" t="n">
        <v>453.2136105860113</v>
      </c>
      <c r="G113">
        <f>2*SQRT(F113/PI())</f>
        <v/>
      </c>
      <c r="H113" t="n">
        <v>80.47628387160923</v>
      </c>
      <c r="I113" t="n">
        <v>347</v>
      </c>
      <c r="J113" t="n">
        <v>514</v>
      </c>
      <c r="K113" t="n">
        <v>444.1493383742911</v>
      </c>
      <c r="L113" t="n">
        <v>462.2778827977315</v>
      </c>
      <c r="M113">
        <f>2*SQRT(K113/PI())</f>
        <v/>
      </c>
      <c r="N113">
        <f>2*SQRT(L113/PI())</f>
        <v/>
      </c>
      <c r="O113" t="inlineStr">
        <is>
          <t>44(6)-P01</t>
        </is>
      </c>
      <c r="P113" t="inlineStr">
        <is>
          <t>是</t>
        </is>
      </c>
      <c r="Q113" t="inlineStr">
        <is>
          <t>auto_pipeline;review_png_green</t>
        </is>
      </c>
      <c r="R113" t="inlineStr">
        <is>
          <t>样品44</t>
        </is>
      </c>
    </row>
    <row r="114">
      <c r="A114" t="n">
        <v>113</v>
      </c>
      <c r="B114" t="inlineStr">
        <is>
          <t>44 (7).tif</t>
        </is>
      </c>
      <c r="C114" t="inlineStr">
        <is>
          <t>44(7)-V01</t>
        </is>
      </c>
      <c r="D114" t="n">
        <v>1</v>
      </c>
      <c r="E114" t="inlineStr">
        <is>
          <t>primary</t>
        </is>
      </c>
      <c r="F114" t="n">
        <v>822.4007561436673</v>
      </c>
      <c r="G114">
        <f>2*SQRT(F114/PI())</f>
        <v/>
      </c>
      <c r="H114" t="n">
        <v>107.4072077481643</v>
      </c>
      <c r="I114" t="n">
        <v>617</v>
      </c>
      <c r="J114" t="n">
        <v>331</v>
      </c>
      <c r="K114" t="n">
        <v>805.952741020794</v>
      </c>
      <c r="L114" t="n">
        <v>838.8487712665407</v>
      </c>
      <c r="M114">
        <f>2*SQRT(K114/PI())</f>
        <v/>
      </c>
      <c r="N114">
        <f>2*SQRT(L114/PI())</f>
        <v/>
      </c>
      <c r="O114" t="inlineStr">
        <is>
          <t>44(7)-P01</t>
        </is>
      </c>
      <c r="P114" t="inlineStr">
        <is>
          <t>是</t>
        </is>
      </c>
      <c r="Q114" t="inlineStr">
        <is>
          <t>auto_pipeline;review_png_green</t>
        </is>
      </c>
      <c r="R114" t="inlineStr">
        <is>
          <t>样品44</t>
        </is>
      </c>
    </row>
    <row r="115">
      <c r="A115" t="n">
        <v>114</v>
      </c>
      <c r="B115" t="inlineStr">
        <is>
          <t>44 (7).tif</t>
        </is>
      </c>
      <c r="C115" t="inlineStr">
        <is>
          <t>44(7)-V02</t>
        </is>
      </c>
      <c r="D115" t="n">
        <v>2</v>
      </c>
      <c r="E115" t="inlineStr">
        <is>
          <t>primary</t>
        </is>
      </c>
      <c r="F115" t="n">
        <v>610.8223062381852</v>
      </c>
      <c r="G115">
        <f>2*SQRT(F115/PI())</f>
        <v/>
      </c>
      <c r="H115" t="n">
        <v>93.32687035850856</v>
      </c>
      <c r="I115" t="n">
        <v>470</v>
      </c>
      <c r="J115" t="n">
        <v>423</v>
      </c>
      <c r="K115" t="n">
        <v>598.6058601134215</v>
      </c>
      <c r="L115" t="n">
        <v>623.0387523629489</v>
      </c>
      <c r="M115">
        <f>2*SQRT(K115/PI())</f>
        <v/>
      </c>
      <c r="N115">
        <f>2*SQRT(L115/PI())</f>
        <v/>
      </c>
      <c r="O115" t="inlineStr">
        <is>
          <t>44(7)-P01</t>
        </is>
      </c>
      <c r="P115" t="inlineStr">
        <is>
          <t>是</t>
        </is>
      </c>
      <c r="Q115" t="inlineStr">
        <is>
          <t>auto_pipeline;review_png_green</t>
        </is>
      </c>
      <c r="R115" t="inlineStr">
        <is>
          <t>样品44</t>
        </is>
      </c>
    </row>
    <row r="116">
      <c r="A116" t="n">
        <v>115</v>
      </c>
      <c r="B116" t="inlineStr">
        <is>
          <t>44 (8).tif</t>
        </is>
      </c>
      <c r="C116" t="inlineStr">
        <is>
          <t>44(8)-V01</t>
        </is>
      </c>
      <c r="D116" t="n">
        <v>1</v>
      </c>
      <c r="E116" t="inlineStr">
        <is>
          <t>primary</t>
        </is>
      </c>
      <c r="F116" t="n">
        <v>768.1710775047259</v>
      </c>
      <c r="G116">
        <f>2*SQRT(F116/PI())</f>
        <v/>
      </c>
      <c r="H116" t="n">
        <v>109.4846749046574</v>
      </c>
      <c r="I116" t="n">
        <v>892</v>
      </c>
      <c r="J116" t="n">
        <v>220</v>
      </c>
      <c r="K116" t="n">
        <v>752.8076559546313</v>
      </c>
      <c r="L116" t="n">
        <v>783.5344990548205</v>
      </c>
      <c r="M116">
        <f>2*SQRT(K116/PI())</f>
        <v/>
      </c>
      <c r="N116">
        <f>2*SQRT(L116/PI())</f>
        <v/>
      </c>
      <c r="P116" t="inlineStr">
        <is>
          <t>是</t>
        </is>
      </c>
      <c r="Q116" t="inlineStr">
        <is>
          <t>auto_pipeline;review_png_green</t>
        </is>
      </c>
      <c r="R116" t="inlineStr">
        <is>
          <t>样品44</t>
        </is>
      </c>
    </row>
    <row r="117">
      <c r="A117" t="n">
        <v>116</v>
      </c>
      <c r="B117" t="inlineStr">
        <is>
          <t>44 (8).tif</t>
        </is>
      </c>
      <c r="C117" t="inlineStr">
        <is>
          <t>44(8)-V02</t>
        </is>
      </c>
      <c r="D117" t="n">
        <v>2</v>
      </c>
      <c r="E117" t="inlineStr">
        <is>
          <t>primary</t>
        </is>
      </c>
      <c r="F117" t="n">
        <v>631.4508506616257</v>
      </c>
      <c r="G117">
        <f>2*SQRT(F117/PI())</f>
        <v/>
      </c>
      <c r="H117" t="n">
        <v>95.04415182963662</v>
      </c>
      <c r="I117" t="n">
        <v>503</v>
      </c>
      <c r="J117" t="n">
        <v>312</v>
      </c>
      <c r="K117" t="n">
        <v>618.8218336483932</v>
      </c>
      <c r="L117" t="n">
        <v>644.0798676748583</v>
      </c>
      <c r="M117">
        <f>2*SQRT(K117/PI())</f>
        <v/>
      </c>
      <c r="N117">
        <f>2*SQRT(L117/PI())</f>
        <v/>
      </c>
      <c r="O117" t="inlineStr">
        <is>
          <t>44(8)-P01</t>
        </is>
      </c>
      <c r="P117" t="inlineStr">
        <is>
          <t>是</t>
        </is>
      </c>
      <c r="Q117" t="inlineStr">
        <is>
          <t>auto_pipeline;review_png_green</t>
        </is>
      </c>
      <c r="R117" t="inlineStr">
        <is>
          <t>样品44</t>
        </is>
      </c>
    </row>
    <row r="118">
      <c r="A118" t="n">
        <v>117</v>
      </c>
      <c r="B118" t="inlineStr">
        <is>
          <t>44 (8).tif</t>
        </is>
      </c>
      <c r="C118" t="inlineStr">
        <is>
          <t>44(8)-V03</t>
        </is>
      </c>
      <c r="D118" t="n">
        <v>3</v>
      </c>
      <c r="E118" t="inlineStr">
        <is>
          <t>primary</t>
        </is>
      </c>
      <c r="F118" t="n">
        <v>585.2079395085066</v>
      </c>
      <c r="G118">
        <f>2*SQRT(F118/PI())</f>
        <v/>
      </c>
      <c r="H118" t="n">
        <v>92.45730514111726</v>
      </c>
      <c r="I118" t="n">
        <v>96</v>
      </c>
      <c r="J118" t="n">
        <v>546</v>
      </c>
      <c r="K118" t="n">
        <v>573.5037807183364</v>
      </c>
      <c r="L118" t="n">
        <v>596.9120982986767</v>
      </c>
      <c r="M118">
        <f>2*SQRT(K118/PI())</f>
        <v/>
      </c>
      <c r="N118">
        <f>2*SQRT(L118/PI())</f>
        <v/>
      </c>
      <c r="P118" t="inlineStr">
        <is>
          <t>是</t>
        </is>
      </c>
      <c r="Q118" t="inlineStr">
        <is>
          <t>auto_pipeline;review_png_green</t>
        </is>
      </c>
      <c r="R118" t="inlineStr">
        <is>
          <t>样品44</t>
        </is>
      </c>
    </row>
    <row r="119">
      <c r="A119" t="n">
        <v>118</v>
      </c>
      <c r="B119" t="inlineStr">
        <is>
          <t>44 (8).tif</t>
        </is>
      </c>
      <c r="C119" t="inlineStr">
        <is>
          <t>44(8)-V04</t>
        </is>
      </c>
      <c r="D119" t="n">
        <v>4</v>
      </c>
      <c r="E119" t="inlineStr">
        <is>
          <t>primary</t>
        </is>
      </c>
      <c r="F119" t="n">
        <v>475.0945179584121</v>
      </c>
      <c r="G119">
        <f>2*SQRT(F119/PI())</f>
        <v/>
      </c>
      <c r="H119" t="n">
        <v>82.42640614509583</v>
      </c>
      <c r="I119" t="n">
        <v>456</v>
      </c>
      <c r="J119" t="n">
        <v>471</v>
      </c>
      <c r="K119" t="n">
        <v>465.5926275992438</v>
      </c>
      <c r="L119" t="n">
        <v>484.5964083175804</v>
      </c>
      <c r="M119">
        <f>2*SQRT(K119/PI())</f>
        <v/>
      </c>
      <c r="N119">
        <f>2*SQRT(L119/PI())</f>
        <v/>
      </c>
      <c r="O119" t="inlineStr">
        <is>
          <t>44(8)-P01</t>
        </is>
      </c>
      <c r="P119" t="inlineStr">
        <is>
          <t>是</t>
        </is>
      </c>
      <c r="Q119" t="inlineStr">
        <is>
          <t>auto_pipeline;review_png_green</t>
        </is>
      </c>
      <c r="R119" t="inlineStr">
        <is>
          <t>样品44</t>
        </is>
      </c>
    </row>
    <row r="120">
      <c r="A120" t="n">
        <v>119</v>
      </c>
      <c r="B120" t="inlineStr">
        <is>
          <t>44 (8).tif</t>
        </is>
      </c>
      <c r="C120" t="inlineStr">
        <is>
          <t>44(8)-V05</t>
        </is>
      </c>
      <c r="D120" t="n">
        <v>5</v>
      </c>
      <c r="E120" t="inlineStr">
        <is>
          <t>primary</t>
        </is>
      </c>
      <c r="F120" t="n">
        <v>227.9773156899811</v>
      </c>
      <c r="G120">
        <f>2*SQRT(F120/PI())</f>
        <v/>
      </c>
      <c r="H120" t="n">
        <v>59.43942474282306</v>
      </c>
      <c r="I120" t="n">
        <v>698</v>
      </c>
      <c r="J120" t="n">
        <v>98</v>
      </c>
      <c r="K120" t="n">
        <v>223.4177693761815</v>
      </c>
      <c r="L120" t="n">
        <v>232.5368620037807</v>
      </c>
      <c r="M120">
        <f>2*SQRT(K120/PI())</f>
        <v/>
      </c>
      <c r="N120">
        <f>2*SQRT(L120/PI())</f>
        <v/>
      </c>
      <c r="P120" t="inlineStr">
        <is>
          <t>是</t>
        </is>
      </c>
      <c r="Q120" t="inlineStr">
        <is>
          <t>auto_pipeline;review_png_green</t>
        </is>
      </c>
      <c r="R120" t="inlineStr">
        <is>
          <t>样品44</t>
        </is>
      </c>
    </row>
    <row r="121">
      <c r="A121" t="n">
        <v>120</v>
      </c>
      <c r="B121" t="inlineStr">
        <is>
          <t>44 (8).tif</t>
        </is>
      </c>
      <c r="C121" t="inlineStr">
        <is>
          <t>44(8)-V06</t>
        </is>
      </c>
      <c r="D121" t="n">
        <v>6</v>
      </c>
      <c r="E121" t="inlineStr">
        <is>
          <t>primary</t>
        </is>
      </c>
      <c r="F121" t="n">
        <v>18.12381852551985</v>
      </c>
      <c r="G121">
        <f>2*SQRT(F121/PI())</f>
        <v/>
      </c>
      <c r="H121" t="n">
        <v>23.17612427732219</v>
      </c>
      <c r="I121" t="n">
        <v>544</v>
      </c>
      <c r="J121" t="n">
        <v>347</v>
      </c>
      <c r="K121" t="n">
        <v>17.76134215500945</v>
      </c>
      <c r="L121" t="n">
        <v>18.48629489603024</v>
      </c>
      <c r="M121">
        <f>2*SQRT(K121/PI())</f>
        <v/>
      </c>
      <c r="N121">
        <f>2*SQRT(L121/PI())</f>
        <v/>
      </c>
      <c r="P121" t="inlineStr">
        <is>
          <t>是</t>
        </is>
      </c>
      <c r="Q121" t="inlineStr">
        <is>
          <t>auto_pipeline;review_png_green</t>
        </is>
      </c>
      <c r="R121" t="inlineStr">
        <is>
          <t>样品44</t>
        </is>
      </c>
    </row>
    <row r="122">
      <c r="A122" t="n">
        <v>121</v>
      </c>
      <c r="B122" t="inlineStr">
        <is>
          <t>45 (1).tif</t>
        </is>
      </c>
      <c r="C122" t="inlineStr">
        <is>
          <t>45(1)-V01</t>
        </is>
      </c>
      <c r="D122" t="n">
        <v>1</v>
      </c>
      <c r="E122" t="inlineStr">
        <is>
          <t>primary</t>
        </is>
      </c>
      <c r="F122" t="n">
        <v>523.0387523629489</v>
      </c>
      <c r="G122">
        <f>2*SQRT(F122/PI())</f>
        <v/>
      </c>
      <c r="H122" t="n">
        <v>86.03201189766759</v>
      </c>
      <c r="I122" t="n">
        <v>795</v>
      </c>
      <c r="J122" t="n">
        <v>165</v>
      </c>
      <c r="K122" t="n">
        <v>512.57797731569</v>
      </c>
      <c r="L122" t="n">
        <v>533.4995274102079</v>
      </c>
      <c r="M122">
        <f>2*SQRT(K122/PI())</f>
        <v/>
      </c>
      <c r="N122">
        <f>2*SQRT(L122/PI())</f>
        <v/>
      </c>
      <c r="P122" t="inlineStr">
        <is>
          <t>是</t>
        </is>
      </c>
      <c r="Q122" t="inlineStr">
        <is>
          <t>auto_pipeline;review_png_green</t>
        </is>
      </c>
      <c r="R122" t="inlineStr">
        <is>
          <t>样品45</t>
        </is>
      </c>
    </row>
    <row r="123">
      <c r="A123" t="n">
        <v>122</v>
      </c>
      <c r="B123" t="inlineStr">
        <is>
          <t>45 (1).tif</t>
        </is>
      </c>
      <c r="C123" t="inlineStr">
        <is>
          <t>45(1)-V02</t>
        </is>
      </c>
      <c r="D123" t="n">
        <v>2</v>
      </c>
      <c r="E123" t="inlineStr">
        <is>
          <t>primary</t>
        </is>
      </c>
      <c r="F123" t="n">
        <v>489.3667296786389</v>
      </c>
      <c r="G123">
        <f>2*SQRT(F123/PI())</f>
        <v/>
      </c>
      <c r="H123" t="n">
        <v>82.93578567712203</v>
      </c>
      <c r="I123" t="n">
        <v>578</v>
      </c>
      <c r="J123" t="n">
        <v>405</v>
      </c>
      <c r="K123" t="n">
        <v>479.5793950850662</v>
      </c>
      <c r="L123" t="n">
        <v>499.1540642722117</v>
      </c>
      <c r="M123">
        <f>2*SQRT(K123/PI())</f>
        <v/>
      </c>
      <c r="N123">
        <f>2*SQRT(L123/PI())</f>
        <v/>
      </c>
      <c r="O123" t="inlineStr">
        <is>
          <t>45(1)-P01</t>
        </is>
      </c>
      <c r="P123" t="inlineStr">
        <is>
          <t>是</t>
        </is>
      </c>
      <c r="Q123" t="inlineStr">
        <is>
          <t>auto_pipeline;review_png_green</t>
        </is>
      </c>
      <c r="R123" t="inlineStr">
        <is>
          <t>样品45</t>
        </is>
      </c>
    </row>
    <row r="124">
      <c r="A124" t="n">
        <v>123</v>
      </c>
      <c r="B124" t="inlineStr">
        <is>
          <t>45 (1).tif</t>
        </is>
      </c>
      <c r="C124" t="inlineStr">
        <is>
          <t>45(1)-V03</t>
        </is>
      </c>
      <c r="D124" t="n">
        <v>3</v>
      </c>
      <c r="E124" t="inlineStr">
        <is>
          <t>primary</t>
        </is>
      </c>
      <c r="F124" t="n">
        <v>385.0661625708885</v>
      </c>
      <c r="G124">
        <f>2*SQRT(F124/PI())</f>
        <v/>
      </c>
      <c r="H124" t="n">
        <v>74.53852119653121</v>
      </c>
      <c r="I124" t="n">
        <v>945</v>
      </c>
      <c r="J124" t="n">
        <v>188</v>
      </c>
      <c r="K124" t="n">
        <v>377.3648393194707</v>
      </c>
      <c r="L124" t="n">
        <v>392.7674858223062</v>
      </c>
      <c r="M124">
        <f>2*SQRT(K124/PI())</f>
        <v/>
      </c>
      <c r="N124">
        <f>2*SQRT(L124/PI())</f>
        <v/>
      </c>
      <c r="O124" t="inlineStr">
        <is>
          <t>45(1)-P02</t>
        </is>
      </c>
      <c r="P124" t="inlineStr">
        <is>
          <t>是</t>
        </is>
      </c>
      <c r="Q124" t="inlineStr">
        <is>
          <t>auto_pipeline;review_png_green</t>
        </is>
      </c>
      <c r="R124" t="inlineStr">
        <is>
          <t>样品45</t>
        </is>
      </c>
    </row>
    <row r="125">
      <c r="A125" t="n">
        <v>124</v>
      </c>
      <c r="B125" t="inlineStr">
        <is>
          <t>45 (1).tif</t>
        </is>
      </c>
      <c r="C125" t="inlineStr">
        <is>
          <t>45(1)-V04</t>
        </is>
      </c>
      <c r="D125" t="n">
        <v>4</v>
      </c>
      <c r="E125" t="inlineStr">
        <is>
          <t>primary</t>
        </is>
      </c>
      <c r="F125" t="n">
        <v>339.9338374291115</v>
      </c>
      <c r="G125">
        <f>2*SQRT(F125/PI())</f>
        <v/>
      </c>
      <c r="H125" t="n">
        <v>69.2156339728314</v>
      </c>
      <c r="I125" t="n">
        <v>959</v>
      </c>
      <c r="J125" t="n">
        <v>594</v>
      </c>
      <c r="K125" t="n">
        <v>333.1351606805293</v>
      </c>
      <c r="L125" t="n">
        <v>346.7325141776938</v>
      </c>
      <c r="M125">
        <f>2*SQRT(K125/PI())</f>
        <v/>
      </c>
      <c r="N125">
        <f>2*SQRT(L125/PI())</f>
        <v/>
      </c>
      <c r="P125" t="inlineStr">
        <is>
          <t>是</t>
        </is>
      </c>
      <c r="Q125" t="inlineStr">
        <is>
          <t>auto_pipeline;review_png_green</t>
        </is>
      </c>
      <c r="R125" t="inlineStr">
        <is>
          <t>样品45</t>
        </is>
      </c>
    </row>
    <row r="126">
      <c r="A126" t="n">
        <v>125</v>
      </c>
      <c r="B126" t="inlineStr">
        <is>
          <t>45 (1).tif</t>
        </is>
      </c>
      <c r="C126" t="inlineStr">
        <is>
          <t>45(1)-V05</t>
        </is>
      </c>
      <c r="D126" t="n">
        <v>5</v>
      </c>
      <c r="E126" t="inlineStr">
        <is>
          <t>primary</t>
        </is>
      </c>
      <c r="F126" t="n">
        <v>279.7258979206049</v>
      </c>
      <c r="G126">
        <f>2*SQRT(F126/PI())</f>
        <v/>
      </c>
      <c r="H126" t="n">
        <v>62.66299584637517</v>
      </c>
      <c r="I126" t="n">
        <v>465</v>
      </c>
      <c r="J126" t="n">
        <v>351</v>
      </c>
      <c r="K126" t="n">
        <v>274.1313799621928</v>
      </c>
      <c r="L126" t="n">
        <v>285.320415879017</v>
      </c>
      <c r="M126">
        <f>2*SQRT(K126/PI())</f>
        <v/>
      </c>
      <c r="N126">
        <f>2*SQRT(L126/PI())</f>
        <v/>
      </c>
      <c r="O126" t="inlineStr">
        <is>
          <t>45(1)-P01</t>
        </is>
      </c>
      <c r="P126" t="inlineStr">
        <is>
          <t>是</t>
        </is>
      </c>
      <c r="Q126" t="inlineStr">
        <is>
          <t>auto_pipeline;review_png_green</t>
        </is>
      </c>
      <c r="R126" t="inlineStr">
        <is>
          <t>样品45</t>
        </is>
      </c>
    </row>
    <row r="127">
      <c r="A127" t="n">
        <v>126</v>
      </c>
      <c r="B127" t="inlineStr">
        <is>
          <t>45 (1).tif</t>
        </is>
      </c>
      <c r="C127" t="inlineStr">
        <is>
          <t>45(1)-V06</t>
        </is>
      </c>
      <c r="D127" t="n">
        <v>6</v>
      </c>
      <c r="E127" t="inlineStr">
        <is>
          <t>primary</t>
        </is>
      </c>
      <c r="F127" t="n">
        <v>208.648393194707</v>
      </c>
      <c r="G127">
        <f>2*SQRT(F127/PI())</f>
        <v/>
      </c>
      <c r="H127" t="n">
        <v>55.13529658317566</v>
      </c>
      <c r="I127" t="n">
        <v>833</v>
      </c>
      <c r="J127" t="n">
        <v>552</v>
      </c>
      <c r="K127" t="n">
        <v>204.4754253308128</v>
      </c>
      <c r="L127" t="n">
        <v>212.8213610586011</v>
      </c>
      <c r="M127">
        <f>2*SQRT(K127/PI())</f>
        <v/>
      </c>
      <c r="N127">
        <f>2*SQRT(L127/PI())</f>
        <v/>
      </c>
      <c r="P127" t="inlineStr">
        <is>
          <t>是</t>
        </is>
      </c>
      <c r="Q127" t="inlineStr">
        <is>
          <t>auto_pipeline;review_png_green</t>
        </is>
      </c>
      <c r="R127" t="inlineStr">
        <is>
          <t>样品45</t>
        </is>
      </c>
    </row>
    <row r="128">
      <c r="A128" t="n">
        <v>127</v>
      </c>
      <c r="B128" t="inlineStr">
        <is>
          <t>45 (1).tif</t>
        </is>
      </c>
      <c r="C128" t="inlineStr">
        <is>
          <t>45(1)-V07</t>
        </is>
      </c>
      <c r="D128" t="n">
        <v>7</v>
      </c>
      <c r="E128" t="inlineStr">
        <is>
          <t>primary</t>
        </is>
      </c>
      <c r="F128" t="n">
        <v>136.507561436673</v>
      </c>
      <c r="G128">
        <f>2*SQRT(F128/PI())</f>
        <v/>
      </c>
      <c r="H128" t="n">
        <v>46.10130768755208</v>
      </c>
      <c r="I128" t="n">
        <v>566</v>
      </c>
      <c r="J128" t="n">
        <v>252</v>
      </c>
      <c r="K128" t="n">
        <v>133.7774102079395</v>
      </c>
      <c r="L128" t="n">
        <v>139.2377126654064</v>
      </c>
      <c r="M128">
        <f>2*SQRT(K128/PI())</f>
        <v/>
      </c>
      <c r="N128">
        <f>2*SQRT(L128/PI())</f>
        <v/>
      </c>
      <c r="P128" t="inlineStr">
        <is>
          <t>是</t>
        </is>
      </c>
      <c r="Q128" t="inlineStr">
        <is>
          <t>auto_pipeline;review_png_green</t>
        </is>
      </c>
      <c r="R128" t="inlineStr">
        <is>
          <t>样品45</t>
        </is>
      </c>
    </row>
    <row r="129">
      <c r="A129" t="n">
        <v>128</v>
      </c>
      <c r="B129" t="inlineStr">
        <is>
          <t>45 (1).tif</t>
        </is>
      </c>
      <c r="C129" t="inlineStr">
        <is>
          <t>45(1)-V08</t>
        </is>
      </c>
      <c r="D129" t="n">
        <v>8</v>
      </c>
      <c r="E129" t="inlineStr">
        <is>
          <t>primary</t>
        </is>
      </c>
      <c r="F129" t="n">
        <v>120.3213610586011</v>
      </c>
      <c r="G129">
        <f>2*SQRT(F129/PI())</f>
        <v/>
      </c>
      <c r="H129" t="n">
        <v>41.77533056425012</v>
      </c>
      <c r="I129" t="n">
        <v>981</v>
      </c>
      <c r="J129" t="n">
        <v>161</v>
      </c>
      <c r="K129" t="n">
        <v>117.9149338374291</v>
      </c>
      <c r="L129" t="n">
        <v>122.7277882797732</v>
      </c>
      <c r="M129">
        <f>2*SQRT(K129/PI())</f>
        <v/>
      </c>
      <c r="N129">
        <f>2*SQRT(L129/PI())</f>
        <v/>
      </c>
      <c r="O129" t="inlineStr">
        <is>
          <t>45(1)-P02</t>
        </is>
      </c>
      <c r="P129" t="inlineStr">
        <is>
          <t>是</t>
        </is>
      </c>
      <c r="Q129" t="inlineStr">
        <is>
          <t>auto_pipeline;review_png_green</t>
        </is>
      </c>
      <c r="R129" t="inlineStr">
        <is>
          <t>样品45</t>
        </is>
      </c>
    </row>
    <row r="130">
      <c r="A130" t="n">
        <v>129</v>
      </c>
      <c r="B130" t="inlineStr">
        <is>
          <t>45 (2).tif</t>
        </is>
      </c>
      <c r="C130" t="inlineStr">
        <is>
          <t>45(2)-V01</t>
        </is>
      </c>
      <c r="D130" t="n">
        <v>1</v>
      </c>
      <c r="E130" t="inlineStr">
        <is>
          <t>primary</t>
        </is>
      </c>
      <c r="F130" t="n">
        <v>947.18809073724</v>
      </c>
      <c r="G130">
        <f>2*SQRT(F130/PI())</f>
        <v/>
      </c>
      <c r="H130" t="n">
        <v>115.3169416603835</v>
      </c>
      <c r="I130" t="n">
        <v>551</v>
      </c>
      <c r="J130" t="n">
        <v>390</v>
      </c>
      <c r="K130" t="n">
        <v>928.2443289224952</v>
      </c>
      <c r="L130" t="n">
        <v>966.1318525519848</v>
      </c>
      <c r="M130">
        <f>2*SQRT(K130/PI())</f>
        <v/>
      </c>
      <c r="N130">
        <f>2*SQRT(L130/PI())</f>
        <v/>
      </c>
      <c r="P130" t="inlineStr">
        <is>
          <t>是</t>
        </is>
      </c>
      <c r="Q130" t="inlineStr">
        <is>
          <t>auto_pipeline;review_png_green</t>
        </is>
      </c>
      <c r="R130" t="inlineStr">
        <is>
          <t>样品45</t>
        </is>
      </c>
    </row>
    <row r="131">
      <c r="A131" t="n">
        <v>130</v>
      </c>
      <c r="B131" t="inlineStr">
        <is>
          <t>45 (2).tif</t>
        </is>
      </c>
      <c r="C131" t="inlineStr">
        <is>
          <t>45(2)-V02</t>
        </is>
      </c>
      <c r="D131" t="n">
        <v>2</v>
      </c>
      <c r="E131" t="inlineStr">
        <is>
          <t>primary</t>
        </is>
      </c>
      <c r="F131" t="n">
        <v>614.1776937618148</v>
      </c>
      <c r="G131">
        <f>2*SQRT(F131/PI())</f>
        <v/>
      </c>
      <c r="H131" t="n">
        <v>93.32687035850856</v>
      </c>
      <c r="I131" t="n">
        <v>895</v>
      </c>
      <c r="J131" t="n">
        <v>497</v>
      </c>
      <c r="K131" t="n">
        <v>601.8941398865785</v>
      </c>
      <c r="L131" t="n">
        <v>626.4612476370511</v>
      </c>
      <c r="M131">
        <f>2*SQRT(K131/PI())</f>
        <v/>
      </c>
      <c r="N131">
        <f>2*SQRT(L131/PI())</f>
        <v/>
      </c>
      <c r="P131" t="inlineStr">
        <is>
          <t>是</t>
        </is>
      </c>
      <c r="Q131" t="inlineStr">
        <is>
          <t>auto_pipeline;review_png_green</t>
        </is>
      </c>
      <c r="R131" t="inlineStr">
        <is>
          <t>样品45</t>
        </is>
      </c>
    </row>
    <row r="132">
      <c r="A132" t="n">
        <v>131</v>
      </c>
      <c r="B132" t="inlineStr">
        <is>
          <t>45 (2).tif</t>
        </is>
      </c>
      <c r="C132" t="inlineStr">
        <is>
          <t>45(2)-V03</t>
        </is>
      </c>
      <c r="D132" t="n">
        <v>3</v>
      </c>
      <c r="E132" t="inlineStr">
        <is>
          <t>primary</t>
        </is>
      </c>
      <c r="F132" t="n">
        <v>523.3931947069943</v>
      </c>
      <c r="G132">
        <f>2*SQRT(F132/PI())</f>
        <v/>
      </c>
      <c r="H132" t="n">
        <v>86.15935678067414</v>
      </c>
      <c r="I132" t="n">
        <v>391</v>
      </c>
      <c r="J132" t="n">
        <v>340</v>
      </c>
      <c r="K132" t="n">
        <v>512.9253308128544</v>
      </c>
      <c r="L132" t="n">
        <v>533.8610586011342</v>
      </c>
      <c r="M132">
        <f>2*SQRT(K132/PI())</f>
        <v/>
      </c>
      <c r="N132">
        <f>2*SQRT(L132/PI())</f>
        <v/>
      </c>
      <c r="O132" t="inlineStr">
        <is>
          <t>45(2)-P01</t>
        </is>
      </c>
      <c r="P132" t="inlineStr">
        <is>
          <t>是</t>
        </is>
      </c>
      <c r="Q132" t="inlineStr">
        <is>
          <t>auto_pipeline;review_png_green</t>
        </is>
      </c>
      <c r="R132" t="inlineStr">
        <is>
          <t>样品45</t>
        </is>
      </c>
    </row>
    <row r="133">
      <c r="A133" t="n">
        <v>132</v>
      </c>
      <c r="B133" t="inlineStr">
        <is>
          <t>45 (2).tif</t>
        </is>
      </c>
      <c r="C133" t="inlineStr">
        <is>
          <t>45(2)-V04</t>
        </is>
      </c>
      <c r="D133" t="n">
        <v>4</v>
      </c>
      <c r="E133" t="inlineStr">
        <is>
          <t>primary</t>
        </is>
      </c>
      <c r="F133" t="n">
        <v>489.390359168242</v>
      </c>
      <c r="G133">
        <f>2*SQRT(F133/PI())</f>
        <v/>
      </c>
      <c r="H133" t="n">
        <v>83.06313056012858</v>
      </c>
      <c r="I133" t="n">
        <v>175</v>
      </c>
      <c r="J133" t="n">
        <v>579</v>
      </c>
      <c r="K133" t="n">
        <v>479.6025519848771</v>
      </c>
      <c r="L133" t="n">
        <v>499.1781663516068</v>
      </c>
      <c r="M133">
        <f>2*SQRT(K133/PI())</f>
        <v/>
      </c>
      <c r="N133">
        <f>2*SQRT(L133/PI())</f>
        <v/>
      </c>
      <c r="P133" t="inlineStr">
        <is>
          <t>是</t>
        </is>
      </c>
      <c r="Q133" t="inlineStr">
        <is>
          <t>auto_pipeline;review_png_green</t>
        </is>
      </c>
      <c r="R133" t="inlineStr">
        <is>
          <t>样品45</t>
        </is>
      </c>
    </row>
    <row r="134">
      <c r="A134" t="n">
        <v>133</v>
      </c>
      <c r="B134" t="inlineStr">
        <is>
          <t>45 (2).tif</t>
        </is>
      </c>
      <c r="C134" t="inlineStr">
        <is>
          <t>45(2)-V05</t>
        </is>
      </c>
      <c r="D134" t="n">
        <v>5</v>
      </c>
      <c r="E134" t="inlineStr">
        <is>
          <t>primary</t>
        </is>
      </c>
      <c r="F134" t="n">
        <v>192.5330812854442</v>
      </c>
      <c r="G134">
        <f>2*SQRT(F134/PI())</f>
        <v/>
      </c>
      <c r="H134" t="n">
        <v>52.16641524563665</v>
      </c>
      <c r="I134" t="n">
        <v>64</v>
      </c>
      <c r="J134" t="n">
        <v>522</v>
      </c>
      <c r="K134" t="n">
        <v>188.6824196597354</v>
      </c>
      <c r="L134" t="n">
        <v>196.3837429111531</v>
      </c>
      <c r="M134">
        <f>2*SQRT(K134/PI())</f>
        <v/>
      </c>
      <c r="N134">
        <f>2*SQRT(L134/PI())</f>
        <v/>
      </c>
      <c r="P134" t="inlineStr">
        <is>
          <t>是</t>
        </is>
      </c>
      <c r="Q134" t="inlineStr">
        <is>
          <t>auto_pipeline;review_png_green</t>
        </is>
      </c>
      <c r="R134" t="inlineStr">
        <is>
          <t>样品45</t>
        </is>
      </c>
    </row>
    <row r="135">
      <c r="A135" t="n">
        <v>134</v>
      </c>
      <c r="B135" t="inlineStr">
        <is>
          <t>45 (2).tif</t>
        </is>
      </c>
      <c r="C135" t="inlineStr">
        <is>
          <t>45(2)-V06</t>
        </is>
      </c>
      <c r="D135" t="n">
        <v>6</v>
      </c>
      <c r="E135" t="inlineStr">
        <is>
          <t>primary</t>
        </is>
      </c>
      <c r="F135" t="n">
        <v>143.4073724007561</v>
      </c>
      <c r="G135">
        <f>2*SQRT(F135/PI())</f>
        <v/>
      </c>
      <c r="H135" t="n">
        <v>47.22556267095649</v>
      </c>
      <c r="I135" t="n">
        <v>165</v>
      </c>
      <c r="J135" t="n">
        <v>427</v>
      </c>
      <c r="K135" t="n">
        <v>140.539224952741</v>
      </c>
      <c r="L135" t="n">
        <v>146.2755198487713</v>
      </c>
      <c r="M135">
        <f>2*SQRT(K135/PI())</f>
        <v/>
      </c>
      <c r="N135">
        <f>2*SQRT(L135/PI())</f>
        <v/>
      </c>
      <c r="P135" t="inlineStr">
        <is>
          <t>是</t>
        </is>
      </c>
      <c r="Q135" t="inlineStr">
        <is>
          <t>auto_pipeline;review_png_green</t>
        </is>
      </c>
      <c r="R135" t="inlineStr">
        <is>
          <t>样品45</t>
        </is>
      </c>
    </row>
    <row r="136">
      <c r="A136" t="n">
        <v>135</v>
      </c>
      <c r="B136" t="inlineStr">
        <is>
          <t>45 (2).tif</t>
        </is>
      </c>
      <c r="C136" t="inlineStr">
        <is>
          <t>45(2)-V07</t>
        </is>
      </c>
      <c r="D136" t="n">
        <v>7</v>
      </c>
      <c r="E136" t="inlineStr">
        <is>
          <t>primary</t>
        </is>
      </c>
      <c r="F136" t="n">
        <v>67.01323251417769</v>
      </c>
      <c r="G136">
        <f>2*SQRT(F136/PI())</f>
        <v/>
      </c>
      <c r="H136" t="n">
        <v>34.45862313975459</v>
      </c>
      <c r="I136" t="n">
        <v>421</v>
      </c>
      <c r="J136" t="n">
        <v>372</v>
      </c>
      <c r="K136" t="n">
        <v>65.67296786389413</v>
      </c>
      <c r="L136" t="n">
        <v>68.35349716446125</v>
      </c>
      <c r="M136">
        <f>2*SQRT(K136/PI())</f>
        <v/>
      </c>
      <c r="N136">
        <f>2*SQRT(L136/PI())</f>
        <v/>
      </c>
      <c r="O136" t="inlineStr">
        <is>
          <t>45(2)-P01</t>
        </is>
      </c>
      <c r="P136" t="inlineStr">
        <is>
          <t>是</t>
        </is>
      </c>
      <c r="Q136" t="inlineStr">
        <is>
          <t>auto_pipeline;review_png_green</t>
        </is>
      </c>
      <c r="R136" t="inlineStr">
        <is>
          <t>样品45</t>
        </is>
      </c>
    </row>
    <row r="137">
      <c r="A137" t="n">
        <v>136</v>
      </c>
      <c r="B137" t="inlineStr">
        <is>
          <t>45 (3).tif</t>
        </is>
      </c>
      <c r="C137" t="inlineStr">
        <is>
          <t>45(3)-V01</t>
        </is>
      </c>
      <c r="D137" t="n">
        <v>1</v>
      </c>
      <c r="E137" t="inlineStr">
        <is>
          <t>primary</t>
        </is>
      </c>
      <c r="F137" t="n">
        <v>480.9782608695652</v>
      </c>
      <c r="G137">
        <f>2*SQRT(F137/PI())</f>
        <v/>
      </c>
      <c r="H137" t="n">
        <v>82.44825510875039</v>
      </c>
      <c r="I137" t="n">
        <v>612</v>
      </c>
      <c r="J137" t="n">
        <v>400</v>
      </c>
      <c r="K137" t="n">
        <v>471.3586956521739</v>
      </c>
      <c r="L137" t="n">
        <v>490.5978260869566</v>
      </c>
      <c r="M137">
        <f>2*SQRT(K137/PI())</f>
        <v/>
      </c>
      <c r="N137">
        <f>2*SQRT(L137/PI())</f>
        <v/>
      </c>
      <c r="P137" t="inlineStr">
        <is>
          <t>是</t>
        </is>
      </c>
      <c r="Q137" t="inlineStr">
        <is>
          <t>auto_pipeline;review_png_green</t>
        </is>
      </c>
      <c r="R137" t="inlineStr">
        <is>
          <t>样品45</t>
        </is>
      </c>
    </row>
    <row r="138">
      <c r="A138" t="n">
        <v>137</v>
      </c>
      <c r="B138" t="inlineStr">
        <is>
          <t>45 (3).tif</t>
        </is>
      </c>
      <c r="C138" t="inlineStr">
        <is>
          <t>45(3)-V02</t>
        </is>
      </c>
      <c r="D138" t="n">
        <v>2</v>
      </c>
      <c r="E138" t="inlineStr">
        <is>
          <t>primary</t>
        </is>
      </c>
      <c r="F138" t="n">
        <v>465.0283553875236</v>
      </c>
      <c r="G138">
        <f>2*SQRT(F138/PI())</f>
        <v/>
      </c>
      <c r="H138" t="n">
        <v>82.06622045973073</v>
      </c>
      <c r="I138" t="n">
        <v>900</v>
      </c>
      <c r="J138" t="n">
        <v>147</v>
      </c>
      <c r="K138" t="n">
        <v>455.7277882797732</v>
      </c>
      <c r="L138" t="n">
        <v>474.3289224952741</v>
      </c>
      <c r="M138">
        <f>2*SQRT(K138/PI())</f>
        <v/>
      </c>
      <c r="N138">
        <f>2*SQRT(L138/PI())</f>
        <v/>
      </c>
      <c r="P138" t="inlineStr">
        <is>
          <t>是</t>
        </is>
      </c>
      <c r="Q138" t="inlineStr">
        <is>
          <t>auto_pipeline;review_png_green</t>
        </is>
      </c>
      <c r="R138" t="inlineStr">
        <is>
          <t>样品45</t>
        </is>
      </c>
    </row>
    <row r="139">
      <c r="A139" t="n">
        <v>138</v>
      </c>
      <c r="B139" t="inlineStr">
        <is>
          <t>45 (3).tif</t>
        </is>
      </c>
      <c r="C139" t="inlineStr">
        <is>
          <t>45(3)-V03</t>
        </is>
      </c>
      <c r="D139" t="n">
        <v>3</v>
      </c>
      <c r="E139" t="inlineStr">
        <is>
          <t>primary</t>
        </is>
      </c>
      <c r="F139" t="n">
        <v>441.9896030245746</v>
      </c>
      <c r="G139">
        <f>2*SQRT(F139/PI())</f>
        <v/>
      </c>
      <c r="H139" t="n">
        <v>80.09424922258957</v>
      </c>
      <c r="I139" t="n">
        <v>467</v>
      </c>
      <c r="J139" t="n">
        <v>379</v>
      </c>
      <c r="K139" t="n">
        <v>433.1498109640831</v>
      </c>
      <c r="L139" t="n">
        <v>450.8293950850662</v>
      </c>
      <c r="M139">
        <f>2*SQRT(K139/PI())</f>
        <v/>
      </c>
      <c r="N139">
        <f>2*SQRT(L139/PI())</f>
        <v/>
      </c>
      <c r="P139" t="inlineStr">
        <is>
          <t>是</t>
        </is>
      </c>
      <c r="Q139" t="inlineStr">
        <is>
          <t>auto_pipeline;review_png_green</t>
        </is>
      </c>
      <c r="R139" t="inlineStr">
        <is>
          <t>样品45</t>
        </is>
      </c>
    </row>
    <row r="140">
      <c r="A140" t="n">
        <v>139</v>
      </c>
      <c r="B140" t="inlineStr">
        <is>
          <t>45 (3).tif</t>
        </is>
      </c>
      <c r="C140" t="inlineStr">
        <is>
          <t>45(3)-V04</t>
        </is>
      </c>
      <c r="D140" t="n">
        <v>4</v>
      </c>
      <c r="E140" t="inlineStr">
        <is>
          <t>primary</t>
        </is>
      </c>
      <c r="F140" t="n">
        <v>296.3137996219282</v>
      </c>
      <c r="G140">
        <f>2*SQRT(F140/PI())</f>
        <v/>
      </c>
      <c r="H140" t="n">
        <v>67.11631785268369</v>
      </c>
      <c r="I140" t="n">
        <v>120</v>
      </c>
      <c r="J140" t="n">
        <v>556</v>
      </c>
      <c r="K140" t="n">
        <v>290.3875236294896</v>
      </c>
      <c r="L140" t="n">
        <v>302.2400756143667</v>
      </c>
      <c r="M140">
        <f>2*SQRT(K140/PI())</f>
        <v/>
      </c>
      <c r="N140">
        <f>2*SQRT(L140/PI())</f>
        <v/>
      </c>
      <c r="P140" t="inlineStr">
        <is>
          <t>是</t>
        </is>
      </c>
      <c r="Q140" t="inlineStr">
        <is>
          <t>auto_pipeline;review_png_green</t>
        </is>
      </c>
      <c r="R140" t="inlineStr">
        <is>
          <t>样品45</t>
        </is>
      </c>
    </row>
    <row r="141">
      <c r="A141" t="n">
        <v>140</v>
      </c>
      <c r="B141" t="inlineStr">
        <is>
          <t>45 (4).tif</t>
        </is>
      </c>
      <c r="C141" t="inlineStr">
        <is>
          <t>45(4)-V01</t>
        </is>
      </c>
      <c r="D141" t="n">
        <v>1</v>
      </c>
      <c r="E141" t="inlineStr">
        <is>
          <t>primary</t>
        </is>
      </c>
      <c r="F141" t="n">
        <v>595.9829867674858</v>
      </c>
      <c r="G141">
        <f>2*SQRT(F141/PI())</f>
        <v/>
      </c>
      <c r="H141" t="n">
        <v>92.81749082648236</v>
      </c>
      <c r="I141" t="n">
        <v>254</v>
      </c>
      <c r="J141" t="n">
        <v>234</v>
      </c>
      <c r="K141" t="n">
        <v>584.0633270321362</v>
      </c>
      <c r="L141" t="n">
        <v>607.9026465028355</v>
      </c>
      <c r="M141">
        <f>2*SQRT(K141/PI())</f>
        <v/>
      </c>
      <c r="N141">
        <f>2*SQRT(L141/PI())</f>
        <v/>
      </c>
      <c r="P141" t="inlineStr">
        <is>
          <t>是</t>
        </is>
      </c>
      <c r="Q141" t="inlineStr">
        <is>
          <t>auto_pipeline;review_png_green</t>
        </is>
      </c>
      <c r="R141" t="inlineStr">
        <is>
          <t>样品45</t>
        </is>
      </c>
    </row>
    <row r="142">
      <c r="A142" t="n">
        <v>141</v>
      </c>
      <c r="B142" t="inlineStr">
        <is>
          <t>45 (4).tif</t>
        </is>
      </c>
      <c r="C142" t="inlineStr">
        <is>
          <t>45(4)-V02</t>
        </is>
      </c>
      <c r="D142" t="n">
        <v>2</v>
      </c>
      <c r="E142" t="inlineStr">
        <is>
          <t>primary</t>
        </is>
      </c>
      <c r="F142" t="n">
        <v>522.5425330812855</v>
      </c>
      <c r="G142">
        <f>2*SQRT(F142/PI())</f>
        <v/>
      </c>
      <c r="H142" t="n">
        <v>87.02892199806544</v>
      </c>
      <c r="I142" t="n">
        <v>475</v>
      </c>
      <c r="J142" t="n">
        <v>389</v>
      </c>
      <c r="K142" t="n">
        <v>512.0916824196597</v>
      </c>
      <c r="L142" t="n">
        <v>532.9933837429112</v>
      </c>
      <c r="M142">
        <f>2*SQRT(K142/PI())</f>
        <v/>
      </c>
      <c r="N142">
        <f>2*SQRT(L142/PI())</f>
        <v/>
      </c>
      <c r="O142" t="inlineStr">
        <is>
          <t>45(4)-P01</t>
        </is>
      </c>
      <c r="P142" t="inlineStr">
        <is>
          <t>是</t>
        </is>
      </c>
      <c r="Q142" t="inlineStr">
        <is>
          <t>auto_pipeline;review_png_green</t>
        </is>
      </c>
      <c r="R142" t="inlineStr">
        <is>
          <t>样品45</t>
        </is>
      </c>
    </row>
    <row r="143">
      <c r="A143" t="n">
        <v>142</v>
      </c>
      <c r="B143" t="inlineStr">
        <is>
          <t>45 (4).tif</t>
        </is>
      </c>
      <c r="C143" t="inlineStr">
        <is>
          <t>45(4)-V03</t>
        </is>
      </c>
      <c r="D143" t="n">
        <v>3</v>
      </c>
      <c r="E143" t="inlineStr">
        <is>
          <t>primary</t>
        </is>
      </c>
      <c r="F143" t="n">
        <v>400.8979206049149</v>
      </c>
      <c r="G143">
        <f>2*SQRT(F143/PI())</f>
        <v/>
      </c>
      <c r="H143" t="n">
        <v>76.27765163131382</v>
      </c>
      <c r="I143" t="n">
        <v>225</v>
      </c>
      <c r="J143" t="n">
        <v>402</v>
      </c>
      <c r="K143" t="n">
        <v>392.8799621928166</v>
      </c>
      <c r="L143" t="n">
        <v>408.9158790170133</v>
      </c>
      <c r="M143">
        <f>2*SQRT(K143/PI())</f>
        <v/>
      </c>
      <c r="N143">
        <f>2*SQRT(L143/PI())</f>
        <v/>
      </c>
      <c r="P143" t="inlineStr">
        <is>
          <t>是</t>
        </is>
      </c>
      <c r="Q143" t="inlineStr">
        <is>
          <t>auto_pipeline;review_png_green</t>
        </is>
      </c>
      <c r="R143" t="inlineStr">
        <is>
          <t>样品45</t>
        </is>
      </c>
    </row>
    <row r="144">
      <c r="A144" t="n">
        <v>143</v>
      </c>
      <c r="B144" t="inlineStr">
        <is>
          <t>45 (4).tif</t>
        </is>
      </c>
      <c r="C144" t="inlineStr">
        <is>
          <t>45(4)-V04</t>
        </is>
      </c>
      <c r="D144" t="n">
        <v>4</v>
      </c>
      <c r="E144" t="inlineStr">
        <is>
          <t>primary</t>
        </is>
      </c>
      <c r="F144" t="n">
        <v>357.2778827977316</v>
      </c>
      <c r="G144">
        <f>2*SQRT(F144/PI())</f>
        <v/>
      </c>
      <c r="H144" t="n">
        <v>71.5696398589922</v>
      </c>
      <c r="I144" t="n">
        <v>626</v>
      </c>
      <c r="J144" t="n">
        <v>390</v>
      </c>
      <c r="K144" t="n">
        <v>350.132325141777</v>
      </c>
      <c r="L144" t="n">
        <v>364.4234404536862</v>
      </c>
      <c r="M144">
        <f>2*SQRT(K144/PI())</f>
        <v/>
      </c>
      <c r="N144">
        <f>2*SQRT(L144/PI())</f>
        <v/>
      </c>
      <c r="P144" t="inlineStr">
        <is>
          <t>是</t>
        </is>
      </c>
      <c r="Q144" t="inlineStr">
        <is>
          <t>auto_pipeline;review_png_green</t>
        </is>
      </c>
      <c r="R144" t="inlineStr">
        <is>
          <t>样品45</t>
        </is>
      </c>
    </row>
    <row r="145">
      <c r="A145" t="n">
        <v>144</v>
      </c>
      <c r="B145" t="inlineStr">
        <is>
          <t>45 (4).tif</t>
        </is>
      </c>
      <c r="C145" t="inlineStr">
        <is>
          <t>45(4)-V05</t>
        </is>
      </c>
      <c r="D145" t="n">
        <v>5</v>
      </c>
      <c r="E145" t="inlineStr">
        <is>
          <t>primary</t>
        </is>
      </c>
      <c r="F145" t="n">
        <v>278.3553875236295</v>
      </c>
      <c r="G145">
        <f>2*SQRT(F145/PI())</f>
        <v/>
      </c>
      <c r="H145" t="n">
        <v>64.04194059579268</v>
      </c>
      <c r="I145" t="n">
        <v>106</v>
      </c>
      <c r="J145" t="n">
        <v>486</v>
      </c>
      <c r="K145" t="n">
        <v>272.7882797731569</v>
      </c>
      <c r="L145" t="n">
        <v>283.9224952741021</v>
      </c>
      <c r="M145">
        <f>2*SQRT(K145/PI())</f>
        <v/>
      </c>
      <c r="N145">
        <f>2*SQRT(L145/PI())</f>
        <v/>
      </c>
      <c r="P145" t="inlineStr">
        <is>
          <t>是</t>
        </is>
      </c>
      <c r="Q145" t="inlineStr">
        <is>
          <t>auto_pipeline;review_png_green</t>
        </is>
      </c>
      <c r="R145" t="inlineStr">
        <is>
          <t>样品45</t>
        </is>
      </c>
    </row>
    <row r="146">
      <c r="A146" t="n">
        <v>145</v>
      </c>
      <c r="B146" t="inlineStr">
        <is>
          <t>45 (4).tif</t>
        </is>
      </c>
      <c r="C146" t="inlineStr">
        <is>
          <t>45(4)-V06</t>
        </is>
      </c>
      <c r="D146" t="n">
        <v>6</v>
      </c>
      <c r="E146" t="inlineStr">
        <is>
          <t>primary</t>
        </is>
      </c>
      <c r="F146" t="n">
        <v>148.5822306238185</v>
      </c>
      <c r="G146">
        <f>2*SQRT(F146/PI())</f>
        <v/>
      </c>
      <c r="H146" t="n">
        <v>46.33414848991062</v>
      </c>
      <c r="I146" t="n">
        <v>547</v>
      </c>
      <c r="J146" t="n">
        <v>444</v>
      </c>
      <c r="K146" t="n">
        <v>145.6105860113421</v>
      </c>
      <c r="L146" t="n">
        <v>151.5538752362949</v>
      </c>
      <c r="M146">
        <f>2*SQRT(K146/PI())</f>
        <v/>
      </c>
      <c r="N146">
        <f>2*SQRT(L146/PI())</f>
        <v/>
      </c>
      <c r="O146" t="inlineStr">
        <is>
          <t>45(4)-P01</t>
        </is>
      </c>
      <c r="P146" t="inlineStr">
        <is>
          <t>是</t>
        </is>
      </c>
      <c r="Q146" t="inlineStr">
        <is>
          <t>auto_pipeline;review_png_green</t>
        </is>
      </c>
      <c r="R146" t="inlineStr">
        <is>
          <t>样品45</t>
        </is>
      </c>
    </row>
    <row r="147">
      <c r="A147" t="n">
        <v>146</v>
      </c>
      <c r="B147" t="inlineStr">
        <is>
          <t>45 (4).tif</t>
        </is>
      </c>
      <c r="C147" t="inlineStr">
        <is>
          <t>45(4)-V07</t>
        </is>
      </c>
      <c r="D147" t="n">
        <v>7</v>
      </c>
      <c r="E147" t="inlineStr">
        <is>
          <t>primary</t>
        </is>
      </c>
      <c r="F147" t="n">
        <v>137.4291115311909</v>
      </c>
      <c r="G147">
        <f>2*SQRT(F147/PI())</f>
        <v/>
      </c>
      <c r="H147" t="n">
        <v>48.68815437607143</v>
      </c>
      <c r="I147" t="n">
        <v>902</v>
      </c>
      <c r="J147" t="n">
        <v>388</v>
      </c>
      <c r="K147" t="n">
        <v>134.6805293005671</v>
      </c>
      <c r="L147" t="n">
        <v>140.1776937618147</v>
      </c>
      <c r="M147">
        <f>2*SQRT(K147/PI())</f>
        <v/>
      </c>
      <c r="N147">
        <f>2*SQRT(L147/PI())</f>
        <v/>
      </c>
      <c r="P147" t="inlineStr">
        <is>
          <t>是</t>
        </is>
      </c>
      <c r="Q147" t="inlineStr">
        <is>
          <t>auto_pipeline;review_png_green</t>
        </is>
      </c>
      <c r="R147" t="inlineStr">
        <is>
          <t>样品45</t>
        </is>
      </c>
    </row>
    <row r="148">
      <c r="A148" t="n">
        <v>147</v>
      </c>
      <c r="B148" t="inlineStr">
        <is>
          <t>45 (4).tif</t>
        </is>
      </c>
      <c r="C148" t="inlineStr">
        <is>
          <t>45(4)-V08</t>
        </is>
      </c>
      <c r="D148" t="n">
        <v>8</v>
      </c>
      <c r="E148" t="inlineStr">
        <is>
          <t>primary</t>
        </is>
      </c>
      <c r="F148" t="n">
        <v>116.5406427221172</v>
      </c>
      <c r="G148">
        <f>2*SQRT(F148/PI())</f>
        <v/>
      </c>
      <c r="H148" t="n">
        <v>48.22247277135434</v>
      </c>
      <c r="I148" t="n">
        <v>105</v>
      </c>
      <c r="J148" t="n">
        <v>417</v>
      </c>
      <c r="K148" t="n">
        <v>114.2098298676749</v>
      </c>
      <c r="L148" t="n">
        <v>118.8714555765595</v>
      </c>
      <c r="M148">
        <f>2*SQRT(K148/PI())</f>
        <v/>
      </c>
      <c r="N148">
        <f>2*SQRT(L148/PI())</f>
        <v/>
      </c>
      <c r="P148" t="inlineStr">
        <is>
          <t>是</t>
        </is>
      </c>
      <c r="Q148" t="inlineStr">
        <is>
          <t>auto_pipeline;review_png_green</t>
        </is>
      </c>
      <c r="R148" t="inlineStr">
        <is>
          <t>样品45</t>
        </is>
      </c>
    </row>
    <row r="149">
      <c r="A149" t="n">
        <v>148</v>
      </c>
      <c r="B149" t="inlineStr">
        <is>
          <t>45 (5).tif</t>
        </is>
      </c>
      <c r="C149" t="inlineStr">
        <is>
          <t>45(5)-V01</t>
        </is>
      </c>
      <c r="D149" t="n">
        <v>1</v>
      </c>
      <c r="E149" t="inlineStr">
        <is>
          <t>primary</t>
        </is>
      </c>
      <c r="F149" t="n">
        <v>845.9357277882798</v>
      </c>
      <c r="G149">
        <f>2*SQRT(F149/PI())</f>
        <v/>
      </c>
      <c r="H149" t="n">
        <v>111.1401583837426</v>
      </c>
      <c r="I149" t="n">
        <v>560</v>
      </c>
      <c r="J149" t="n">
        <v>432</v>
      </c>
      <c r="K149" t="n">
        <v>829.0170132325142</v>
      </c>
      <c r="L149" t="n">
        <v>862.8544423440454</v>
      </c>
      <c r="M149">
        <f>2*SQRT(K149/PI())</f>
        <v/>
      </c>
      <c r="N149">
        <f>2*SQRT(L149/PI())</f>
        <v/>
      </c>
      <c r="O149" t="inlineStr">
        <is>
          <t>45(5)-P01</t>
        </is>
      </c>
      <c r="P149" t="inlineStr">
        <is>
          <t>是</t>
        </is>
      </c>
      <c r="Q149" t="inlineStr">
        <is>
          <t>auto_pipeline;review_png_green</t>
        </is>
      </c>
      <c r="R149" t="inlineStr">
        <is>
          <t>样品45</t>
        </is>
      </c>
    </row>
    <row r="150">
      <c r="A150" t="n">
        <v>149</v>
      </c>
      <c r="B150" t="inlineStr">
        <is>
          <t>45 (5).tif</t>
        </is>
      </c>
      <c r="C150" t="inlineStr">
        <is>
          <t>45(5)-V02</t>
        </is>
      </c>
      <c r="D150" t="n">
        <v>2</v>
      </c>
      <c r="E150" t="inlineStr">
        <is>
          <t>primary</t>
        </is>
      </c>
      <c r="F150" t="n">
        <v>695.0378071833649</v>
      </c>
      <c r="G150">
        <f>2*SQRT(F150/PI())</f>
        <v/>
      </c>
      <c r="H150" t="n">
        <v>99.00994326757348</v>
      </c>
      <c r="I150" t="n">
        <v>594</v>
      </c>
      <c r="J150" t="n">
        <v>388</v>
      </c>
      <c r="K150" t="n">
        <v>681.1370510396976</v>
      </c>
      <c r="L150" t="n">
        <v>708.9385633270322</v>
      </c>
      <c r="M150">
        <f>2*SQRT(K150/PI())</f>
        <v/>
      </c>
      <c r="N150">
        <f>2*SQRT(L150/PI())</f>
        <v/>
      </c>
      <c r="O150" t="inlineStr">
        <is>
          <t>45(5)-P01</t>
        </is>
      </c>
      <c r="P150" t="inlineStr">
        <is>
          <t>是</t>
        </is>
      </c>
      <c r="Q150" t="inlineStr">
        <is>
          <t>auto_pipeline;review_png_green</t>
        </is>
      </c>
      <c r="R150" t="inlineStr">
        <is>
          <t>样品45</t>
        </is>
      </c>
    </row>
    <row r="151">
      <c r="A151" t="n">
        <v>150</v>
      </c>
      <c r="B151" t="inlineStr">
        <is>
          <t>45 (5).tif</t>
        </is>
      </c>
      <c r="C151" t="inlineStr">
        <is>
          <t>45(5)-V03</t>
        </is>
      </c>
      <c r="D151" t="n">
        <v>3</v>
      </c>
      <c r="E151" t="inlineStr">
        <is>
          <t>primary</t>
        </is>
      </c>
      <c r="F151" t="n">
        <v>604.796786389414</v>
      </c>
      <c r="G151">
        <f>2*SQRT(F151/PI())</f>
        <v/>
      </c>
      <c r="H151" t="n">
        <v>92.3299602581107</v>
      </c>
      <c r="I151" t="n">
        <v>433</v>
      </c>
      <c r="J151" t="n">
        <v>336</v>
      </c>
      <c r="K151" t="n">
        <v>592.7008506616257</v>
      </c>
      <c r="L151" t="n">
        <v>616.8927221172023</v>
      </c>
      <c r="M151">
        <f>2*SQRT(K151/PI())</f>
        <v/>
      </c>
      <c r="N151">
        <f>2*SQRT(L151/PI())</f>
        <v/>
      </c>
      <c r="P151" t="inlineStr">
        <is>
          <t>是</t>
        </is>
      </c>
      <c r="Q151" t="inlineStr">
        <is>
          <t>auto_pipeline;review_png_green</t>
        </is>
      </c>
      <c r="R151" t="inlineStr">
        <is>
          <t>样品45</t>
        </is>
      </c>
    </row>
    <row r="152">
      <c r="A152" t="n">
        <v>151</v>
      </c>
      <c r="B152" t="inlineStr">
        <is>
          <t>45 (5).tif</t>
        </is>
      </c>
      <c r="C152" t="inlineStr">
        <is>
          <t>45(5)-V04</t>
        </is>
      </c>
      <c r="D152" t="n">
        <v>4</v>
      </c>
      <c r="E152" t="inlineStr">
        <is>
          <t>primary</t>
        </is>
      </c>
      <c r="F152" t="n">
        <v>148.9603024574669</v>
      </c>
      <c r="G152">
        <f>2*SQRT(F152/PI())</f>
        <v/>
      </c>
      <c r="H152" t="n">
        <v>48.22247277135434</v>
      </c>
      <c r="I152" t="n">
        <v>978</v>
      </c>
      <c r="J152" t="n">
        <v>495</v>
      </c>
      <c r="K152" t="n">
        <v>145.9810964083176</v>
      </c>
      <c r="L152" t="n">
        <v>151.9395085066163</v>
      </c>
      <c r="M152">
        <f>2*SQRT(K152/PI())</f>
        <v/>
      </c>
      <c r="N152">
        <f>2*SQRT(L152/PI())</f>
        <v/>
      </c>
      <c r="P152" t="inlineStr">
        <is>
          <t>是</t>
        </is>
      </c>
      <c r="Q152" t="inlineStr">
        <is>
          <t>auto_pipeline;review_png_green</t>
        </is>
      </c>
      <c r="R152" t="inlineStr">
        <is>
          <t>样品45</t>
        </is>
      </c>
    </row>
    <row r="153">
      <c r="A153" t="n">
        <v>152</v>
      </c>
      <c r="B153" t="inlineStr">
        <is>
          <t>45 (6).tif</t>
        </is>
      </c>
      <c r="C153" t="inlineStr">
        <is>
          <t>45(6)-V01</t>
        </is>
      </c>
      <c r="D153" t="n">
        <v>1</v>
      </c>
      <c r="E153" t="inlineStr">
        <is>
          <t>primary</t>
        </is>
      </c>
      <c r="F153" t="n">
        <v>488.8705103969754</v>
      </c>
      <c r="G153">
        <f>2*SQRT(F153/PI())</f>
        <v/>
      </c>
      <c r="H153" t="n">
        <v>85.3116405269374</v>
      </c>
      <c r="I153" t="n">
        <v>415</v>
      </c>
      <c r="J153" t="n">
        <v>346</v>
      </c>
      <c r="K153" t="n">
        <v>479.0931001890359</v>
      </c>
      <c r="L153" t="n">
        <v>498.6479206049149</v>
      </c>
      <c r="M153">
        <f>2*SQRT(K153/PI())</f>
        <v/>
      </c>
      <c r="N153">
        <f>2*SQRT(L153/PI())</f>
        <v/>
      </c>
      <c r="O153" t="inlineStr">
        <is>
          <t>45(6)-P01</t>
        </is>
      </c>
      <c r="P153" t="inlineStr">
        <is>
          <t>是</t>
        </is>
      </c>
      <c r="Q153" t="inlineStr">
        <is>
          <t>auto_pipeline;review_png_green</t>
        </is>
      </c>
      <c r="R153" t="inlineStr">
        <is>
          <t>样品45</t>
        </is>
      </c>
    </row>
    <row r="154">
      <c r="A154" t="n">
        <v>153</v>
      </c>
      <c r="B154" t="inlineStr">
        <is>
          <t>45 (6).tif</t>
        </is>
      </c>
      <c r="C154" t="inlineStr">
        <is>
          <t>45(6)-V02</t>
        </is>
      </c>
      <c r="D154" t="n">
        <v>2</v>
      </c>
      <c r="E154" t="inlineStr">
        <is>
          <t>primary</t>
        </is>
      </c>
      <c r="F154" t="n">
        <v>363.6578449905482</v>
      </c>
      <c r="G154">
        <f>2*SQRT(F154/PI())</f>
        <v/>
      </c>
      <c r="H154" t="n">
        <v>76.78703116334003</v>
      </c>
      <c r="I154" t="n">
        <v>574</v>
      </c>
      <c r="J154" t="n">
        <v>366</v>
      </c>
      <c r="K154" t="n">
        <v>356.3846880907373</v>
      </c>
      <c r="L154" t="n">
        <v>370.9310018903591</v>
      </c>
      <c r="M154">
        <f>2*SQRT(K154/PI())</f>
        <v/>
      </c>
      <c r="N154">
        <f>2*SQRT(L154/PI())</f>
        <v/>
      </c>
      <c r="O154" t="inlineStr">
        <is>
          <t>45(6)-P01</t>
        </is>
      </c>
      <c r="P154" t="inlineStr">
        <is>
          <t>是</t>
        </is>
      </c>
      <c r="Q154" t="inlineStr">
        <is>
          <t>auto_pipeline;review_png_green</t>
        </is>
      </c>
      <c r="R154" t="inlineStr">
        <is>
          <t>样品45</t>
        </is>
      </c>
    </row>
    <row r="155">
      <c r="A155" t="n">
        <v>154</v>
      </c>
      <c r="B155" t="inlineStr">
        <is>
          <t>45 (7).tif</t>
        </is>
      </c>
      <c r="C155" t="inlineStr">
        <is>
          <t>45(7)-V01</t>
        </is>
      </c>
      <c r="D155" t="n">
        <v>1</v>
      </c>
      <c r="E155" t="inlineStr">
        <is>
          <t>primary</t>
        </is>
      </c>
      <c r="F155" t="n">
        <v>650.2835538752363</v>
      </c>
      <c r="G155">
        <f>2*SQRT(F155/PI())</f>
        <v/>
      </c>
      <c r="H155" t="n">
        <v>96.29575169604757</v>
      </c>
      <c r="I155" t="n">
        <v>507</v>
      </c>
      <c r="J155" t="n">
        <v>468</v>
      </c>
      <c r="K155" t="n">
        <v>637.2778827977315</v>
      </c>
      <c r="L155" t="n">
        <v>663.2892249527411</v>
      </c>
      <c r="M155">
        <f>2*SQRT(K155/PI())</f>
        <v/>
      </c>
      <c r="N155">
        <f>2*SQRT(L155/PI())</f>
        <v/>
      </c>
      <c r="O155" t="inlineStr">
        <is>
          <t>45(7)-P01</t>
        </is>
      </c>
      <c r="P155" t="inlineStr">
        <is>
          <t>是</t>
        </is>
      </c>
      <c r="Q155" t="inlineStr">
        <is>
          <t>auto_pipeline;review_png_green</t>
        </is>
      </c>
      <c r="R155" t="inlineStr">
        <is>
          <t>样品45</t>
        </is>
      </c>
    </row>
    <row r="156">
      <c r="A156" t="n">
        <v>155</v>
      </c>
      <c r="B156" t="inlineStr">
        <is>
          <t>45 (7).tif</t>
        </is>
      </c>
      <c r="C156" t="inlineStr">
        <is>
          <t>45(7)-V02</t>
        </is>
      </c>
      <c r="D156" t="n">
        <v>2</v>
      </c>
      <c r="E156" t="inlineStr">
        <is>
          <t>primary</t>
        </is>
      </c>
      <c r="F156" t="n">
        <v>306.8289224952741</v>
      </c>
      <c r="G156">
        <f>2*SQRT(F156/PI())</f>
        <v/>
      </c>
      <c r="H156" t="n">
        <v>65.75922206692073</v>
      </c>
      <c r="I156" t="n">
        <v>529</v>
      </c>
      <c r="J156" t="n">
        <v>319</v>
      </c>
      <c r="K156" t="n">
        <v>300.6923440453687</v>
      </c>
      <c r="L156" t="n">
        <v>312.9655009451796</v>
      </c>
      <c r="M156">
        <f>2*SQRT(K156/PI())</f>
        <v/>
      </c>
      <c r="N156">
        <f>2*SQRT(L156/PI())</f>
        <v/>
      </c>
      <c r="O156" t="inlineStr">
        <is>
          <t>45(7)-P01</t>
        </is>
      </c>
      <c r="P156" t="inlineStr">
        <is>
          <t>是</t>
        </is>
      </c>
      <c r="Q156" t="inlineStr">
        <is>
          <t>auto_pipeline;review_png_green</t>
        </is>
      </c>
      <c r="R156" t="inlineStr">
        <is>
          <t>样品45</t>
        </is>
      </c>
    </row>
    <row r="157">
      <c r="A157" t="n">
        <v>156</v>
      </c>
      <c r="B157" t="inlineStr">
        <is>
          <t>45 (8).tif</t>
        </is>
      </c>
      <c r="C157" t="inlineStr">
        <is>
          <t>45(8)-V01</t>
        </is>
      </c>
      <c r="D157" t="n">
        <v>1</v>
      </c>
      <c r="E157" t="inlineStr">
        <is>
          <t>primary</t>
        </is>
      </c>
      <c r="F157" t="n">
        <v>853.2372400756144</v>
      </c>
      <c r="G157">
        <f>2*SQRT(F157/PI())</f>
        <v/>
      </c>
      <c r="H157" t="n">
        <v>109.3791789853055</v>
      </c>
      <c r="I157" t="n">
        <v>427</v>
      </c>
      <c r="J157" t="n">
        <v>459</v>
      </c>
      <c r="K157" t="n">
        <v>836.1724952741021</v>
      </c>
      <c r="L157" t="n">
        <v>870.3019848771268</v>
      </c>
      <c r="M157">
        <f>2*SQRT(K157/PI())</f>
        <v/>
      </c>
      <c r="N157">
        <f>2*SQRT(L157/PI())</f>
        <v/>
      </c>
      <c r="P157" t="inlineStr">
        <is>
          <t>是</t>
        </is>
      </c>
      <c r="Q157" t="inlineStr">
        <is>
          <t>auto_pipeline;review_png_green</t>
        </is>
      </c>
      <c r="R157" t="inlineStr">
        <is>
          <t>样品45</t>
        </is>
      </c>
    </row>
    <row r="158">
      <c r="A158" t="n">
        <v>157</v>
      </c>
      <c r="B158" t="inlineStr">
        <is>
          <t>45 (8).tif</t>
        </is>
      </c>
      <c r="C158" t="inlineStr">
        <is>
          <t>45(8)-V02</t>
        </is>
      </c>
      <c r="D158" t="n">
        <v>2</v>
      </c>
      <c r="E158" t="inlineStr">
        <is>
          <t>primary</t>
        </is>
      </c>
      <c r="F158" t="n">
        <v>793.4310018903592</v>
      </c>
      <c r="G158">
        <f>2*SQRT(F158/PI())</f>
        <v/>
      </c>
      <c r="H158" t="n">
        <v>106.537642530773</v>
      </c>
      <c r="I158" t="n">
        <v>519</v>
      </c>
      <c r="J158" t="n">
        <v>303</v>
      </c>
      <c r="K158" t="n">
        <v>777.562381852552</v>
      </c>
      <c r="L158" t="n">
        <v>809.2996219281664</v>
      </c>
      <c r="M158">
        <f>2*SQRT(K158/PI())</f>
        <v/>
      </c>
      <c r="N158">
        <f>2*SQRT(L158/PI())</f>
        <v/>
      </c>
      <c r="P158" t="inlineStr">
        <is>
          <t>是</t>
        </is>
      </c>
      <c r="Q158" t="inlineStr">
        <is>
          <t>auto_pipeline;review_png_green</t>
        </is>
      </c>
      <c r="R158" t="inlineStr">
        <is>
          <t>样品45</t>
        </is>
      </c>
    </row>
    <row r="159">
      <c r="A159" t="n">
        <v>158</v>
      </c>
      <c r="B159" t="inlineStr">
        <is>
          <t>45 (8).tif</t>
        </is>
      </c>
      <c r="C159" t="inlineStr">
        <is>
          <t>45(8)-V03</t>
        </is>
      </c>
      <c r="D159" t="n">
        <v>3</v>
      </c>
      <c r="E159" t="inlineStr">
        <is>
          <t>primary</t>
        </is>
      </c>
      <c r="F159" t="n">
        <v>297.8024574669187</v>
      </c>
      <c r="G159">
        <f>2*SQRT(F159/PI())</f>
        <v/>
      </c>
      <c r="H159" t="n">
        <v>68.57890955779864</v>
      </c>
      <c r="I159" t="n">
        <v>129</v>
      </c>
      <c r="J159" t="n">
        <v>542</v>
      </c>
      <c r="K159" t="n">
        <v>291.8464083175804</v>
      </c>
      <c r="L159" t="n">
        <v>303.7585066162571</v>
      </c>
      <c r="M159">
        <f>2*SQRT(K159/PI())</f>
        <v/>
      </c>
      <c r="N159">
        <f>2*SQRT(L159/PI())</f>
        <v/>
      </c>
      <c r="P159" t="inlineStr">
        <is>
          <t>是</t>
        </is>
      </c>
      <c r="Q159" t="inlineStr">
        <is>
          <t>auto_pipeline;review_png_green</t>
        </is>
      </c>
      <c r="R159" t="inlineStr">
        <is>
          <t>样品45</t>
        </is>
      </c>
    </row>
    <row r="160">
      <c r="A160" t="n">
        <v>159</v>
      </c>
      <c r="B160" t="inlineStr">
        <is>
          <t>45 (8).tif</t>
        </is>
      </c>
      <c r="C160" t="inlineStr">
        <is>
          <t>45(8)-V04</t>
        </is>
      </c>
      <c r="D160" t="n">
        <v>4</v>
      </c>
      <c r="E160" t="inlineStr">
        <is>
          <t>primary</t>
        </is>
      </c>
      <c r="F160" t="n">
        <v>230.1512287334594</v>
      </c>
      <c r="G160">
        <f>2*SQRT(F160/PI())</f>
        <v/>
      </c>
      <c r="H160" t="n">
        <v>56.97992293731026</v>
      </c>
      <c r="I160" t="n">
        <v>317</v>
      </c>
      <c r="J160" t="n">
        <v>327</v>
      </c>
      <c r="K160" t="n">
        <v>225.5482041587902</v>
      </c>
      <c r="L160" t="n">
        <v>234.7542533081285</v>
      </c>
      <c r="M160">
        <f>2*SQRT(K160/PI())</f>
        <v/>
      </c>
      <c r="N160">
        <f>2*SQRT(L160/PI())</f>
        <v/>
      </c>
      <c r="P160" t="inlineStr">
        <is>
          <t>是</t>
        </is>
      </c>
      <c r="Q160" t="inlineStr">
        <is>
          <t>auto_pipeline;review_png_green</t>
        </is>
      </c>
      <c r="R160" t="inlineStr">
        <is>
          <t>样品45</t>
        </is>
      </c>
    </row>
    <row r="161">
      <c r="A161" t="n">
        <v>160</v>
      </c>
      <c r="B161" t="inlineStr">
        <is>
          <t>46 (1).tif</t>
        </is>
      </c>
      <c r="C161" t="inlineStr">
        <is>
          <t>46(1)-V01</t>
        </is>
      </c>
      <c r="D161" t="n">
        <v>1</v>
      </c>
      <c r="E161" t="inlineStr">
        <is>
          <t>primary</t>
        </is>
      </c>
      <c r="F161" t="n">
        <v>537.476370510397</v>
      </c>
      <c r="G161">
        <f>2*SQRT(F161/PI())</f>
        <v/>
      </c>
      <c r="H161" t="n">
        <v>88.61885858618695</v>
      </c>
      <c r="I161" t="n">
        <v>89</v>
      </c>
      <c r="J161" t="n">
        <v>277</v>
      </c>
      <c r="K161" t="n">
        <v>526.7268431001891</v>
      </c>
      <c r="L161" t="n">
        <v>548.225897920605</v>
      </c>
      <c r="M161">
        <f>2*SQRT(K161/PI())</f>
        <v/>
      </c>
      <c r="N161">
        <f>2*SQRT(L161/PI())</f>
        <v/>
      </c>
      <c r="P161" t="inlineStr">
        <is>
          <t>是</t>
        </is>
      </c>
      <c r="Q161" t="inlineStr">
        <is>
          <t>auto_pipeline;review_png_green</t>
        </is>
      </c>
      <c r="R161" t="inlineStr">
        <is>
          <t>样品46</t>
        </is>
      </c>
    </row>
    <row r="162">
      <c r="A162" t="n">
        <v>161</v>
      </c>
      <c r="B162" t="inlineStr">
        <is>
          <t>46 (1).tif</t>
        </is>
      </c>
      <c r="C162" t="inlineStr">
        <is>
          <t>46(1)-V02</t>
        </is>
      </c>
      <c r="D162" t="n">
        <v>2</v>
      </c>
      <c r="E162" t="inlineStr">
        <is>
          <t>primary</t>
        </is>
      </c>
      <c r="F162" t="n">
        <v>527.5047258979206</v>
      </c>
      <c r="G162">
        <f>2*SQRT(F162/PI())</f>
        <v/>
      </c>
      <c r="H162" t="n">
        <v>86.77423223205234</v>
      </c>
      <c r="I162" t="n">
        <v>602</v>
      </c>
      <c r="J162" t="n">
        <v>415</v>
      </c>
      <c r="K162" t="n">
        <v>516.9546313799622</v>
      </c>
      <c r="L162" t="n">
        <v>538.054820415879</v>
      </c>
      <c r="M162">
        <f>2*SQRT(K162/PI())</f>
        <v/>
      </c>
      <c r="N162">
        <f>2*SQRT(L162/PI())</f>
        <v/>
      </c>
      <c r="O162" t="inlineStr">
        <is>
          <t>46(1)-P01</t>
        </is>
      </c>
      <c r="P162" t="inlineStr">
        <is>
          <t>是</t>
        </is>
      </c>
      <c r="Q162" t="inlineStr">
        <is>
          <t>auto_pipeline;review_png_green</t>
        </is>
      </c>
      <c r="R162" t="inlineStr">
        <is>
          <t>样品46</t>
        </is>
      </c>
    </row>
    <row r="163">
      <c r="A163" t="n">
        <v>162</v>
      </c>
      <c r="B163" t="inlineStr">
        <is>
          <t>46 (1).tif</t>
        </is>
      </c>
      <c r="C163" t="inlineStr">
        <is>
          <t>46(1)-V03</t>
        </is>
      </c>
      <c r="D163" t="n">
        <v>3</v>
      </c>
      <c r="E163" t="inlineStr">
        <is>
          <t>primary</t>
        </is>
      </c>
      <c r="F163" t="n">
        <v>411.507561436673</v>
      </c>
      <c r="G163">
        <f>2*SQRT(F163/PI())</f>
        <v/>
      </c>
      <c r="H163" t="n">
        <v>76.76518219968547</v>
      </c>
      <c r="I163" t="n">
        <v>463</v>
      </c>
      <c r="J163" t="n">
        <v>370</v>
      </c>
      <c r="K163" t="n">
        <v>403.2774102079395</v>
      </c>
      <c r="L163" t="n">
        <v>419.7377126654064</v>
      </c>
      <c r="M163">
        <f>2*SQRT(K163/PI())</f>
        <v/>
      </c>
      <c r="N163">
        <f>2*SQRT(L163/PI())</f>
        <v/>
      </c>
      <c r="O163" t="inlineStr">
        <is>
          <t>46(1)-P01</t>
        </is>
      </c>
      <c r="P163" t="inlineStr">
        <is>
          <t>是</t>
        </is>
      </c>
      <c r="Q163" t="inlineStr">
        <is>
          <t>auto_pipeline;review_png_green</t>
        </is>
      </c>
      <c r="R163" t="inlineStr">
        <is>
          <t>样品46</t>
        </is>
      </c>
    </row>
    <row r="164">
      <c r="A164" t="n">
        <v>163</v>
      </c>
      <c r="B164" t="inlineStr">
        <is>
          <t>46 (1).tif</t>
        </is>
      </c>
      <c r="C164" t="inlineStr">
        <is>
          <t>46(1)-V04</t>
        </is>
      </c>
      <c r="D164" t="n">
        <v>4</v>
      </c>
      <c r="E164" t="inlineStr">
        <is>
          <t>primary</t>
        </is>
      </c>
      <c r="F164" t="n">
        <v>307.1361058601134</v>
      </c>
      <c r="G164">
        <f>2*SQRT(F164/PI())</f>
        <v/>
      </c>
      <c r="H164" t="n">
        <v>65.63187718391418</v>
      </c>
      <c r="I164" t="n">
        <v>813</v>
      </c>
      <c r="J164" t="n">
        <v>450</v>
      </c>
      <c r="K164" t="n">
        <v>300.9933837429112</v>
      </c>
      <c r="L164" t="n">
        <v>313.2788279773157</v>
      </c>
      <c r="M164">
        <f>2*SQRT(K164/PI())</f>
        <v/>
      </c>
      <c r="N164">
        <f>2*SQRT(L164/PI())</f>
        <v/>
      </c>
      <c r="P164" t="inlineStr">
        <is>
          <t>是</t>
        </is>
      </c>
      <c r="Q164" t="inlineStr">
        <is>
          <t>auto_pipeline;review_png_green</t>
        </is>
      </c>
      <c r="R164" t="inlineStr">
        <is>
          <t>样品46</t>
        </is>
      </c>
    </row>
    <row r="165">
      <c r="A165" t="n">
        <v>164</v>
      </c>
      <c r="B165" t="inlineStr">
        <is>
          <t>46 (1).tif</t>
        </is>
      </c>
      <c r="C165" t="inlineStr">
        <is>
          <t>46(1)-V05</t>
        </is>
      </c>
      <c r="D165" t="n">
        <v>5</v>
      </c>
      <c r="E165" t="inlineStr">
        <is>
          <t>primary</t>
        </is>
      </c>
      <c r="F165" t="n">
        <v>262.0510396975425</v>
      </c>
      <c r="G165">
        <f>2*SQRT(F165/PI())</f>
        <v/>
      </c>
      <c r="H165" t="n">
        <v>61.43324494361877</v>
      </c>
      <c r="I165" t="n">
        <v>923</v>
      </c>
      <c r="J165" t="n">
        <v>437</v>
      </c>
      <c r="K165" t="n">
        <v>256.8100189035917</v>
      </c>
      <c r="L165" t="n">
        <v>267.2920604914934</v>
      </c>
      <c r="M165">
        <f>2*SQRT(K165/PI())</f>
        <v/>
      </c>
      <c r="N165">
        <f>2*SQRT(L165/PI())</f>
        <v/>
      </c>
      <c r="P165" t="inlineStr">
        <is>
          <t>是</t>
        </is>
      </c>
      <c r="Q165" t="inlineStr">
        <is>
          <t>auto_pipeline;review_png_green</t>
        </is>
      </c>
      <c r="R165" t="inlineStr">
        <is>
          <t>样品46</t>
        </is>
      </c>
    </row>
    <row r="166">
      <c r="A166" t="n">
        <v>165</v>
      </c>
      <c r="B166" t="inlineStr">
        <is>
          <t>46 (1).tif</t>
        </is>
      </c>
      <c r="C166" t="inlineStr">
        <is>
          <t>46(1)-V06</t>
        </is>
      </c>
      <c r="D166" t="n">
        <v>6</v>
      </c>
      <c r="E166" t="inlineStr">
        <is>
          <t>primary</t>
        </is>
      </c>
      <c r="F166" t="n">
        <v>176.5359168241966</v>
      </c>
      <c r="G166">
        <f>2*SQRT(F166/PI())</f>
        <v/>
      </c>
      <c r="H166" t="n">
        <v>49.93975424248239</v>
      </c>
      <c r="I166" t="n">
        <v>255</v>
      </c>
      <c r="J166" t="n">
        <v>328</v>
      </c>
      <c r="K166" t="n">
        <v>173.0051984877126</v>
      </c>
      <c r="L166" t="n">
        <v>180.0666351606805</v>
      </c>
      <c r="M166">
        <f>2*SQRT(K166/PI())</f>
        <v/>
      </c>
      <c r="N166">
        <f>2*SQRT(L166/PI())</f>
        <v/>
      </c>
      <c r="P166" t="inlineStr">
        <is>
          <t>是</t>
        </is>
      </c>
      <c r="Q166" t="inlineStr">
        <is>
          <t>auto_pipeline;review_png_green</t>
        </is>
      </c>
      <c r="R166" t="inlineStr">
        <is>
          <t>样品46</t>
        </is>
      </c>
    </row>
    <row r="167">
      <c r="A167" t="n">
        <v>166</v>
      </c>
      <c r="B167" t="inlineStr">
        <is>
          <t>46 (2).tif</t>
        </is>
      </c>
      <c r="C167" t="inlineStr">
        <is>
          <t>46(2)-V01</t>
        </is>
      </c>
      <c r="D167" t="n">
        <v>1</v>
      </c>
      <c r="E167" t="inlineStr">
        <is>
          <t>primary</t>
        </is>
      </c>
      <c r="F167" t="n">
        <v>750.0945179584121</v>
      </c>
      <c r="G167">
        <f>2*SQRT(F167/PI())</f>
        <v/>
      </c>
      <c r="H167" t="n">
        <v>103.2085755078689</v>
      </c>
      <c r="I167" t="n">
        <v>516</v>
      </c>
      <c r="J167" t="n">
        <v>427</v>
      </c>
      <c r="K167" t="n">
        <v>735.0926275992439</v>
      </c>
      <c r="L167" t="n">
        <v>765.0964083175803</v>
      </c>
      <c r="M167">
        <f>2*SQRT(K167/PI())</f>
        <v/>
      </c>
      <c r="N167">
        <f>2*SQRT(L167/PI())</f>
        <v/>
      </c>
      <c r="P167" t="inlineStr">
        <is>
          <t>是</t>
        </is>
      </c>
      <c r="Q167" t="inlineStr">
        <is>
          <t>auto_pipeline;review_png_green</t>
        </is>
      </c>
      <c r="R167" t="inlineStr">
        <is>
          <t>样品46</t>
        </is>
      </c>
    </row>
    <row r="168">
      <c r="A168" t="n">
        <v>167</v>
      </c>
      <c r="B168" t="inlineStr">
        <is>
          <t>46 (3).tif</t>
        </is>
      </c>
      <c r="C168" t="inlineStr">
        <is>
          <t>46(3)-V01</t>
        </is>
      </c>
      <c r="D168" t="n">
        <v>1</v>
      </c>
      <c r="E168" t="inlineStr">
        <is>
          <t>primary</t>
        </is>
      </c>
      <c r="F168" t="n">
        <v>861.7202268431002</v>
      </c>
      <c r="G168">
        <f>2*SQRT(F168/PI())</f>
        <v/>
      </c>
      <c r="H168" t="n">
        <v>110.6307788517164</v>
      </c>
      <c r="I168" t="n">
        <v>543</v>
      </c>
      <c r="J168" t="n">
        <v>312</v>
      </c>
      <c r="K168" t="n">
        <v>844.4858223062382</v>
      </c>
      <c r="L168" t="n">
        <v>878.9546313799623</v>
      </c>
      <c r="M168">
        <f>2*SQRT(K168/PI())</f>
        <v/>
      </c>
      <c r="N168">
        <f>2*SQRT(L168/PI())</f>
        <v/>
      </c>
      <c r="O168" t="inlineStr">
        <is>
          <t>46(3)-P01</t>
        </is>
      </c>
      <c r="P168" t="inlineStr">
        <is>
          <t>是</t>
        </is>
      </c>
      <c r="Q168" t="inlineStr">
        <is>
          <t>auto_pipeline;review_png_green</t>
        </is>
      </c>
      <c r="R168" t="inlineStr">
        <is>
          <t>样品46</t>
        </is>
      </c>
    </row>
    <row r="169">
      <c r="A169" t="n">
        <v>168</v>
      </c>
      <c r="B169" t="inlineStr">
        <is>
          <t>46 (3).tif</t>
        </is>
      </c>
      <c r="C169" t="inlineStr">
        <is>
          <t>46(3)-V02</t>
        </is>
      </c>
      <c r="D169" t="n">
        <v>2</v>
      </c>
      <c r="E169" t="inlineStr">
        <is>
          <t>primary</t>
        </is>
      </c>
      <c r="F169" t="n">
        <v>705.2457466918714</v>
      </c>
      <c r="G169">
        <f>2*SQRT(F169/PI())</f>
        <v/>
      </c>
      <c r="H169" t="n">
        <v>99.62481871895167</v>
      </c>
      <c r="I169" t="n">
        <v>484</v>
      </c>
      <c r="J169" t="n">
        <v>458</v>
      </c>
      <c r="K169" t="n">
        <v>691.140831758034</v>
      </c>
      <c r="L169" t="n">
        <v>719.3506616257089</v>
      </c>
      <c r="M169">
        <f>2*SQRT(K169/PI())</f>
        <v/>
      </c>
      <c r="N169">
        <f>2*SQRT(L169/PI())</f>
        <v/>
      </c>
      <c r="O169" t="inlineStr">
        <is>
          <t>46(3)-P01</t>
        </is>
      </c>
      <c r="P169" t="inlineStr">
        <is>
          <t>是</t>
        </is>
      </c>
      <c r="Q169" t="inlineStr">
        <is>
          <t>auto_pipeline;review_png_green</t>
        </is>
      </c>
      <c r="R169" t="inlineStr">
        <is>
          <t>样品46</t>
        </is>
      </c>
    </row>
    <row r="170">
      <c r="A170" t="n">
        <v>169</v>
      </c>
      <c r="B170" t="inlineStr">
        <is>
          <t>46 (3).tif</t>
        </is>
      </c>
      <c r="C170" t="inlineStr">
        <is>
          <t>46(3)-V03</t>
        </is>
      </c>
      <c r="D170" t="n">
        <v>3</v>
      </c>
      <c r="E170" t="inlineStr">
        <is>
          <t>primary</t>
        </is>
      </c>
      <c r="F170" t="n">
        <v>124.1729678638941</v>
      </c>
      <c r="G170">
        <f>2*SQRT(F170/PI())</f>
        <v/>
      </c>
      <c r="H170" t="n">
        <v>47.12006675160449</v>
      </c>
      <c r="I170" t="n">
        <v>147</v>
      </c>
      <c r="J170" t="n">
        <v>112</v>
      </c>
      <c r="K170" t="n">
        <v>121.6895085066163</v>
      </c>
      <c r="L170" t="n">
        <v>126.656427221172</v>
      </c>
      <c r="M170">
        <f>2*SQRT(K170/PI())</f>
        <v/>
      </c>
      <c r="N170">
        <f>2*SQRT(L170/PI())</f>
        <v/>
      </c>
      <c r="P170" t="inlineStr">
        <is>
          <t>是</t>
        </is>
      </c>
      <c r="Q170" t="inlineStr">
        <is>
          <t>auto_pipeline;review_png_green</t>
        </is>
      </c>
      <c r="R170" t="inlineStr">
        <is>
          <t>样品46</t>
        </is>
      </c>
    </row>
    <row r="171">
      <c r="A171" t="n">
        <v>170</v>
      </c>
      <c r="B171" t="inlineStr">
        <is>
          <t>46 (4).tif</t>
        </is>
      </c>
      <c r="C171" t="inlineStr">
        <is>
          <t>46(4)-V01</t>
        </is>
      </c>
      <c r="D171" t="n">
        <v>1</v>
      </c>
      <c r="E171" t="inlineStr">
        <is>
          <t>primary</t>
        </is>
      </c>
      <c r="F171" t="n">
        <v>455.2457466918714</v>
      </c>
      <c r="G171">
        <f>2*SQRT(F171/PI())</f>
        <v/>
      </c>
      <c r="H171" t="n">
        <v>84.46392427320066</v>
      </c>
      <c r="I171" t="n">
        <v>551</v>
      </c>
      <c r="J171" t="n">
        <v>321</v>
      </c>
      <c r="K171" t="n">
        <v>446.140831758034</v>
      </c>
      <c r="L171" t="n">
        <v>464.3506616257089</v>
      </c>
      <c r="M171">
        <f>2*SQRT(K171/PI())</f>
        <v/>
      </c>
      <c r="N171">
        <f>2*SQRT(L171/PI())</f>
        <v/>
      </c>
      <c r="P171" t="inlineStr">
        <is>
          <t>是</t>
        </is>
      </c>
      <c r="Q171" t="inlineStr">
        <is>
          <t>auto_pipeline;review_png_green</t>
        </is>
      </c>
      <c r="R171" t="inlineStr">
        <is>
          <t>样品46</t>
        </is>
      </c>
    </row>
    <row r="172">
      <c r="A172" t="n">
        <v>171</v>
      </c>
      <c r="B172" t="inlineStr">
        <is>
          <t>46 (4).tif</t>
        </is>
      </c>
      <c r="C172" t="inlineStr">
        <is>
          <t>46(4)-V02</t>
        </is>
      </c>
      <c r="D172" t="n">
        <v>2</v>
      </c>
      <c r="E172" t="inlineStr">
        <is>
          <t>primary</t>
        </is>
      </c>
      <c r="F172" t="n">
        <v>378.5207939508506</v>
      </c>
      <c r="G172">
        <f>2*SQRT(F172/PI())</f>
        <v/>
      </c>
      <c r="H172" t="n">
        <v>78.50431263446808</v>
      </c>
      <c r="I172" t="n">
        <v>563</v>
      </c>
      <c r="J172" t="n">
        <v>636</v>
      </c>
      <c r="K172" t="n">
        <v>370.9503780718337</v>
      </c>
      <c r="L172" t="n">
        <v>386.0912098298676</v>
      </c>
      <c r="M172">
        <f>2*SQRT(K172/PI())</f>
        <v/>
      </c>
      <c r="N172">
        <f>2*SQRT(L172/PI())</f>
        <v/>
      </c>
      <c r="P172" t="inlineStr">
        <is>
          <t>是</t>
        </is>
      </c>
      <c r="Q172" t="inlineStr">
        <is>
          <t>auto_pipeline;review_png_green</t>
        </is>
      </c>
      <c r="R172" t="inlineStr">
        <is>
          <t>样品46</t>
        </is>
      </c>
    </row>
    <row r="173">
      <c r="A173" t="n">
        <v>172</v>
      </c>
      <c r="B173" t="inlineStr">
        <is>
          <t>46 (4).tif</t>
        </is>
      </c>
      <c r="C173" t="inlineStr">
        <is>
          <t>46(4)-V03</t>
        </is>
      </c>
      <c r="D173" t="n">
        <v>3</v>
      </c>
      <c r="E173" t="inlineStr">
        <is>
          <t>primary</t>
        </is>
      </c>
      <c r="F173" t="n">
        <v>117.6984877126654</v>
      </c>
      <c r="G173">
        <f>2*SQRT(F173/PI())</f>
        <v/>
      </c>
      <c r="H173" t="n">
        <v>42.66674474529598</v>
      </c>
      <c r="I173" t="n">
        <v>559</v>
      </c>
      <c r="J173" t="n">
        <v>99</v>
      </c>
      <c r="K173" t="n">
        <v>115.3445179584121</v>
      </c>
      <c r="L173" t="n">
        <v>120.0524574669187</v>
      </c>
      <c r="M173">
        <f>2*SQRT(K173/PI())</f>
        <v/>
      </c>
      <c r="N173">
        <f>2*SQRT(L173/PI())</f>
        <v/>
      </c>
      <c r="P173" t="inlineStr">
        <is>
          <t>是</t>
        </is>
      </c>
      <c r="Q173" t="inlineStr">
        <is>
          <t>auto_pipeline;review_png_green</t>
        </is>
      </c>
      <c r="R173" t="inlineStr">
        <is>
          <t>样品46</t>
        </is>
      </c>
    </row>
    <row r="174">
      <c r="A174" t="n">
        <v>173</v>
      </c>
      <c r="B174" t="inlineStr">
        <is>
          <t>46 (5).tif</t>
        </is>
      </c>
      <c r="C174" t="inlineStr">
        <is>
          <t>46(5)-V01</t>
        </is>
      </c>
      <c r="D174" t="n">
        <v>1</v>
      </c>
      <c r="E174" t="inlineStr">
        <is>
          <t>primary</t>
        </is>
      </c>
      <c r="F174" t="n">
        <v>775.4962192816636</v>
      </c>
      <c r="G174">
        <f>2*SQRT(F174/PI())</f>
        <v/>
      </c>
      <c r="H174" t="n">
        <v>104.5656712936318</v>
      </c>
      <c r="I174" t="n">
        <v>545</v>
      </c>
      <c r="J174" t="n">
        <v>301</v>
      </c>
      <c r="K174" t="n">
        <v>759.9862948960302</v>
      </c>
      <c r="L174" t="n">
        <v>791.0061436672969</v>
      </c>
      <c r="M174">
        <f>2*SQRT(K174/PI())</f>
        <v/>
      </c>
      <c r="N174">
        <f>2*SQRT(L174/PI())</f>
        <v/>
      </c>
      <c r="P174" t="inlineStr">
        <is>
          <t>是</t>
        </is>
      </c>
      <c r="Q174" t="inlineStr">
        <is>
          <t>auto_pipeline;review_png_green</t>
        </is>
      </c>
      <c r="R174" t="inlineStr">
        <is>
          <t>样品46</t>
        </is>
      </c>
    </row>
    <row r="175">
      <c r="A175" t="n">
        <v>174</v>
      </c>
      <c r="B175" t="inlineStr">
        <is>
          <t>46 (5).tif</t>
        </is>
      </c>
      <c r="C175" t="inlineStr">
        <is>
          <t>46(5)-V02</t>
        </is>
      </c>
      <c r="D175" t="n">
        <v>2</v>
      </c>
      <c r="E175" t="inlineStr">
        <is>
          <t>primary</t>
        </is>
      </c>
      <c r="F175" t="n">
        <v>717.7930056710775</v>
      </c>
      <c r="G175">
        <f>2*SQRT(F175/PI())</f>
        <v/>
      </c>
      <c r="H175" t="n">
        <v>102.211665407471</v>
      </c>
      <c r="I175" t="n">
        <v>402</v>
      </c>
      <c r="J175" t="n">
        <v>381</v>
      </c>
      <c r="K175" t="n">
        <v>703.4371455576559</v>
      </c>
      <c r="L175" t="n">
        <v>732.1488657844991</v>
      </c>
      <c r="M175">
        <f>2*SQRT(K175/PI())</f>
        <v/>
      </c>
      <c r="N175">
        <f>2*SQRT(L175/PI())</f>
        <v/>
      </c>
      <c r="O175" t="inlineStr">
        <is>
          <t>46(5)-P01</t>
        </is>
      </c>
      <c r="P175" t="inlineStr">
        <is>
          <t>是</t>
        </is>
      </c>
      <c r="Q175" t="inlineStr">
        <is>
          <t>auto_pipeline;review_png_green</t>
        </is>
      </c>
      <c r="R175" t="inlineStr">
        <is>
          <t>样品46</t>
        </is>
      </c>
    </row>
    <row r="176">
      <c r="A176" t="n">
        <v>175</v>
      </c>
      <c r="B176" t="inlineStr">
        <is>
          <t>46 (5).tif</t>
        </is>
      </c>
      <c r="C176" t="inlineStr">
        <is>
          <t>46(5)-V03</t>
        </is>
      </c>
      <c r="D176" t="n">
        <v>3</v>
      </c>
      <c r="E176" t="inlineStr">
        <is>
          <t>primary</t>
        </is>
      </c>
      <c r="F176" t="n">
        <v>656.2854442344045</v>
      </c>
      <c r="G176">
        <f>2*SQRT(F176/PI())</f>
        <v/>
      </c>
      <c r="H176" t="n">
        <v>96.65593738141267</v>
      </c>
      <c r="I176" t="n">
        <v>228</v>
      </c>
      <c r="J176" t="n">
        <v>577</v>
      </c>
      <c r="K176" t="n">
        <v>643.1597353497164</v>
      </c>
      <c r="L176" t="n">
        <v>669.4111531190927</v>
      </c>
      <c r="M176">
        <f>2*SQRT(K176/PI())</f>
        <v/>
      </c>
      <c r="N176">
        <f>2*SQRT(L176/PI())</f>
        <v/>
      </c>
      <c r="P176" t="inlineStr">
        <is>
          <t>是</t>
        </is>
      </c>
      <c r="Q176" t="inlineStr">
        <is>
          <t>auto_pipeline;review_png_green</t>
        </is>
      </c>
      <c r="R176" t="inlineStr">
        <is>
          <t>样品46</t>
        </is>
      </c>
    </row>
    <row r="177">
      <c r="A177" t="n">
        <v>176</v>
      </c>
      <c r="B177" t="inlineStr">
        <is>
          <t>46 (5).tif</t>
        </is>
      </c>
      <c r="C177" t="inlineStr">
        <is>
          <t>46(5)-V04</t>
        </is>
      </c>
      <c r="D177" t="n">
        <v>4</v>
      </c>
      <c r="E177" t="inlineStr">
        <is>
          <t>primary</t>
        </is>
      </c>
      <c r="F177" t="n">
        <v>176.890359168242</v>
      </c>
      <c r="G177">
        <f>2*SQRT(F177/PI())</f>
        <v/>
      </c>
      <c r="H177" t="n">
        <v>69.42662581153537</v>
      </c>
      <c r="I177" t="n">
        <v>893</v>
      </c>
      <c r="J177" t="n">
        <v>325</v>
      </c>
      <c r="K177" t="n">
        <v>173.3525519848771</v>
      </c>
      <c r="L177" t="n">
        <v>180.4281663516068</v>
      </c>
      <c r="M177">
        <f>2*SQRT(K177/PI())</f>
        <v/>
      </c>
      <c r="N177">
        <f>2*SQRT(L177/PI())</f>
        <v/>
      </c>
      <c r="P177" t="inlineStr">
        <is>
          <t>是</t>
        </is>
      </c>
      <c r="Q177" t="inlineStr">
        <is>
          <t>auto_pipeline;review_png_green</t>
        </is>
      </c>
      <c r="R177" t="inlineStr">
        <is>
          <t>样品46</t>
        </is>
      </c>
    </row>
    <row r="178">
      <c r="A178" t="n">
        <v>177</v>
      </c>
      <c r="B178" t="inlineStr">
        <is>
          <t>46 (5).tif</t>
        </is>
      </c>
      <c r="C178" t="inlineStr">
        <is>
          <t>46(5)-V05</t>
        </is>
      </c>
      <c r="D178" t="n">
        <v>5</v>
      </c>
      <c r="E178" t="inlineStr">
        <is>
          <t>primary</t>
        </is>
      </c>
      <c r="F178" t="n">
        <v>152.1030245746692</v>
      </c>
      <c r="G178">
        <f>2*SQRT(F178/PI())</f>
        <v/>
      </c>
      <c r="H178" t="n">
        <v>81.04371249675751</v>
      </c>
      <c r="I178" t="n">
        <v>702</v>
      </c>
      <c r="J178" t="n">
        <v>451</v>
      </c>
      <c r="K178" t="n">
        <v>149.0609640831758</v>
      </c>
      <c r="L178" t="n">
        <v>155.1450850661626</v>
      </c>
      <c r="M178">
        <f>2*SQRT(K178/PI())</f>
        <v/>
      </c>
      <c r="N178">
        <f>2*SQRT(L178/PI())</f>
        <v/>
      </c>
      <c r="P178" t="inlineStr">
        <is>
          <t>是</t>
        </is>
      </c>
      <c r="Q178" t="inlineStr">
        <is>
          <t>auto_pipeline;review_png_green</t>
        </is>
      </c>
      <c r="R178" t="inlineStr">
        <is>
          <t>样品46</t>
        </is>
      </c>
    </row>
    <row r="179">
      <c r="A179" t="n">
        <v>178</v>
      </c>
      <c r="B179" t="inlineStr">
        <is>
          <t>46 (5).tif</t>
        </is>
      </c>
      <c r="C179" t="inlineStr">
        <is>
          <t>46(5)-V06</t>
        </is>
      </c>
      <c r="D179" t="n">
        <v>6</v>
      </c>
      <c r="E179" t="inlineStr">
        <is>
          <t>primary</t>
        </is>
      </c>
      <c r="F179" t="n">
        <v>82.60869565217391</v>
      </c>
      <c r="G179">
        <f>2*SQRT(F179/PI())</f>
        <v/>
      </c>
      <c r="H179" t="n">
        <v>39.42132467808931</v>
      </c>
      <c r="I179" t="n">
        <v>518</v>
      </c>
      <c r="J179" t="n">
        <v>349</v>
      </c>
      <c r="K179" t="n">
        <v>80.95652173913042</v>
      </c>
      <c r="L179" t="n">
        <v>84.26086956521739</v>
      </c>
      <c r="M179">
        <f>2*SQRT(K179/PI())</f>
        <v/>
      </c>
      <c r="N179">
        <f>2*SQRT(L179/PI())</f>
        <v/>
      </c>
      <c r="O179" t="inlineStr">
        <is>
          <t>46(5)-P01</t>
        </is>
      </c>
      <c r="P179" t="inlineStr">
        <is>
          <t>是</t>
        </is>
      </c>
      <c r="Q179" t="inlineStr">
        <is>
          <t>auto_pipeline;review_png_green</t>
        </is>
      </c>
      <c r="R179" t="inlineStr">
        <is>
          <t>样品46</t>
        </is>
      </c>
    </row>
    <row r="180">
      <c r="A180" t="n">
        <v>179</v>
      </c>
      <c r="B180" t="inlineStr">
        <is>
          <t>46 (6).tif</t>
        </is>
      </c>
      <c r="C180" t="inlineStr">
        <is>
          <t>46(6)-V01</t>
        </is>
      </c>
      <c r="D180" t="n">
        <v>1</v>
      </c>
      <c r="E180" t="inlineStr">
        <is>
          <t>primary</t>
        </is>
      </c>
      <c r="F180" t="n">
        <v>838.1379962192817</v>
      </c>
      <c r="G180">
        <f>2*SQRT(F180/PI())</f>
        <v/>
      </c>
      <c r="H180" t="n">
        <v>109.506523868312</v>
      </c>
      <c r="I180" t="n">
        <v>149</v>
      </c>
      <c r="J180" t="n">
        <v>96</v>
      </c>
      <c r="K180" t="n">
        <v>821.375236294896</v>
      </c>
      <c r="L180" t="n">
        <v>854.9007561436674</v>
      </c>
      <c r="M180">
        <f>2*SQRT(K180/PI())</f>
        <v/>
      </c>
      <c r="N180">
        <f>2*SQRT(L180/PI())</f>
        <v/>
      </c>
      <c r="P180" t="inlineStr">
        <is>
          <t>是</t>
        </is>
      </c>
      <c r="Q180" t="inlineStr">
        <is>
          <t>auto_pipeline;review_png_green</t>
        </is>
      </c>
      <c r="R180" t="inlineStr">
        <is>
          <t>样品46</t>
        </is>
      </c>
    </row>
    <row r="181">
      <c r="A181" t="n">
        <v>180</v>
      </c>
      <c r="B181" t="inlineStr">
        <is>
          <t>46 (6).tif</t>
        </is>
      </c>
      <c r="C181" t="inlineStr">
        <is>
          <t>46(6)-V02</t>
        </is>
      </c>
      <c r="D181" t="n">
        <v>2</v>
      </c>
      <c r="E181" t="inlineStr">
        <is>
          <t>primary</t>
        </is>
      </c>
      <c r="F181" t="n">
        <v>312.476370510397</v>
      </c>
      <c r="G181">
        <f>2*SQRT(F181/PI())</f>
        <v/>
      </c>
      <c r="H181" t="n">
        <v>67.37100761869679</v>
      </c>
      <c r="I181" t="n">
        <v>535</v>
      </c>
      <c r="J181" t="n">
        <v>377</v>
      </c>
      <c r="K181" t="n">
        <v>306.2268431001891</v>
      </c>
      <c r="L181" t="n">
        <v>318.7258979206049</v>
      </c>
      <c r="M181">
        <f>2*SQRT(K181/PI())</f>
        <v/>
      </c>
      <c r="N181">
        <f>2*SQRT(L181/PI())</f>
        <v/>
      </c>
      <c r="P181" t="inlineStr">
        <is>
          <t>是</t>
        </is>
      </c>
      <c r="Q181" t="inlineStr">
        <is>
          <t>auto_pipeline;review_png_green</t>
        </is>
      </c>
      <c r="R181" t="inlineStr">
        <is>
          <t>样品46</t>
        </is>
      </c>
    </row>
    <row r="182">
      <c r="A182" t="n">
        <v>181</v>
      </c>
      <c r="B182" t="inlineStr">
        <is>
          <t>46 (6).tif</t>
        </is>
      </c>
      <c r="C182" t="inlineStr">
        <is>
          <t>46(6)-V03</t>
        </is>
      </c>
      <c r="D182" t="n">
        <v>3</v>
      </c>
      <c r="E182" t="inlineStr">
        <is>
          <t>primary</t>
        </is>
      </c>
      <c r="F182" t="n">
        <v>249.6928166351607</v>
      </c>
      <c r="G182">
        <f>2*SQRT(F182/PI())</f>
        <v/>
      </c>
      <c r="H182" t="n">
        <v>59.20658394046452</v>
      </c>
      <c r="I182" t="n">
        <v>706</v>
      </c>
      <c r="J182" t="n">
        <v>616</v>
      </c>
      <c r="K182" t="n">
        <v>244.6989603024575</v>
      </c>
      <c r="L182" t="n">
        <v>254.6866729678639</v>
      </c>
      <c r="M182">
        <f>2*SQRT(K182/PI())</f>
        <v/>
      </c>
      <c r="N182">
        <f>2*SQRT(L182/PI())</f>
        <v/>
      </c>
      <c r="P182" t="inlineStr">
        <is>
          <t>是</t>
        </is>
      </c>
      <c r="Q182" t="inlineStr">
        <is>
          <t>auto_pipeline;review_png_green</t>
        </is>
      </c>
      <c r="R182" t="inlineStr">
        <is>
          <t>样品46</t>
        </is>
      </c>
    </row>
    <row r="183">
      <c r="A183" t="n">
        <v>182</v>
      </c>
      <c r="B183" t="inlineStr">
        <is>
          <t>46 (7).tif</t>
        </is>
      </c>
      <c r="C183" t="inlineStr">
        <is>
          <t>46(7)-V01</t>
        </is>
      </c>
      <c r="D183" t="n">
        <v>1</v>
      </c>
      <c r="E183" t="inlineStr">
        <is>
          <t>primary</t>
        </is>
      </c>
      <c r="F183" t="n">
        <v>799.9054820415879</v>
      </c>
      <c r="G183">
        <f>2*SQRT(F183/PI())</f>
        <v/>
      </c>
      <c r="H183" t="n">
        <v>110.2705931663513</v>
      </c>
      <c r="I183" t="n">
        <v>461</v>
      </c>
      <c r="J183" t="n">
        <v>376</v>
      </c>
      <c r="K183" t="n">
        <v>783.9073724007561</v>
      </c>
      <c r="L183" t="n">
        <v>815.9035916824197</v>
      </c>
      <c r="M183">
        <f>2*SQRT(K183/PI())</f>
        <v/>
      </c>
      <c r="N183">
        <f>2*SQRT(L183/PI())</f>
        <v/>
      </c>
      <c r="O183" t="inlineStr">
        <is>
          <t>46(7)-P01</t>
        </is>
      </c>
      <c r="P183" t="inlineStr">
        <is>
          <t>是</t>
        </is>
      </c>
      <c r="Q183" t="inlineStr">
        <is>
          <t>auto_pipeline;review_png_green</t>
        </is>
      </c>
      <c r="R183" t="inlineStr">
        <is>
          <t>样品46</t>
        </is>
      </c>
    </row>
    <row r="184">
      <c r="A184" t="n">
        <v>183</v>
      </c>
      <c r="B184" t="inlineStr">
        <is>
          <t>46 (7).tif</t>
        </is>
      </c>
      <c r="C184" t="inlineStr">
        <is>
          <t>46(7)-V02</t>
        </is>
      </c>
      <c r="D184" t="n">
        <v>2</v>
      </c>
      <c r="E184" t="inlineStr">
        <is>
          <t>primary</t>
        </is>
      </c>
      <c r="F184" t="n">
        <v>794.7069943289225</v>
      </c>
      <c r="G184">
        <f>2*SQRT(F184/PI())</f>
        <v/>
      </c>
      <c r="H184" t="n">
        <v>107.3017118288123</v>
      </c>
      <c r="I184" t="n">
        <v>573</v>
      </c>
      <c r="J184" t="n">
        <v>266</v>
      </c>
      <c r="K184" t="n">
        <v>778.812854442344</v>
      </c>
      <c r="L184" t="n">
        <v>810.601134215501</v>
      </c>
      <c r="M184">
        <f>2*SQRT(K184/PI())</f>
        <v/>
      </c>
      <c r="N184">
        <f>2*SQRT(L184/PI())</f>
        <v/>
      </c>
      <c r="O184" t="inlineStr">
        <is>
          <t>46(7)-P01</t>
        </is>
      </c>
      <c r="P184" t="inlineStr">
        <is>
          <t>是</t>
        </is>
      </c>
      <c r="Q184" t="inlineStr">
        <is>
          <t>auto_pipeline;review_png_green</t>
        </is>
      </c>
      <c r="R184" t="inlineStr">
        <is>
          <t>样品46</t>
        </is>
      </c>
    </row>
    <row r="185">
      <c r="A185" t="n">
        <v>184</v>
      </c>
      <c r="B185" t="inlineStr">
        <is>
          <t>46 (7).tif</t>
        </is>
      </c>
      <c r="C185" t="inlineStr">
        <is>
          <t>46(7)-V03</t>
        </is>
      </c>
      <c r="D185" t="n">
        <v>3</v>
      </c>
      <c r="E185" t="inlineStr">
        <is>
          <t>primary</t>
        </is>
      </c>
      <c r="F185" t="n">
        <v>89.2249527410208</v>
      </c>
      <c r="G185">
        <f>2*SQRT(F185/PI())</f>
        <v/>
      </c>
      <c r="H185" t="n">
        <v>41.73163263694099</v>
      </c>
      <c r="I185" t="n">
        <v>606</v>
      </c>
      <c r="J185" t="n">
        <v>310</v>
      </c>
      <c r="K185" t="n">
        <v>87.44045368620039</v>
      </c>
      <c r="L185" t="n">
        <v>91.00945179584122</v>
      </c>
      <c r="M185">
        <f>2*SQRT(K185/PI())</f>
        <v/>
      </c>
      <c r="N185">
        <f>2*SQRT(L185/PI())</f>
        <v/>
      </c>
      <c r="P185" t="inlineStr">
        <is>
          <t>是</t>
        </is>
      </c>
      <c r="Q185" t="inlineStr">
        <is>
          <t>auto_pipeline;review_png_green</t>
        </is>
      </c>
      <c r="R185" t="inlineStr">
        <is>
          <t>样品46</t>
        </is>
      </c>
    </row>
    <row r="186">
      <c r="A186" t="n">
        <v>185</v>
      </c>
      <c r="B186" t="inlineStr">
        <is>
          <t>46 (8).tif</t>
        </is>
      </c>
      <c r="C186" t="inlineStr">
        <is>
          <t>46(8)-V01</t>
        </is>
      </c>
      <c r="D186" t="n">
        <v>1</v>
      </c>
      <c r="E186" t="inlineStr">
        <is>
          <t>primary</t>
        </is>
      </c>
      <c r="F186" t="n">
        <v>662.6654064272212</v>
      </c>
      <c r="G186">
        <f>2*SQRT(F186/PI())</f>
        <v/>
      </c>
      <c r="H186" t="n">
        <v>97.01612306677777</v>
      </c>
      <c r="I186" t="n">
        <v>587</v>
      </c>
      <c r="J186" t="n">
        <v>332</v>
      </c>
      <c r="K186" t="n">
        <v>649.4120982986768</v>
      </c>
      <c r="L186" t="n">
        <v>675.9187145557656</v>
      </c>
      <c r="M186">
        <f>2*SQRT(K186/PI())</f>
        <v/>
      </c>
      <c r="N186">
        <f>2*SQRT(L186/PI())</f>
        <v/>
      </c>
      <c r="P186" t="inlineStr">
        <is>
          <t>是</t>
        </is>
      </c>
      <c r="Q186" t="inlineStr">
        <is>
          <t>auto_pipeline;review_png_green</t>
        </is>
      </c>
      <c r="R186" t="inlineStr">
        <is>
          <t>样品46</t>
        </is>
      </c>
    </row>
    <row r="187">
      <c r="A187" t="n">
        <v>186</v>
      </c>
      <c r="B187" t="inlineStr">
        <is>
          <t>46 (8).tif</t>
        </is>
      </c>
      <c r="C187" t="inlineStr">
        <is>
          <t>46(8)-V02</t>
        </is>
      </c>
      <c r="D187" t="n">
        <v>2</v>
      </c>
      <c r="E187" t="inlineStr">
        <is>
          <t>primary</t>
        </is>
      </c>
      <c r="F187" t="n">
        <v>396.2901701323252</v>
      </c>
      <c r="G187">
        <f>2*SQRT(F187/PI())</f>
        <v/>
      </c>
      <c r="H187" t="n">
        <v>75.53543129692906</v>
      </c>
      <c r="I187" t="n">
        <v>450</v>
      </c>
      <c r="J187" t="n">
        <v>380</v>
      </c>
      <c r="K187" t="n">
        <v>388.3643667296786</v>
      </c>
      <c r="L187" t="n">
        <v>404.2159735349717</v>
      </c>
      <c r="M187">
        <f>2*SQRT(K187/PI())</f>
        <v/>
      </c>
      <c r="N187">
        <f>2*SQRT(L187/PI())</f>
        <v/>
      </c>
      <c r="P187" t="inlineStr">
        <is>
          <t>是</t>
        </is>
      </c>
      <c r="Q187" t="inlineStr">
        <is>
          <t>auto_pipeline;review_png_green</t>
        </is>
      </c>
      <c r="R187" t="inlineStr">
        <is>
          <t>样品46</t>
        </is>
      </c>
    </row>
    <row r="188">
      <c r="A188" t="n">
        <v>187</v>
      </c>
      <c r="B188" t="inlineStr">
        <is>
          <t>46 (8).tif</t>
        </is>
      </c>
      <c r="C188" t="inlineStr">
        <is>
          <t>46(8)-V03</t>
        </is>
      </c>
      <c r="D188" t="n">
        <v>3</v>
      </c>
      <c r="E188" t="inlineStr">
        <is>
          <t>primary</t>
        </is>
      </c>
      <c r="F188" t="n">
        <v>267.7221172022684</v>
      </c>
      <c r="G188">
        <f>2*SQRT(F188/PI())</f>
        <v/>
      </c>
      <c r="H188" t="n">
        <v>74.24013350320899</v>
      </c>
      <c r="I188" t="n">
        <v>936</v>
      </c>
      <c r="J188" t="n">
        <v>623</v>
      </c>
      <c r="K188" t="n">
        <v>262.367674858223</v>
      </c>
      <c r="L188" t="n">
        <v>273.0765595463138</v>
      </c>
      <c r="M188">
        <f>2*SQRT(K188/PI())</f>
        <v/>
      </c>
      <c r="N188">
        <f>2*SQRT(L188/PI())</f>
        <v/>
      </c>
      <c r="P188" t="inlineStr">
        <is>
          <t>是</t>
        </is>
      </c>
      <c r="Q188" t="inlineStr">
        <is>
          <t>auto_pipeline;review_png_green</t>
        </is>
      </c>
      <c r="R188" t="inlineStr">
        <is>
          <t>样品46</t>
        </is>
      </c>
    </row>
    <row r="189">
      <c r="A189" t="n">
        <v>188</v>
      </c>
      <c r="B189" t="inlineStr">
        <is>
          <t>46 (8).tif</t>
        </is>
      </c>
      <c r="C189" t="inlineStr">
        <is>
          <t>46(8)-V04</t>
        </is>
      </c>
      <c r="D189" t="n">
        <v>4</v>
      </c>
      <c r="E189" t="inlineStr">
        <is>
          <t>primary</t>
        </is>
      </c>
      <c r="F189" t="n">
        <v>196.1011342155009</v>
      </c>
      <c r="G189">
        <f>2*SQRT(F189/PI())</f>
        <v/>
      </c>
      <c r="H189" t="n">
        <v>57.93313511039899</v>
      </c>
      <c r="I189" t="n">
        <v>855</v>
      </c>
      <c r="J189" t="n">
        <v>555</v>
      </c>
      <c r="K189" t="n">
        <v>192.1791115311909</v>
      </c>
      <c r="L189" t="n">
        <v>200.023156899811</v>
      </c>
      <c r="M189">
        <f>2*SQRT(K189/PI())</f>
        <v/>
      </c>
      <c r="N189">
        <f>2*SQRT(L189/PI())</f>
        <v/>
      </c>
      <c r="P189" t="inlineStr">
        <is>
          <t>是</t>
        </is>
      </c>
      <c r="Q189" t="inlineStr">
        <is>
          <t>auto_pipeline;review_png_green</t>
        </is>
      </c>
      <c r="R189" t="inlineStr">
        <is>
          <t>样品46</t>
        </is>
      </c>
    </row>
    <row r="190">
      <c r="A190" t="n">
        <v>189</v>
      </c>
      <c r="B190" t="inlineStr">
        <is>
          <t>46 (8).tif</t>
        </is>
      </c>
      <c r="C190" t="inlineStr">
        <is>
          <t>46(8)-V05</t>
        </is>
      </c>
      <c r="D190" t="n">
        <v>5</v>
      </c>
      <c r="E190" t="inlineStr">
        <is>
          <t>primary</t>
        </is>
      </c>
      <c r="F190" t="n">
        <v>105.789224952741</v>
      </c>
      <c r="G190">
        <f>2*SQRT(F190/PI())</f>
        <v/>
      </c>
      <c r="H190" t="n">
        <v>40.31273885913517</v>
      </c>
      <c r="I190" t="n">
        <v>950</v>
      </c>
      <c r="J190" t="n">
        <v>520</v>
      </c>
      <c r="K190" t="n">
        <v>103.6734404536862</v>
      </c>
      <c r="L190" t="n">
        <v>107.9050094517958</v>
      </c>
      <c r="M190">
        <f>2*SQRT(K190/PI())</f>
        <v/>
      </c>
      <c r="N190">
        <f>2*SQRT(L190/PI())</f>
        <v/>
      </c>
      <c r="P190" t="inlineStr">
        <is>
          <t>是</t>
        </is>
      </c>
      <c r="Q190" t="inlineStr">
        <is>
          <t>auto_pipeline;review_png_green</t>
        </is>
      </c>
      <c r="R190" t="inlineStr">
        <is>
          <t>样品46</t>
        </is>
      </c>
    </row>
    <row r="191">
      <c r="A191" t="n">
        <v>190</v>
      </c>
      <c r="B191" t="inlineStr">
        <is>
          <t>47 (1).tif</t>
        </is>
      </c>
      <c r="C191" t="inlineStr">
        <is>
          <t>47(1)-V01</t>
        </is>
      </c>
      <c r="D191" t="n">
        <v>1</v>
      </c>
      <c r="E191" t="inlineStr">
        <is>
          <t>primary</t>
        </is>
      </c>
      <c r="F191" t="n">
        <v>460.562381852552</v>
      </c>
      <c r="G191">
        <f>2*SQRT(F191/PI())</f>
        <v/>
      </c>
      <c r="H191" t="n">
        <v>82.95763464077659</v>
      </c>
      <c r="I191" t="n">
        <v>889</v>
      </c>
      <c r="J191" t="n">
        <v>450</v>
      </c>
      <c r="K191" t="n">
        <v>451.351134215501</v>
      </c>
      <c r="L191" t="n">
        <v>469.773629489603</v>
      </c>
      <c r="M191">
        <f>2*SQRT(K191/PI())</f>
        <v/>
      </c>
      <c r="N191">
        <f>2*SQRT(L191/PI())</f>
        <v/>
      </c>
      <c r="P191" t="inlineStr">
        <is>
          <t>是</t>
        </is>
      </c>
      <c r="Q191" t="inlineStr">
        <is>
          <t>auto_pipeline;review_png_green</t>
        </is>
      </c>
      <c r="R191" t="inlineStr">
        <is>
          <t>样品47</t>
        </is>
      </c>
    </row>
    <row r="192">
      <c r="A192" t="n">
        <v>191</v>
      </c>
      <c r="B192" t="inlineStr">
        <is>
          <t>47 (1).tif</t>
        </is>
      </c>
      <c r="C192" t="inlineStr">
        <is>
          <t>47(1)-V02</t>
        </is>
      </c>
      <c r="D192" t="n">
        <v>2</v>
      </c>
      <c r="E192" t="inlineStr">
        <is>
          <t>primary</t>
        </is>
      </c>
      <c r="F192" t="n">
        <v>374.2911153119093</v>
      </c>
      <c r="G192">
        <f>2*SQRT(F192/PI())</f>
        <v/>
      </c>
      <c r="H192" t="n">
        <v>74.28383143051811</v>
      </c>
      <c r="I192" t="n">
        <v>906</v>
      </c>
      <c r="J192" t="n">
        <v>274</v>
      </c>
      <c r="K192" t="n">
        <v>366.805293005671</v>
      </c>
      <c r="L192" t="n">
        <v>381.7769376181475</v>
      </c>
      <c r="M192">
        <f>2*SQRT(K192/PI())</f>
        <v/>
      </c>
      <c r="N192">
        <f>2*SQRT(L192/PI())</f>
        <v/>
      </c>
      <c r="P192" t="inlineStr">
        <is>
          <t>是</t>
        </is>
      </c>
      <c r="Q192" t="inlineStr">
        <is>
          <t>auto_pipeline;review_png_green</t>
        </is>
      </c>
      <c r="R192" t="inlineStr">
        <is>
          <t>样品47</t>
        </is>
      </c>
    </row>
    <row r="193">
      <c r="A193" t="n">
        <v>192</v>
      </c>
      <c r="B193" t="inlineStr">
        <is>
          <t>47 (1).tif</t>
        </is>
      </c>
      <c r="C193" t="inlineStr">
        <is>
          <t>47(1)-V03</t>
        </is>
      </c>
      <c r="D193" t="n">
        <v>3</v>
      </c>
      <c r="E193" t="inlineStr">
        <is>
          <t>primary</t>
        </is>
      </c>
      <c r="F193" t="n">
        <v>369.2580340264651</v>
      </c>
      <c r="G193">
        <f>2*SQRT(F193/PI())</f>
        <v/>
      </c>
      <c r="H193" t="n">
        <v>72.31186019337696</v>
      </c>
      <c r="I193" t="n">
        <v>136</v>
      </c>
      <c r="J193" t="n">
        <v>521</v>
      </c>
      <c r="K193" t="n">
        <v>361.8728733459358</v>
      </c>
      <c r="L193" t="n">
        <v>376.6431947069943</v>
      </c>
      <c r="M193">
        <f>2*SQRT(K193/PI())</f>
        <v/>
      </c>
      <c r="N193">
        <f>2*SQRT(L193/PI())</f>
        <v/>
      </c>
      <c r="O193" t="inlineStr">
        <is>
          <t>47(1)-P01</t>
        </is>
      </c>
      <c r="P193" t="inlineStr">
        <is>
          <t>是</t>
        </is>
      </c>
      <c r="Q193" t="inlineStr">
        <is>
          <t>auto_pipeline;review_png_green</t>
        </is>
      </c>
      <c r="R193" t="inlineStr">
        <is>
          <t>样品47</t>
        </is>
      </c>
    </row>
    <row r="194">
      <c r="A194" t="n">
        <v>193</v>
      </c>
      <c r="B194" t="inlineStr">
        <is>
          <t>47 (1).tif</t>
        </is>
      </c>
      <c r="C194" t="inlineStr">
        <is>
          <t>47(1)-V04</t>
        </is>
      </c>
      <c r="D194" t="n">
        <v>4</v>
      </c>
      <c r="E194" t="inlineStr">
        <is>
          <t>primary</t>
        </is>
      </c>
      <c r="F194" t="n">
        <v>336.8383742911153</v>
      </c>
      <c r="G194">
        <f>2*SQRT(F194/PI())</f>
        <v/>
      </c>
      <c r="H194" t="n">
        <v>69.70316454120304</v>
      </c>
      <c r="I194" t="n">
        <v>746</v>
      </c>
      <c r="J194" t="n">
        <v>244</v>
      </c>
      <c r="K194" t="n">
        <v>330.101606805293</v>
      </c>
      <c r="L194" t="n">
        <v>343.5751417769376</v>
      </c>
      <c r="M194">
        <f>2*SQRT(K194/PI())</f>
        <v/>
      </c>
      <c r="N194">
        <f>2*SQRT(L194/PI())</f>
        <v/>
      </c>
      <c r="P194" t="inlineStr">
        <is>
          <t>是</t>
        </is>
      </c>
      <c r="Q194" t="inlineStr">
        <is>
          <t>auto_pipeline;review_png_green</t>
        </is>
      </c>
      <c r="R194" t="inlineStr">
        <is>
          <t>样品47</t>
        </is>
      </c>
    </row>
    <row r="195">
      <c r="A195" t="n">
        <v>194</v>
      </c>
      <c r="B195" t="inlineStr">
        <is>
          <t>47 (1).tif</t>
        </is>
      </c>
      <c r="C195" t="inlineStr">
        <is>
          <t>47(1)-V05</t>
        </is>
      </c>
      <c r="D195" t="n">
        <v>5</v>
      </c>
      <c r="E195" t="inlineStr">
        <is>
          <t>primary</t>
        </is>
      </c>
      <c r="F195" t="n">
        <v>322.8260869565217</v>
      </c>
      <c r="G195">
        <f>2*SQRT(F195/PI())</f>
        <v/>
      </c>
      <c r="H195" t="n">
        <v>67.98588307007499</v>
      </c>
      <c r="I195" t="n">
        <v>257</v>
      </c>
      <c r="J195" t="n">
        <v>474</v>
      </c>
      <c r="K195" t="n">
        <v>316.3695652173913</v>
      </c>
      <c r="L195" t="n">
        <v>329.2826086956522</v>
      </c>
      <c r="M195">
        <f>2*SQRT(K195/PI())</f>
        <v/>
      </c>
      <c r="N195">
        <f>2*SQRT(L195/PI())</f>
        <v/>
      </c>
      <c r="O195" t="inlineStr">
        <is>
          <t>47(1)-P01</t>
        </is>
      </c>
      <c r="P195" t="inlineStr">
        <is>
          <t>是</t>
        </is>
      </c>
      <c r="Q195" t="inlineStr">
        <is>
          <t>auto_pipeline;review_png_green</t>
        </is>
      </c>
      <c r="R195" t="inlineStr">
        <is>
          <t>样品47</t>
        </is>
      </c>
    </row>
    <row r="196">
      <c r="A196" t="n">
        <v>195</v>
      </c>
      <c r="B196" t="inlineStr">
        <is>
          <t>47 (1).tif</t>
        </is>
      </c>
      <c r="C196" t="inlineStr">
        <is>
          <t>47(1)-V06</t>
        </is>
      </c>
      <c r="D196" t="n">
        <v>6</v>
      </c>
      <c r="E196" t="inlineStr">
        <is>
          <t>primary</t>
        </is>
      </c>
      <c r="F196" t="n">
        <v>320.15595463138</v>
      </c>
      <c r="G196">
        <f>2*SQRT(F196/PI())</f>
        <v/>
      </c>
      <c r="H196" t="n">
        <v>66.98897296967714</v>
      </c>
      <c r="I196" t="n">
        <v>575</v>
      </c>
      <c r="J196" t="n">
        <v>325</v>
      </c>
      <c r="K196" t="n">
        <v>313.7528355387524</v>
      </c>
      <c r="L196" t="n">
        <v>326.5590737240076</v>
      </c>
      <c r="M196">
        <f>2*SQRT(K196/PI())</f>
        <v/>
      </c>
      <c r="N196">
        <f>2*SQRT(L196/PI())</f>
        <v/>
      </c>
      <c r="P196" t="inlineStr">
        <is>
          <t>是</t>
        </is>
      </c>
      <c r="Q196" t="inlineStr">
        <is>
          <t>auto_pipeline;review_png_green</t>
        </is>
      </c>
      <c r="R196" t="inlineStr">
        <is>
          <t>样品47</t>
        </is>
      </c>
    </row>
    <row r="197">
      <c r="A197" t="n">
        <v>196</v>
      </c>
      <c r="B197" t="inlineStr">
        <is>
          <t>47 (1).tif</t>
        </is>
      </c>
      <c r="C197" t="inlineStr">
        <is>
          <t>47(1)-V07</t>
        </is>
      </c>
      <c r="D197" t="n">
        <v>7</v>
      </c>
      <c r="E197" t="inlineStr">
        <is>
          <t>primary</t>
        </is>
      </c>
      <c r="F197" t="n">
        <v>266.0680529300567</v>
      </c>
      <c r="G197">
        <f>2*SQRT(F197/PI())</f>
        <v/>
      </c>
      <c r="H197" t="n">
        <v>61.43324494361877</v>
      </c>
      <c r="I197" t="n">
        <v>464</v>
      </c>
      <c r="J197" t="n">
        <v>377</v>
      </c>
      <c r="K197" t="n">
        <v>260.7466918714555</v>
      </c>
      <c r="L197" t="n">
        <v>271.3894139886579</v>
      </c>
      <c r="M197">
        <f>2*SQRT(K197/PI())</f>
        <v/>
      </c>
      <c r="N197">
        <f>2*SQRT(L197/PI())</f>
        <v/>
      </c>
      <c r="P197" t="inlineStr">
        <is>
          <t>是</t>
        </is>
      </c>
      <c r="Q197" t="inlineStr">
        <is>
          <t>auto_pipeline;review_png_green</t>
        </is>
      </c>
      <c r="R197" t="inlineStr">
        <is>
          <t>样品47</t>
        </is>
      </c>
    </row>
    <row r="198">
      <c r="A198" t="n">
        <v>197</v>
      </c>
      <c r="B198" t="inlineStr">
        <is>
          <t>47 (1).tif</t>
        </is>
      </c>
      <c r="C198" t="inlineStr">
        <is>
          <t>47(1)-V08</t>
        </is>
      </c>
      <c r="D198" t="n">
        <v>8</v>
      </c>
      <c r="E198" t="inlineStr">
        <is>
          <t>primary</t>
        </is>
      </c>
      <c r="F198" t="n">
        <v>237.0982986767486</v>
      </c>
      <c r="G198">
        <f>2*SQRT(F198/PI())</f>
        <v/>
      </c>
      <c r="H198" t="n">
        <v>59.84330835549728</v>
      </c>
      <c r="I198" t="n">
        <v>311</v>
      </c>
      <c r="J198" t="n">
        <v>211</v>
      </c>
      <c r="K198" t="n">
        <v>232.3563327032136</v>
      </c>
      <c r="L198" t="n">
        <v>241.8402646502836</v>
      </c>
      <c r="M198">
        <f>2*SQRT(K198/PI())</f>
        <v/>
      </c>
      <c r="N198">
        <f>2*SQRT(L198/PI())</f>
        <v/>
      </c>
      <c r="P198" t="inlineStr">
        <is>
          <t>是</t>
        </is>
      </c>
      <c r="Q198" t="inlineStr">
        <is>
          <t>auto_pipeline;review_png_green</t>
        </is>
      </c>
      <c r="R198" t="inlineStr">
        <is>
          <t>样品47</t>
        </is>
      </c>
    </row>
    <row r="199">
      <c r="A199" t="n">
        <v>198</v>
      </c>
      <c r="B199" t="inlineStr">
        <is>
          <t>47 (2).tif</t>
        </is>
      </c>
      <c r="C199" t="inlineStr">
        <is>
          <t>47(2)-V01</t>
        </is>
      </c>
      <c r="D199" t="n">
        <v>1</v>
      </c>
      <c r="E199" t="inlineStr">
        <is>
          <t>primary</t>
        </is>
      </c>
      <c r="F199" t="n">
        <v>783.648393194707</v>
      </c>
      <c r="G199">
        <f>2*SQRT(F199/PI())</f>
        <v/>
      </c>
      <c r="H199" t="n">
        <v>107.8110913608385</v>
      </c>
      <c r="I199" t="n">
        <v>549</v>
      </c>
      <c r="J199" t="n">
        <v>272</v>
      </c>
      <c r="K199" t="n">
        <v>767.9754253308128</v>
      </c>
      <c r="L199" t="n">
        <v>799.3213610586012</v>
      </c>
      <c r="M199">
        <f>2*SQRT(K199/PI())</f>
        <v/>
      </c>
      <c r="N199">
        <f>2*SQRT(L199/PI())</f>
        <v/>
      </c>
      <c r="P199" t="inlineStr">
        <is>
          <t>是</t>
        </is>
      </c>
      <c r="Q199" t="inlineStr">
        <is>
          <t>auto_pipeline;review_png_green</t>
        </is>
      </c>
      <c r="R199" t="inlineStr">
        <is>
          <t>样品47</t>
        </is>
      </c>
    </row>
    <row r="200">
      <c r="A200" t="n">
        <v>199</v>
      </c>
      <c r="B200" t="inlineStr">
        <is>
          <t>47 (2).tif</t>
        </is>
      </c>
      <c r="C200" t="inlineStr">
        <is>
          <t>47(2)-V02</t>
        </is>
      </c>
      <c r="D200" t="n">
        <v>2</v>
      </c>
      <c r="E200" t="inlineStr">
        <is>
          <t>primary</t>
        </is>
      </c>
      <c r="F200" t="n">
        <v>736.0113421550094</v>
      </c>
      <c r="G200">
        <f>2*SQRT(F200/PI())</f>
        <v/>
      </c>
      <c r="H200" t="n">
        <v>105.0532018620035</v>
      </c>
      <c r="I200" t="n">
        <v>181</v>
      </c>
      <c r="J200" t="n">
        <v>585</v>
      </c>
      <c r="K200" t="n">
        <v>721.2911153119092</v>
      </c>
      <c r="L200" t="n">
        <v>750.7315689981097</v>
      </c>
      <c r="M200">
        <f>2*SQRT(K200/PI())</f>
        <v/>
      </c>
      <c r="N200">
        <f>2*SQRT(L200/PI())</f>
        <v/>
      </c>
      <c r="P200" t="inlineStr">
        <is>
          <t>是</t>
        </is>
      </c>
      <c r="Q200" t="inlineStr">
        <is>
          <t>auto_pipeline;review_png_green</t>
        </is>
      </c>
      <c r="R200" t="inlineStr">
        <is>
          <t>样品47</t>
        </is>
      </c>
    </row>
    <row r="201">
      <c r="A201" t="n">
        <v>200</v>
      </c>
      <c r="B201" t="inlineStr">
        <is>
          <t>47 (3).tif</t>
        </is>
      </c>
      <c r="C201" t="inlineStr">
        <is>
          <t>47(3)-V01</t>
        </is>
      </c>
      <c r="D201" t="n">
        <v>1</v>
      </c>
      <c r="E201" t="inlineStr">
        <is>
          <t>primary</t>
        </is>
      </c>
      <c r="F201" t="n">
        <v>1863.2797731569</v>
      </c>
      <c r="G201">
        <f>2*SQRT(F201/PI())</f>
        <v/>
      </c>
      <c r="H201" t="n">
        <v>167.9090894823489</v>
      </c>
      <c r="I201" t="n">
        <v>703</v>
      </c>
      <c r="J201" t="n">
        <v>499</v>
      </c>
      <c r="K201" t="n">
        <v>1826.014177693762</v>
      </c>
      <c r="L201" t="n">
        <v>1900.545368620038</v>
      </c>
      <c r="M201">
        <f>2*SQRT(K201/PI())</f>
        <v/>
      </c>
      <c r="N201">
        <f>2*SQRT(L201/PI())</f>
        <v/>
      </c>
      <c r="P201" t="inlineStr">
        <is>
          <t>是</t>
        </is>
      </c>
      <c r="Q201" t="inlineStr">
        <is>
          <t>auto_pipeline;review_png_green</t>
        </is>
      </c>
      <c r="R201" t="inlineStr">
        <is>
          <t>样品47</t>
        </is>
      </c>
    </row>
    <row r="202">
      <c r="A202" t="n">
        <v>201</v>
      </c>
      <c r="B202" t="inlineStr">
        <is>
          <t>47 (3).tif</t>
        </is>
      </c>
      <c r="C202" t="inlineStr">
        <is>
          <t>47(3)-V02</t>
        </is>
      </c>
      <c r="D202" t="n">
        <v>2</v>
      </c>
      <c r="E202" t="inlineStr">
        <is>
          <t>primary</t>
        </is>
      </c>
      <c r="F202" t="n">
        <v>919.2107750472589</v>
      </c>
      <c r="G202">
        <f>2*SQRT(F202/PI())</f>
        <v/>
      </c>
      <c r="H202" t="n">
        <v>116.0373130311137</v>
      </c>
      <c r="I202" t="n">
        <v>174</v>
      </c>
      <c r="J202" t="n">
        <v>513</v>
      </c>
      <c r="K202" t="n">
        <v>900.8265595463138</v>
      </c>
      <c r="L202" t="n">
        <v>937.5949905482041</v>
      </c>
      <c r="M202">
        <f>2*SQRT(K202/PI())</f>
        <v/>
      </c>
      <c r="N202">
        <f>2*SQRT(L202/PI())</f>
        <v/>
      </c>
      <c r="P202" t="inlineStr">
        <is>
          <t>是</t>
        </is>
      </c>
      <c r="Q202" t="inlineStr">
        <is>
          <t>auto_pipeline;review_png_green</t>
        </is>
      </c>
      <c r="R202" t="inlineStr">
        <is>
          <t>样品47</t>
        </is>
      </c>
    </row>
    <row r="203">
      <c r="A203" t="n">
        <v>202</v>
      </c>
      <c r="B203" t="inlineStr">
        <is>
          <t>47 (3).tif</t>
        </is>
      </c>
      <c r="C203" t="inlineStr">
        <is>
          <t>47(3)-V03</t>
        </is>
      </c>
      <c r="D203" t="n">
        <v>3</v>
      </c>
      <c r="E203" t="inlineStr">
        <is>
          <t>primary</t>
        </is>
      </c>
      <c r="F203" t="n">
        <v>826.5122873345936</v>
      </c>
      <c r="G203">
        <f>2*SQRT(F203/PI())</f>
        <v/>
      </c>
      <c r="H203" t="n">
        <v>108.3822688849076</v>
      </c>
      <c r="I203" t="n">
        <v>687</v>
      </c>
      <c r="J203" t="n">
        <v>179</v>
      </c>
      <c r="K203" t="n">
        <v>809.9820415879017</v>
      </c>
      <c r="L203" t="n">
        <v>843.0425330812855</v>
      </c>
      <c r="M203">
        <f>2*SQRT(K203/PI())</f>
        <v/>
      </c>
      <c r="N203">
        <f>2*SQRT(L203/PI())</f>
        <v/>
      </c>
      <c r="P203" t="inlineStr">
        <is>
          <t>是</t>
        </is>
      </c>
      <c r="Q203" t="inlineStr">
        <is>
          <t>auto_pipeline;review_png_green</t>
        </is>
      </c>
      <c r="R203" t="inlineStr">
        <is>
          <t>样品47</t>
        </is>
      </c>
    </row>
    <row r="204">
      <c r="A204" t="n">
        <v>203</v>
      </c>
      <c r="B204" t="inlineStr">
        <is>
          <t>47 (3).tif</t>
        </is>
      </c>
      <c r="C204" t="inlineStr">
        <is>
          <t>47(3)-V04</t>
        </is>
      </c>
      <c r="D204" t="n">
        <v>4</v>
      </c>
      <c r="E204" t="inlineStr">
        <is>
          <t>primary</t>
        </is>
      </c>
      <c r="F204" t="n">
        <v>798.6531190926275</v>
      </c>
      <c r="G204">
        <f>2*SQRT(F204/PI())</f>
        <v/>
      </c>
      <c r="H204" t="n">
        <v>106.0501119624013</v>
      </c>
      <c r="I204" t="n">
        <v>544</v>
      </c>
      <c r="J204" t="n">
        <v>347</v>
      </c>
      <c r="K204" t="n">
        <v>782.680056710775</v>
      </c>
      <c r="L204" t="n">
        <v>814.6261814744801</v>
      </c>
      <c r="M204">
        <f>2*SQRT(K204/PI())</f>
        <v/>
      </c>
      <c r="N204">
        <f>2*SQRT(L204/PI())</f>
        <v/>
      </c>
      <c r="O204" t="inlineStr">
        <is>
          <t>47(3)-P01</t>
        </is>
      </c>
      <c r="P204" t="inlineStr">
        <is>
          <t>是</t>
        </is>
      </c>
      <c r="Q204" t="inlineStr">
        <is>
          <t>auto_pipeline;review_png_green</t>
        </is>
      </c>
      <c r="R204" t="inlineStr">
        <is>
          <t>样品47</t>
        </is>
      </c>
    </row>
    <row r="205">
      <c r="A205" t="n">
        <v>204</v>
      </c>
      <c r="B205" t="inlineStr">
        <is>
          <t>47 (3).tif</t>
        </is>
      </c>
      <c r="C205" t="inlineStr">
        <is>
          <t>47(3)-V05</t>
        </is>
      </c>
      <c r="D205" t="n">
        <v>5</v>
      </c>
      <c r="E205" t="inlineStr">
        <is>
          <t>primary</t>
        </is>
      </c>
      <c r="F205" t="n">
        <v>737.0510396975426</v>
      </c>
      <c r="G205">
        <f>2*SQRT(F205/PI())</f>
        <v/>
      </c>
      <c r="H205" t="n">
        <v>101.4694450730863</v>
      </c>
      <c r="I205" t="n">
        <v>424</v>
      </c>
      <c r="J205" t="n">
        <v>458</v>
      </c>
      <c r="K205" t="n">
        <v>722.3100189035918</v>
      </c>
      <c r="L205" t="n">
        <v>751.7920604914934</v>
      </c>
      <c r="M205">
        <f>2*SQRT(K205/PI())</f>
        <v/>
      </c>
      <c r="N205">
        <f>2*SQRT(L205/PI())</f>
        <v/>
      </c>
      <c r="O205" t="inlineStr">
        <is>
          <t>47(3)-P01</t>
        </is>
      </c>
      <c r="P205" t="inlineStr">
        <is>
          <t>是</t>
        </is>
      </c>
      <c r="Q205" t="inlineStr">
        <is>
          <t>auto_pipeline;review_png_green</t>
        </is>
      </c>
      <c r="R205" t="inlineStr">
        <is>
          <t>样品47</t>
        </is>
      </c>
    </row>
    <row r="206">
      <c r="A206" t="n">
        <v>205</v>
      </c>
      <c r="B206" t="inlineStr">
        <is>
          <t>47 (4).tif</t>
        </is>
      </c>
      <c r="C206" t="inlineStr">
        <is>
          <t>47(4)-V01</t>
        </is>
      </c>
      <c r="D206" t="n">
        <v>1</v>
      </c>
      <c r="E206" t="inlineStr">
        <is>
          <t>primary</t>
        </is>
      </c>
      <c r="F206" t="n">
        <v>688.0198487712665</v>
      </c>
      <c r="G206">
        <f>2*SQRT(F206/PI())</f>
        <v/>
      </c>
      <c r="H206" t="n">
        <v>100.0068533679713</v>
      </c>
      <c r="I206" t="n">
        <v>601</v>
      </c>
      <c r="J206" t="n">
        <v>313</v>
      </c>
      <c r="K206" t="n">
        <v>674.2594517958412</v>
      </c>
      <c r="L206" t="n">
        <v>701.7802457466919</v>
      </c>
      <c r="M206">
        <f>2*SQRT(K206/PI())</f>
        <v/>
      </c>
      <c r="N206">
        <f>2*SQRT(L206/PI())</f>
        <v/>
      </c>
      <c r="P206" t="inlineStr">
        <is>
          <t>是</t>
        </is>
      </c>
      <c r="Q206" t="inlineStr">
        <is>
          <t>auto_pipeline;review_png_green</t>
        </is>
      </c>
      <c r="R206" t="inlineStr">
        <is>
          <t>样品47</t>
        </is>
      </c>
    </row>
    <row r="207">
      <c r="A207" t="n">
        <v>206</v>
      </c>
      <c r="B207" t="inlineStr">
        <is>
          <t>47 (4).tif</t>
        </is>
      </c>
      <c r="C207" t="inlineStr">
        <is>
          <t>47(4)-V02</t>
        </is>
      </c>
      <c r="D207" t="n">
        <v>2</v>
      </c>
      <c r="E207" t="inlineStr">
        <is>
          <t>primary</t>
        </is>
      </c>
      <c r="F207" t="n">
        <v>530.7892249527411</v>
      </c>
      <c r="G207">
        <f>2*SQRT(F207/PI())</f>
        <v/>
      </c>
      <c r="H207" t="n">
        <v>86.39219758303268</v>
      </c>
      <c r="I207" t="n">
        <v>435</v>
      </c>
      <c r="J207" t="n">
        <v>383</v>
      </c>
      <c r="K207" t="n">
        <v>520.1734404536862</v>
      </c>
      <c r="L207" t="n">
        <v>541.4050094517959</v>
      </c>
      <c r="M207">
        <f>2*SQRT(K207/PI())</f>
        <v/>
      </c>
      <c r="N207">
        <f>2*SQRT(L207/PI())</f>
        <v/>
      </c>
      <c r="P207" t="inlineStr">
        <is>
          <t>是</t>
        </is>
      </c>
      <c r="Q207" t="inlineStr">
        <is>
          <t>auto_pipeline;review_png_green</t>
        </is>
      </c>
      <c r="R207" t="inlineStr">
        <is>
          <t>样品47</t>
        </is>
      </c>
    </row>
    <row r="208">
      <c r="A208" t="n">
        <v>207</v>
      </c>
      <c r="B208" t="inlineStr">
        <is>
          <t>47 (4).tif</t>
        </is>
      </c>
      <c r="C208" t="inlineStr">
        <is>
          <t>47(4)-V03</t>
        </is>
      </c>
      <c r="D208" t="n">
        <v>3</v>
      </c>
      <c r="E208" t="inlineStr">
        <is>
          <t>primary</t>
        </is>
      </c>
      <c r="F208" t="n">
        <v>522.2353497164461</v>
      </c>
      <c r="G208">
        <f>2*SQRT(F208/PI())</f>
        <v/>
      </c>
      <c r="H208" t="n">
        <v>86.13750781701958</v>
      </c>
      <c r="I208" t="n">
        <v>141</v>
      </c>
      <c r="J208" t="n">
        <v>185</v>
      </c>
      <c r="K208" t="n">
        <v>511.7906427221171</v>
      </c>
      <c r="L208" t="n">
        <v>532.680056710775</v>
      </c>
      <c r="M208">
        <f>2*SQRT(K208/PI())</f>
        <v/>
      </c>
      <c r="N208">
        <f>2*SQRT(L208/PI())</f>
        <v/>
      </c>
      <c r="P208" t="inlineStr">
        <is>
          <t>是</t>
        </is>
      </c>
      <c r="Q208" t="inlineStr">
        <is>
          <t>auto_pipeline;review_png_green</t>
        </is>
      </c>
      <c r="R208" t="inlineStr">
        <is>
          <t>样品47</t>
        </is>
      </c>
    </row>
    <row r="209">
      <c r="A209" t="n">
        <v>208</v>
      </c>
      <c r="B209" t="inlineStr">
        <is>
          <t>47 (4).tif</t>
        </is>
      </c>
      <c r="C209" t="inlineStr">
        <is>
          <t>47(4)-V04</t>
        </is>
      </c>
      <c r="D209" t="n">
        <v>4</v>
      </c>
      <c r="E209" t="inlineStr">
        <is>
          <t>primary</t>
        </is>
      </c>
      <c r="F209" t="n">
        <v>354.6786389413988</v>
      </c>
      <c r="G209">
        <f>2*SQRT(F209/PI())</f>
        <v/>
      </c>
      <c r="H209" t="n">
        <v>70.95476440761401</v>
      </c>
      <c r="I209" t="n">
        <v>274</v>
      </c>
      <c r="J209" t="n">
        <v>116</v>
      </c>
      <c r="K209" t="n">
        <v>347.5850661625709</v>
      </c>
      <c r="L209" t="n">
        <v>361.7722117202268</v>
      </c>
      <c r="M209">
        <f>2*SQRT(K209/PI())</f>
        <v/>
      </c>
      <c r="N209">
        <f>2*SQRT(L209/PI())</f>
        <v/>
      </c>
      <c r="P209" t="inlineStr">
        <is>
          <t>是</t>
        </is>
      </c>
      <c r="Q209" t="inlineStr">
        <is>
          <t>auto_pipeline;review_png_green</t>
        </is>
      </c>
      <c r="R209" t="inlineStr">
        <is>
          <t>样品47</t>
        </is>
      </c>
    </row>
    <row r="210">
      <c r="A210" t="n">
        <v>209</v>
      </c>
      <c r="B210" t="inlineStr">
        <is>
          <t>47 (4).tif</t>
        </is>
      </c>
      <c r="C210" t="inlineStr">
        <is>
          <t>47(4)-V05</t>
        </is>
      </c>
      <c r="D210" t="n">
        <v>5</v>
      </c>
      <c r="E210" t="inlineStr">
        <is>
          <t>primary</t>
        </is>
      </c>
      <c r="F210" t="n">
        <v>169.8015122873346</v>
      </c>
      <c r="G210">
        <f>2*SQRT(F210/PI())</f>
        <v/>
      </c>
      <c r="H210" t="n">
        <v>51.19135410889335</v>
      </c>
      <c r="I210" t="n">
        <v>750</v>
      </c>
      <c r="J210" t="n">
        <v>109</v>
      </c>
      <c r="K210" t="n">
        <v>166.4054820415879</v>
      </c>
      <c r="L210" t="n">
        <v>173.1975425330813</v>
      </c>
      <c r="M210">
        <f>2*SQRT(K210/PI())</f>
        <v/>
      </c>
      <c r="N210">
        <f>2*SQRT(L210/PI())</f>
        <v/>
      </c>
      <c r="P210" t="inlineStr">
        <is>
          <t>是</t>
        </is>
      </c>
      <c r="Q210" t="inlineStr">
        <is>
          <t>auto_pipeline;review_png_green</t>
        </is>
      </c>
      <c r="R210" t="inlineStr">
        <is>
          <t>样品47</t>
        </is>
      </c>
    </row>
    <row r="211">
      <c r="A211" t="n">
        <v>210</v>
      </c>
      <c r="B211" t="inlineStr">
        <is>
          <t>47 (5).tif</t>
        </is>
      </c>
      <c r="C211" t="inlineStr">
        <is>
          <t>47(5)-V01</t>
        </is>
      </c>
      <c r="D211" t="n">
        <v>1</v>
      </c>
      <c r="E211" t="inlineStr">
        <is>
          <t>primary</t>
        </is>
      </c>
      <c r="F211" t="n">
        <v>643.0293005671077</v>
      </c>
      <c r="G211">
        <f>2*SQRT(F211/PI())</f>
        <v/>
      </c>
      <c r="H211" t="n">
        <v>96.42309657905413</v>
      </c>
      <c r="I211" t="n">
        <v>887</v>
      </c>
      <c r="J211" t="n">
        <v>303</v>
      </c>
      <c r="K211" t="n">
        <v>630.1687145557655</v>
      </c>
      <c r="L211" t="n">
        <v>655.8898865784499</v>
      </c>
      <c r="M211">
        <f>2*SQRT(K211/PI())</f>
        <v/>
      </c>
      <c r="N211">
        <f>2*SQRT(L211/PI())</f>
        <v/>
      </c>
      <c r="P211" t="inlineStr">
        <is>
          <t>是</t>
        </is>
      </c>
      <c r="Q211" t="inlineStr">
        <is>
          <t>auto_pipeline;review_png_green</t>
        </is>
      </c>
      <c r="R211" t="inlineStr">
        <is>
          <t>样品47</t>
        </is>
      </c>
    </row>
    <row r="212">
      <c r="A212" t="n">
        <v>211</v>
      </c>
      <c r="B212" t="inlineStr">
        <is>
          <t>47 (5).tif</t>
        </is>
      </c>
      <c r="C212" t="inlineStr">
        <is>
          <t>47(5)-V02</t>
        </is>
      </c>
      <c r="D212" t="n">
        <v>2</v>
      </c>
      <c r="E212" t="inlineStr">
        <is>
          <t>primary</t>
        </is>
      </c>
      <c r="F212" t="n">
        <v>550.945179584121</v>
      </c>
      <c r="G212">
        <f>2*SQRT(F212/PI())</f>
        <v/>
      </c>
      <c r="H212" t="n">
        <v>88.00398313480875</v>
      </c>
      <c r="I212" t="n">
        <v>572</v>
      </c>
      <c r="J212" t="n">
        <v>352</v>
      </c>
      <c r="K212" t="n">
        <v>539.9262759924386</v>
      </c>
      <c r="L212" t="n">
        <v>561.9640831758034</v>
      </c>
      <c r="M212">
        <f>2*SQRT(K212/PI())</f>
        <v/>
      </c>
      <c r="N212">
        <f>2*SQRT(L212/PI())</f>
        <v/>
      </c>
      <c r="P212" t="inlineStr">
        <is>
          <t>是</t>
        </is>
      </c>
      <c r="Q212" t="inlineStr">
        <is>
          <t>auto_pipeline;review_png_green</t>
        </is>
      </c>
      <c r="R212" t="inlineStr">
        <is>
          <t>样品47</t>
        </is>
      </c>
    </row>
    <row r="213">
      <c r="A213" t="n">
        <v>212</v>
      </c>
      <c r="B213" t="inlineStr">
        <is>
          <t>47 (5).tif</t>
        </is>
      </c>
      <c r="C213" t="inlineStr">
        <is>
          <t>47(5)-V03</t>
        </is>
      </c>
      <c r="D213" t="n">
        <v>3</v>
      </c>
      <c r="E213" t="inlineStr">
        <is>
          <t>primary</t>
        </is>
      </c>
      <c r="F213" t="n">
        <v>408.2939508506616</v>
      </c>
      <c r="G213">
        <f>2*SQRT(F213/PI())</f>
        <v/>
      </c>
      <c r="H213" t="n">
        <v>75.89561698229416</v>
      </c>
      <c r="I213" t="n">
        <v>427</v>
      </c>
      <c r="J213" t="n">
        <v>395</v>
      </c>
      <c r="K213" t="n">
        <v>400.1280718336484</v>
      </c>
      <c r="L213" t="n">
        <v>416.4598298676749</v>
      </c>
      <c r="M213">
        <f>2*SQRT(K213/PI())</f>
        <v/>
      </c>
      <c r="N213">
        <f>2*SQRT(L213/PI())</f>
        <v/>
      </c>
      <c r="O213" t="inlineStr">
        <is>
          <t>47(5)-P01</t>
        </is>
      </c>
      <c r="P213" t="inlineStr">
        <is>
          <t>是</t>
        </is>
      </c>
      <c r="Q213" t="inlineStr">
        <is>
          <t>auto_pipeline;review_png_green</t>
        </is>
      </c>
      <c r="R213" t="inlineStr">
        <is>
          <t>样品47</t>
        </is>
      </c>
    </row>
    <row r="214">
      <c r="A214" t="n">
        <v>213</v>
      </c>
      <c r="B214" t="inlineStr">
        <is>
          <t>47 (5).tif</t>
        </is>
      </c>
      <c r="C214" t="inlineStr">
        <is>
          <t>47(5)-V04</t>
        </is>
      </c>
      <c r="D214" t="n">
        <v>4</v>
      </c>
      <c r="E214" t="inlineStr">
        <is>
          <t>primary</t>
        </is>
      </c>
      <c r="F214" t="n">
        <v>54.2296786389414</v>
      </c>
      <c r="G214">
        <f>2*SQRT(F214/PI())</f>
        <v/>
      </c>
      <c r="H214" t="n">
        <v>30.74752146783082</v>
      </c>
      <c r="I214" t="n">
        <v>455</v>
      </c>
      <c r="J214" t="n">
        <v>423</v>
      </c>
      <c r="K214" t="n">
        <v>53.14508506616257</v>
      </c>
      <c r="L214" t="n">
        <v>55.31427221172023</v>
      </c>
      <c r="M214">
        <f>2*SQRT(K214/PI())</f>
        <v/>
      </c>
      <c r="N214">
        <f>2*SQRT(L214/PI())</f>
        <v/>
      </c>
      <c r="O214" t="inlineStr">
        <is>
          <t>47(5)-P01</t>
        </is>
      </c>
      <c r="P214" t="inlineStr">
        <is>
          <t>是</t>
        </is>
      </c>
      <c r="Q214" t="inlineStr">
        <is>
          <t>auto_pipeline;review_png_green</t>
        </is>
      </c>
      <c r="R214" t="inlineStr">
        <is>
          <t>样品47</t>
        </is>
      </c>
    </row>
    <row r="215">
      <c r="A215" t="n">
        <v>214</v>
      </c>
      <c r="B215" t="inlineStr">
        <is>
          <t>47 (6).tif</t>
        </is>
      </c>
      <c r="C215" t="inlineStr">
        <is>
          <t>47(6)-V01</t>
        </is>
      </c>
      <c r="D215" t="n">
        <v>1</v>
      </c>
      <c r="E215" t="inlineStr">
        <is>
          <t>primary</t>
        </is>
      </c>
      <c r="F215" t="n">
        <v>550.6852551984878</v>
      </c>
      <c r="G215">
        <f>2*SQRT(F215/PI())</f>
        <v/>
      </c>
      <c r="H215" t="n">
        <v>89.2555830012197</v>
      </c>
      <c r="I215" t="n">
        <v>527</v>
      </c>
      <c r="J215" t="n">
        <v>437</v>
      </c>
      <c r="K215" t="n">
        <v>539.671550094518</v>
      </c>
      <c r="L215" t="n">
        <v>561.6989603024575</v>
      </c>
      <c r="M215">
        <f>2*SQRT(K215/PI())</f>
        <v/>
      </c>
      <c r="N215">
        <f>2*SQRT(L215/PI())</f>
        <v/>
      </c>
      <c r="P215" t="inlineStr">
        <is>
          <t>是</t>
        </is>
      </c>
      <c r="Q215" t="inlineStr">
        <is>
          <t>auto_pipeline;review_png_green</t>
        </is>
      </c>
      <c r="R215" t="inlineStr">
        <is>
          <t>样品47</t>
        </is>
      </c>
    </row>
    <row r="216">
      <c r="A216" t="n">
        <v>215</v>
      </c>
      <c r="B216" t="inlineStr">
        <is>
          <t>47 (6).tif</t>
        </is>
      </c>
      <c r="C216" t="inlineStr">
        <is>
          <t>47(6)-V02</t>
        </is>
      </c>
      <c r="D216" t="n">
        <v>2</v>
      </c>
      <c r="E216" t="inlineStr">
        <is>
          <t>primary</t>
        </is>
      </c>
      <c r="F216" t="n">
        <v>439.1776937618147</v>
      </c>
      <c r="G216">
        <f>2*SQRT(F216/PI())</f>
        <v/>
      </c>
      <c r="H216" t="n">
        <v>78.48246367081352</v>
      </c>
      <c r="I216" t="n">
        <v>544</v>
      </c>
      <c r="J216" t="n">
        <v>306</v>
      </c>
      <c r="K216" t="n">
        <v>430.3941398865784</v>
      </c>
      <c r="L216" t="n">
        <v>447.961247637051</v>
      </c>
      <c r="M216">
        <f>2*SQRT(K216/PI())</f>
        <v/>
      </c>
      <c r="N216">
        <f>2*SQRT(L216/PI())</f>
        <v/>
      </c>
      <c r="P216" t="inlineStr">
        <is>
          <t>是</t>
        </is>
      </c>
      <c r="Q216" t="inlineStr">
        <is>
          <t>auto_pipeline;review_png_green</t>
        </is>
      </c>
      <c r="R216" t="inlineStr">
        <is>
          <t>样品47</t>
        </is>
      </c>
    </row>
    <row r="217">
      <c r="A217" t="n">
        <v>216</v>
      </c>
      <c r="B217" t="inlineStr">
        <is>
          <t>47 (6).tif</t>
        </is>
      </c>
      <c r="C217" t="inlineStr">
        <is>
          <t>47(6)-V03</t>
        </is>
      </c>
      <c r="D217" t="n">
        <v>3</v>
      </c>
      <c r="E217" t="inlineStr">
        <is>
          <t>primary</t>
        </is>
      </c>
      <c r="F217" t="n">
        <v>355.1984877126654</v>
      </c>
      <c r="G217">
        <f>2*SQRT(F217/PI())</f>
        <v/>
      </c>
      <c r="H217" t="n">
        <v>73.92364574515301</v>
      </c>
      <c r="I217" t="n">
        <v>510</v>
      </c>
      <c r="J217" t="n">
        <v>176</v>
      </c>
      <c r="K217" t="n">
        <v>348.094517958412</v>
      </c>
      <c r="L217" t="n">
        <v>362.3024574669187</v>
      </c>
      <c r="M217">
        <f>2*SQRT(K217/PI())</f>
        <v/>
      </c>
      <c r="N217">
        <f>2*SQRT(L217/PI())</f>
        <v/>
      </c>
      <c r="O217" t="inlineStr">
        <is>
          <t>47(6)-P01</t>
        </is>
      </c>
      <c r="P217" t="inlineStr">
        <is>
          <t>是</t>
        </is>
      </c>
      <c r="Q217" t="inlineStr">
        <is>
          <t>auto_pipeline;review_png_green</t>
        </is>
      </c>
      <c r="R217" t="inlineStr">
        <is>
          <t>样品47</t>
        </is>
      </c>
    </row>
    <row r="218">
      <c r="A218" t="n">
        <v>217</v>
      </c>
      <c r="B218" t="inlineStr">
        <is>
          <t>47 (6).tif</t>
        </is>
      </c>
      <c r="C218" t="inlineStr">
        <is>
          <t>47(6)-V04</t>
        </is>
      </c>
      <c r="D218" t="n">
        <v>4</v>
      </c>
      <c r="E218" t="inlineStr">
        <is>
          <t>primary</t>
        </is>
      </c>
      <c r="F218" t="n">
        <v>87.5945179584121</v>
      </c>
      <c r="G218">
        <f>2*SQRT(F218/PI())</f>
        <v/>
      </c>
      <c r="H218" t="n">
        <v>36.72898207021796</v>
      </c>
      <c r="I218" t="n">
        <v>531</v>
      </c>
      <c r="J218" t="n">
        <v>206</v>
      </c>
      <c r="K218" t="n">
        <v>85.84262759924385</v>
      </c>
      <c r="L218" t="n">
        <v>89.34640831758034</v>
      </c>
      <c r="M218">
        <f>2*SQRT(K218/PI())</f>
        <v/>
      </c>
      <c r="N218">
        <f>2*SQRT(L218/PI())</f>
        <v/>
      </c>
      <c r="O218" t="inlineStr">
        <is>
          <t>47(6)-P01</t>
        </is>
      </c>
      <c r="P218" t="inlineStr">
        <is>
          <t>是</t>
        </is>
      </c>
      <c r="Q218" t="inlineStr">
        <is>
          <t>auto_pipeline;review_png_green</t>
        </is>
      </c>
      <c r="R218" t="inlineStr">
        <is>
          <t>样品47</t>
        </is>
      </c>
    </row>
    <row r="219">
      <c r="A219" t="n">
        <v>218</v>
      </c>
      <c r="B219" t="inlineStr">
        <is>
          <t>47 (7).tif</t>
        </is>
      </c>
      <c r="C219" t="inlineStr">
        <is>
          <t>47(7)-V01</t>
        </is>
      </c>
      <c r="D219" t="n">
        <v>1</v>
      </c>
      <c r="E219" t="inlineStr">
        <is>
          <t>primary</t>
        </is>
      </c>
      <c r="F219" t="n">
        <v>617.3440453686201</v>
      </c>
      <c r="G219">
        <f>2*SQRT(F219/PI())</f>
        <v/>
      </c>
      <c r="H219" t="n">
        <v>95.42618647865626</v>
      </c>
      <c r="I219" t="n">
        <v>159</v>
      </c>
      <c r="J219" t="n">
        <v>297</v>
      </c>
      <c r="K219" t="n">
        <v>604.9971644612476</v>
      </c>
      <c r="L219" t="n">
        <v>629.6909262759925</v>
      </c>
      <c r="M219">
        <f>2*SQRT(K219/PI())</f>
        <v/>
      </c>
      <c r="N219">
        <f>2*SQRT(L219/PI())</f>
        <v/>
      </c>
      <c r="O219" t="inlineStr">
        <is>
          <t>47(7)-P01</t>
        </is>
      </c>
      <c r="P219" t="inlineStr">
        <is>
          <t>是</t>
        </is>
      </c>
      <c r="Q219" t="inlineStr">
        <is>
          <t>auto_pipeline;review_png_green</t>
        </is>
      </c>
      <c r="R219" t="inlineStr">
        <is>
          <t>样品47</t>
        </is>
      </c>
    </row>
    <row r="220">
      <c r="A220" t="n">
        <v>219</v>
      </c>
      <c r="B220" t="inlineStr">
        <is>
          <t>47 (7).tif</t>
        </is>
      </c>
      <c r="C220" t="inlineStr">
        <is>
          <t>47(7)-V02</t>
        </is>
      </c>
      <c r="D220" t="n">
        <v>2</v>
      </c>
      <c r="E220" t="inlineStr">
        <is>
          <t>primary</t>
        </is>
      </c>
      <c r="F220" t="n">
        <v>503.4971644612476</v>
      </c>
      <c r="G220">
        <f>2*SQRT(F220/PI())</f>
        <v/>
      </c>
      <c r="H220" t="n">
        <v>84.42022634589154</v>
      </c>
      <c r="I220" t="n">
        <v>445</v>
      </c>
      <c r="J220" t="n">
        <v>398</v>
      </c>
      <c r="K220" t="n">
        <v>493.4272211720227</v>
      </c>
      <c r="L220" t="n">
        <v>513.5671077504726</v>
      </c>
      <c r="M220">
        <f>2*SQRT(K220/PI())</f>
        <v/>
      </c>
      <c r="N220">
        <f>2*SQRT(L220/PI())</f>
        <v/>
      </c>
      <c r="P220" t="inlineStr">
        <is>
          <t>是</t>
        </is>
      </c>
      <c r="Q220" t="inlineStr">
        <is>
          <t>auto_pipeline;review_png_green</t>
        </is>
      </c>
      <c r="R220" t="inlineStr">
        <is>
          <t>样品47</t>
        </is>
      </c>
    </row>
    <row r="221">
      <c r="A221" t="n">
        <v>220</v>
      </c>
      <c r="B221" t="inlineStr">
        <is>
          <t>47 (7).tif</t>
        </is>
      </c>
      <c r="C221" t="inlineStr">
        <is>
          <t>47(7)-V03</t>
        </is>
      </c>
      <c r="D221" t="n">
        <v>3</v>
      </c>
      <c r="E221" t="inlineStr">
        <is>
          <t>primary</t>
        </is>
      </c>
      <c r="F221" t="n">
        <v>501.6776937618147</v>
      </c>
      <c r="G221">
        <f>2*SQRT(F221/PI())</f>
        <v/>
      </c>
      <c r="H221" t="n">
        <v>84.80226099491119</v>
      </c>
      <c r="I221" t="n">
        <v>132</v>
      </c>
      <c r="J221" t="n">
        <v>427</v>
      </c>
      <c r="K221" t="n">
        <v>491.6441398865784</v>
      </c>
      <c r="L221" t="n">
        <v>511.711247637051</v>
      </c>
      <c r="M221">
        <f>2*SQRT(K221/PI())</f>
        <v/>
      </c>
      <c r="N221">
        <f>2*SQRT(L221/PI())</f>
        <v/>
      </c>
      <c r="P221" t="inlineStr">
        <is>
          <t>是</t>
        </is>
      </c>
      <c r="Q221" t="inlineStr">
        <is>
          <t>auto_pipeline;review_png_green</t>
        </is>
      </c>
      <c r="R221" t="inlineStr">
        <is>
          <t>样品47</t>
        </is>
      </c>
    </row>
    <row r="222">
      <c r="A222" t="n">
        <v>221</v>
      </c>
      <c r="B222" t="inlineStr">
        <is>
          <t>47 (7).tif</t>
        </is>
      </c>
      <c r="C222" t="inlineStr">
        <is>
          <t>47(7)-V04</t>
        </is>
      </c>
      <c r="D222" t="n">
        <v>4</v>
      </c>
      <c r="E222" t="inlineStr">
        <is>
          <t>primary</t>
        </is>
      </c>
      <c r="F222" t="n">
        <v>467.5803402646503</v>
      </c>
      <c r="G222">
        <f>2*SQRT(F222/PI())</f>
        <v/>
      </c>
      <c r="H222" t="n">
        <v>84.06004066052644</v>
      </c>
      <c r="I222" t="n">
        <v>194</v>
      </c>
      <c r="J222" t="n">
        <v>100</v>
      </c>
      <c r="K222" t="n">
        <v>458.2287334593573</v>
      </c>
      <c r="L222" t="n">
        <v>476.9319470699432</v>
      </c>
      <c r="M222">
        <f>2*SQRT(K222/PI())</f>
        <v/>
      </c>
      <c r="N222">
        <f>2*SQRT(L222/PI())</f>
        <v/>
      </c>
      <c r="P222" t="inlineStr">
        <is>
          <t>是</t>
        </is>
      </c>
      <c r="Q222" t="inlineStr">
        <is>
          <t>auto_pipeline;review_png_green</t>
        </is>
      </c>
      <c r="R222" t="inlineStr">
        <is>
          <t>样品47</t>
        </is>
      </c>
    </row>
    <row r="223">
      <c r="A223" t="n">
        <v>222</v>
      </c>
      <c r="B223" t="inlineStr">
        <is>
          <t>47 (7).tif</t>
        </is>
      </c>
      <c r="C223" t="inlineStr">
        <is>
          <t>47(7)-V05</t>
        </is>
      </c>
      <c r="D223" t="n">
        <v>5</v>
      </c>
      <c r="E223" t="inlineStr">
        <is>
          <t>primary</t>
        </is>
      </c>
      <c r="F223" t="n">
        <v>374.7637051039698</v>
      </c>
      <c r="G223">
        <f>2*SQRT(F223/PI())</f>
        <v/>
      </c>
      <c r="H223" t="n">
        <v>72.7993907617486</v>
      </c>
      <c r="I223" t="n">
        <v>641</v>
      </c>
      <c r="J223" t="n">
        <v>295</v>
      </c>
      <c r="K223" t="n">
        <v>367.2684310018903</v>
      </c>
      <c r="L223" t="n">
        <v>382.2589792060492</v>
      </c>
      <c r="M223">
        <f>2*SQRT(K223/PI())</f>
        <v/>
      </c>
      <c r="N223">
        <f>2*SQRT(L223/PI())</f>
        <v/>
      </c>
      <c r="P223" t="inlineStr">
        <is>
          <t>是</t>
        </is>
      </c>
      <c r="Q223" t="inlineStr">
        <is>
          <t>auto_pipeline;review_png_green</t>
        </is>
      </c>
      <c r="R223" t="inlineStr">
        <is>
          <t>样品47</t>
        </is>
      </c>
    </row>
    <row r="224">
      <c r="A224" t="n">
        <v>223</v>
      </c>
      <c r="B224" t="inlineStr">
        <is>
          <t>47 (7).tif</t>
        </is>
      </c>
      <c r="C224" t="inlineStr">
        <is>
          <t>47(7)-V06</t>
        </is>
      </c>
      <c r="D224" t="n">
        <v>6</v>
      </c>
      <c r="E224" t="inlineStr">
        <is>
          <t>primary</t>
        </is>
      </c>
      <c r="F224" t="n">
        <v>352.882797731569</v>
      </c>
      <c r="G224">
        <f>2*SQRT(F224/PI())</f>
        <v/>
      </c>
      <c r="H224" t="n">
        <v>71.8243296250053</v>
      </c>
      <c r="I224" t="n">
        <v>560</v>
      </c>
      <c r="J224" t="n">
        <v>366</v>
      </c>
      <c r="K224" t="n">
        <v>345.8251417769376</v>
      </c>
      <c r="L224" t="n">
        <v>359.9404536862004</v>
      </c>
      <c r="M224">
        <f>2*SQRT(K224/PI())</f>
        <v/>
      </c>
      <c r="N224">
        <f>2*SQRT(L224/PI())</f>
        <v/>
      </c>
      <c r="P224" t="inlineStr">
        <is>
          <t>是</t>
        </is>
      </c>
      <c r="Q224" t="inlineStr">
        <is>
          <t>auto_pipeline;review_png_green</t>
        </is>
      </c>
      <c r="R224" t="inlineStr">
        <is>
          <t>样品47</t>
        </is>
      </c>
    </row>
    <row r="225">
      <c r="A225" t="n">
        <v>224</v>
      </c>
      <c r="B225" t="inlineStr">
        <is>
          <t>47 (7).tif</t>
        </is>
      </c>
      <c r="C225" t="inlineStr">
        <is>
          <t>47(7)-V07</t>
        </is>
      </c>
      <c r="D225" t="n">
        <v>7</v>
      </c>
      <c r="E225" t="inlineStr">
        <is>
          <t>primary</t>
        </is>
      </c>
      <c r="F225" t="n">
        <v>233.8846880907372</v>
      </c>
      <c r="G225">
        <f>2*SQRT(F225/PI())</f>
        <v/>
      </c>
      <c r="H225" t="n">
        <v>59.43942474282306</v>
      </c>
      <c r="I225" t="n">
        <v>911</v>
      </c>
      <c r="J225" t="n">
        <v>206</v>
      </c>
      <c r="K225" t="n">
        <v>229.2069943289225</v>
      </c>
      <c r="L225" t="n">
        <v>238.562381852552</v>
      </c>
      <c r="M225">
        <f>2*SQRT(K225/PI())</f>
        <v/>
      </c>
      <c r="N225">
        <f>2*SQRT(L225/PI())</f>
        <v/>
      </c>
      <c r="P225" t="inlineStr">
        <is>
          <t>是</t>
        </is>
      </c>
      <c r="Q225" t="inlineStr">
        <is>
          <t>auto_pipeline;review_png_green</t>
        </is>
      </c>
      <c r="R225" t="inlineStr">
        <is>
          <t>样品47</t>
        </is>
      </c>
    </row>
    <row r="226">
      <c r="A226" t="n">
        <v>225</v>
      </c>
      <c r="B226" t="inlineStr">
        <is>
          <t>47 (7).tif</t>
        </is>
      </c>
      <c r="C226" t="inlineStr">
        <is>
          <t>47(7)-V08</t>
        </is>
      </c>
      <c r="D226" t="n">
        <v>8</v>
      </c>
      <c r="E226" t="inlineStr">
        <is>
          <t>primary</t>
        </is>
      </c>
      <c r="F226" t="n">
        <v>222.1880907372401</v>
      </c>
      <c r="G226">
        <f>2*SQRT(F226/PI())</f>
        <v/>
      </c>
      <c r="H226" t="n">
        <v>58.1878248764121</v>
      </c>
      <c r="I226" t="n">
        <v>548</v>
      </c>
      <c r="J226" t="n">
        <v>114</v>
      </c>
      <c r="K226" t="n">
        <v>217.7443289224953</v>
      </c>
      <c r="L226" t="n">
        <v>226.6318525519849</v>
      </c>
      <c r="M226">
        <f>2*SQRT(K226/PI())</f>
        <v/>
      </c>
      <c r="N226">
        <f>2*SQRT(L226/PI())</f>
        <v/>
      </c>
      <c r="P226" t="inlineStr">
        <is>
          <t>是</t>
        </is>
      </c>
      <c r="Q226" t="inlineStr">
        <is>
          <t>auto_pipeline;review_png_green</t>
        </is>
      </c>
      <c r="R226" t="inlineStr">
        <is>
          <t>样品47</t>
        </is>
      </c>
    </row>
    <row r="227">
      <c r="A227" t="n">
        <v>226</v>
      </c>
      <c r="B227" t="inlineStr">
        <is>
          <t>47 (7).tif</t>
        </is>
      </c>
      <c r="C227" t="inlineStr">
        <is>
          <t>47(7)-V09</t>
        </is>
      </c>
      <c r="D227" t="n">
        <v>9</v>
      </c>
      <c r="E227" t="inlineStr">
        <is>
          <t>primary</t>
        </is>
      </c>
      <c r="F227" t="n">
        <v>208.5302457466919</v>
      </c>
      <c r="G227">
        <f>2*SQRT(F227/PI())</f>
        <v/>
      </c>
      <c r="H227" t="n">
        <v>58.4425146424252</v>
      </c>
      <c r="I227" t="n">
        <v>188</v>
      </c>
      <c r="J227" t="n">
        <v>314</v>
      </c>
      <c r="K227" t="n">
        <v>204.359640831758</v>
      </c>
      <c r="L227" t="n">
        <v>212.7008506616257</v>
      </c>
      <c r="M227">
        <f>2*SQRT(K227/PI())</f>
        <v/>
      </c>
      <c r="N227">
        <f>2*SQRT(L227/PI())</f>
        <v/>
      </c>
      <c r="O227" t="inlineStr">
        <is>
          <t>47(7)-P01</t>
        </is>
      </c>
      <c r="P227" t="inlineStr">
        <is>
          <t>是</t>
        </is>
      </c>
      <c r="Q227" t="inlineStr">
        <is>
          <t>auto_pipeline;review_png_green</t>
        </is>
      </c>
      <c r="R227" t="inlineStr">
        <is>
          <t>样品47</t>
        </is>
      </c>
    </row>
    <row r="228">
      <c r="A228" t="n">
        <v>227</v>
      </c>
      <c r="B228" t="inlineStr">
        <is>
          <t>47 (8).tif</t>
        </is>
      </c>
      <c r="C228" t="inlineStr">
        <is>
          <t>47(8)-V01</t>
        </is>
      </c>
      <c r="D228" t="n">
        <v>1</v>
      </c>
      <c r="E228" t="inlineStr">
        <is>
          <t>primary</t>
        </is>
      </c>
      <c r="F228" t="n">
        <v>8649.881852551986</v>
      </c>
      <c r="G228">
        <f>2*SQRT(F228/PI())</f>
        <v/>
      </c>
      <c r="H228" t="n">
        <v>408.5233205038568</v>
      </c>
      <c r="I228" t="n">
        <v>390</v>
      </c>
      <c r="J228" t="n">
        <v>169</v>
      </c>
      <c r="K228" t="n">
        <v>8476.884215500946</v>
      </c>
      <c r="L228" t="n">
        <v>8822.879489603025</v>
      </c>
      <c r="M228">
        <f>2*SQRT(K228/PI())</f>
        <v/>
      </c>
      <c r="N228">
        <f>2*SQRT(L228/PI())</f>
        <v/>
      </c>
      <c r="P228" t="inlineStr">
        <is>
          <t>是</t>
        </is>
      </c>
      <c r="Q228" t="inlineStr">
        <is>
          <t>auto_pipeline;review_png_green</t>
        </is>
      </c>
      <c r="R228" t="inlineStr">
        <is>
          <t>样品47</t>
        </is>
      </c>
    </row>
    <row r="229">
      <c r="A229" t="n">
        <v>228</v>
      </c>
      <c r="B229" t="inlineStr">
        <is>
          <t>47 (8).tif</t>
        </is>
      </c>
      <c r="C229" t="inlineStr">
        <is>
          <t>47(8)-V02</t>
        </is>
      </c>
      <c r="D229" t="n">
        <v>2</v>
      </c>
      <c r="E229" t="inlineStr">
        <is>
          <t>primary</t>
        </is>
      </c>
      <c r="F229" t="n">
        <v>2321.502835538752</v>
      </c>
      <c r="G229">
        <f>2*SQRT(F229/PI())</f>
        <v/>
      </c>
      <c r="H229" t="n">
        <v>183.2756746333578</v>
      </c>
      <c r="I229" t="n">
        <v>927</v>
      </c>
      <c r="J229" t="n">
        <v>481</v>
      </c>
      <c r="K229" t="n">
        <v>2275.072778827977</v>
      </c>
      <c r="L229" t="n">
        <v>2367.932892249527</v>
      </c>
      <c r="M229">
        <f>2*SQRT(K229/PI())</f>
        <v/>
      </c>
      <c r="N229">
        <f>2*SQRT(L229/PI())</f>
        <v/>
      </c>
      <c r="P229" t="inlineStr">
        <is>
          <t>是</t>
        </is>
      </c>
      <c r="Q229" t="inlineStr">
        <is>
          <t>auto_pipeline;review_png_green</t>
        </is>
      </c>
      <c r="R229" t="inlineStr">
        <is>
          <t>样品47</t>
        </is>
      </c>
    </row>
    <row r="230">
      <c r="A230" t="n">
        <v>229</v>
      </c>
      <c r="B230" t="inlineStr">
        <is>
          <t>47 (8).tif</t>
        </is>
      </c>
      <c r="C230" t="inlineStr">
        <is>
          <t>47(8)-V03</t>
        </is>
      </c>
      <c r="D230" t="n">
        <v>3</v>
      </c>
      <c r="E230" t="inlineStr">
        <is>
          <t>primary</t>
        </is>
      </c>
      <c r="F230" t="n">
        <v>901.1105860113422</v>
      </c>
      <c r="G230">
        <f>2*SQRT(F230/PI())</f>
        <v/>
      </c>
      <c r="H230" t="n">
        <v>112.6027500888576</v>
      </c>
      <c r="I230" t="n">
        <v>600</v>
      </c>
      <c r="J230" t="n">
        <v>322</v>
      </c>
      <c r="K230" t="n">
        <v>883.0883742911153</v>
      </c>
      <c r="L230" t="n">
        <v>919.1327977315691</v>
      </c>
      <c r="M230">
        <f>2*SQRT(K230/PI())</f>
        <v/>
      </c>
      <c r="N230">
        <f>2*SQRT(L230/PI())</f>
        <v/>
      </c>
      <c r="O230" t="inlineStr">
        <is>
          <t>47(8)-P01</t>
        </is>
      </c>
      <c r="P230" t="inlineStr">
        <is>
          <t>是</t>
        </is>
      </c>
      <c r="Q230" t="inlineStr">
        <is>
          <t>auto_pipeline;review_png_green</t>
        </is>
      </c>
      <c r="R230" t="inlineStr">
        <is>
          <t>样品47</t>
        </is>
      </c>
    </row>
    <row r="231">
      <c r="A231" t="n">
        <v>230</v>
      </c>
      <c r="B231" t="inlineStr">
        <is>
          <t>47 (8).tif</t>
        </is>
      </c>
      <c r="C231" t="inlineStr">
        <is>
          <t>47(8)-V04</t>
        </is>
      </c>
      <c r="D231" t="n">
        <v>4</v>
      </c>
      <c r="E231" t="inlineStr">
        <is>
          <t>primary</t>
        </is>
      </c>
      <c r="F231" t="n">
        <v>780.694706994329</v>
      </c>
      <c r="G231">
        <f>2*SQRT(F231/PI())</f>
        <v/>
      </c>
      <c r="H231" t="n">
        <v>105.4352365110231</v>
      </c>
      <c r="I231" t="n">
        <v>783</v>
      </c>
      <c r="J231" t="n">
        <v>336</v>
      </c>
      <c r="K231" t="n">
        <v>765.0808128544423</v>
      </c>
      <c r="L231" t="n">
        <v>796.3086011342156</v>
      </c>
      <c r="M231">
        <f>2*SQRT(K231/PI())</f>
        <v/>
      </c>
      <c r="N231">
        <f>2*SQRT(L231/PI())</f>
        <v/>
      </c>
      <c r="O231" t="inlineStr">
        <is>
          <t>47(8)-P01</t>
        </is>
      </c>
      <c r="P231" t="inlineStr">
        <is>
          <t>是</t>
        </is>
      </c>
      <c r="Q231" t="inlineStr">
        <is>
          <t>auto_pipeline;review_png_green</t>
        </is>
      </c>
      <c r="R231" t="inlineStr">
        <is>
          <t>样品47</t>
        </is>
      </c>
    </row>
    <row r="232">
      <c r="A232" t="n">
        <v>231</v>
      </c>
      <c r="B232" t="inlineStr">
        <is>
          <t>47 (8).tif</t>
        </is>
      </c>
      <c r="C232" t="inlineStr">
        <is>
          <t>47(8)-V05</t>
        </is>
      </c>
      <c r="D232" t="n">
        <v>5</v>
      </c>
      <c r="E232" t="inlineStr">
        <is>
          <t>primary</t>
        </is>
      </c>
      <c r="F232" t="n">
        <v>346.5737240075615</v>
      </c>
      <c r="G232">
        <f>2*SQRT(F232/PI())</f>
        <v/>
      </c>
      <c r="H232" t="n">
        <v>70.21254407322925</v>
      </c>
      <c r="I232" t="n">
        <v>319</v>
      </c>
      <c r="J232" t="n">
        <v>445</v>
      </c>
      <c r="K232" t="n">
        <v>339.6422495274102</v>
      </c>
      <c r="L232" t="n">
        <v>353.5051984877127</v>
      </c>
      <c r="M232">
        <f>2*SQRT(K232/PI())</f>
        <v/>
      </c>
      <c r="N232">
        <f>2*SQRT(L232/PI())</f>
        <v/>
      </c>
      <c r="P232" t="inlineStr">
        <is>
          <t>是</t>
        </is>
      </c>
      <c r="Q232" t="inlineStr">
        <is>
          <t>auto_pipeline;review_png_green</t>
        </is>
      </c>
      <c r="R232" t="inlineStr">
        <is>
          <t>样品47</t>
        </is>
      </c>
    </row>
    <row r="233">
      <c r="A233" t="n">
        <v>232</v>
      </c>
      <c r="B233" t="inlineStr">
        <is>
          <t>48 (1).tif</t>
        </is>
      </c>
      <c r="C233" t="inlineStr">
        <is>
          <t>48(1)-V01</t>
        </is>
      </c>
      <c r="D233" t="n">
        <v>1</v>
      </c>
      <c r="E233" t="inlineStr">
        <is>
          <t>primary</t>
        </is>
      </c>
      <c r="F233" t="n">
        <v>704.0879017013233</v>
      </c>
      <c r="G233">
        <f>2*SQRT(F233/PI())</f>
        <v/>
      </c>
      <c r="H233" t="n">
        <v>99.49747383594513</v>
      </c>
      <c r="I233" t="n">
        <v>491</v>
      </c>
      <c r="J233" t="n">
        <v>461</v>
      </c>
      <c r="K233" t="n">
        <v>690.0061436672968</v>
      </c>
      <c r="L233" t="n">
        <v>718.1696597353498</v>
      </c>
      <c r="M233">
        <f>2*SQRT(K233/PI())</f>
        <v/>
      </c>
      <c r="N233">
        <f>2*SQRT(L233/PI())</f>
        <v/>
      </c>
      <c r="O233" t="inlineStr">
        <is>
          <t>48(1)-P01</t>
        </is>
      </c>
      <c r="P233" t="inlineStr">
        <is>
          <t>是</t>
        </is>
      </c>
      <c r="Q233" t="inlineStr">
        <is>
          <t>auto_pipeline;review_png_green</t>
        </is>
      </c>
      <c r="R233" t="inlineStr">
        <is>
          <t>样品48</t>
        </is>
      </c>
    </row>
    <row r="234">
      <c r="A234" t="n">
        <v>233</v>
      </c>
      <c r="B234" t="inlineStr">
        <is>
          <t>48 (1).tif</t>
        </is>
      </c>
      <c r="C234" t="inlineStr">
        <is>
          <t>48(1)-V02</t>
        </is>
      </c>
      <c r="D234" t="n">
        <v>2</v>
      </c>
      <c r="E234" t="inlineStr">
        <is>
          <t>primary</t>
        </is>
      </c>
      <c r="F234" t="n">
        <v>653.5916824196597</v>
      </c>
      <c r="G234">
        <f>2*SQRT(F234/PI())</f>
        <v/>
      </c>
      <c r="H234" t="n">
        <v>96.29575169604757</v>
      </c>
      <c r="I234" t="n">
        <v>916</v>
      </c>
      <c r="J234" t="n">
        <v>266</v>
      </c>
      <c r="K234" t="n">
        <v>640.5198487712665</v>
      </c>
      <c r="L234" t="n">
        <v>666.6635160680529</v>
      </c>
      <c r="M234">
        <f>2*SQRT(K234/PI())</f>
        <v/>
      </c>
      <c r="N234">
        <f>2*SQRT(L234/PI())</f>
        <v/>
      </c>
      <c r="P234" t="inlineStr">
        <is>
          <t>是</t>
        </is>
      </c>
      <c r="Q234" t="inlineStr">
        <is>
          <t>auto_pipeline;review_png_green</t>
        </is>
      </c>
      <c r="R234" t="inlineStr">
        <is>
          <t>样品48</t>
        </is>
      </c>
    </row>
    <row r="235">
      <c r="A235" t="n">
        <v>234</v>
      </c>
      <c r="B235" t="inlineStr">
        <is>
          <t>48 (1).tif</t>
        </is>
      </c>
      <c r="C235" t="inlineStr">
        <is>
          <t>48(1)-V03</t>
        </is>
      </c>
      <c r="D235" t="n">
        <v>3</v>
      </c>
      <c r="E235" t="inlineStr">
        <is>
          <t>primary</t>
        </is>
      </c>
      <c r="F235" t="n">
        <v>578.0482041587902</v>
      </c>
      <c r="G235">
        <f>2*SQRT(F235/PI())</f>
        <v/>
      </c>
      <c r="H235" t="n">
        <v>90.230644137963</v>
      </c>
      <c r="I235" t="n">
        <v>850</v>
      </c>
      <c r="J235" t="n">
        <v>465</v>
      </c>
      <c r="K235" t="n">
        <v>566.4872400756144</v>
      </c>
      <c r="L235" t="n">
        <v>589.609168241966</v>
      </c>
      <c r="M235">
        <f>2*SQRT(K235/PI())</f>
        <v/>
      </c>
      <c r="N235">
        <f>2*SQRT(L235/PI())</f>
        <v/>
      </c>
      <c r="P235" t="inlineStr">
        <is>
          <t>是</t>
        </is>
      </c>
      <c r="Q235" t="inlineStr">
        <is>
          <t>auto_pipeline;review_png_green</t>
        </is>
      </c>
      <c r="R235" t="inlineStr">
        <is>
          <t>样品48</t>
        </is>
      </c>
    </row>
    <row r="236">
      <c r="A236" t="n">
        <v>235</v>
      </c>
      <c r="B236" t="inlineStr">
        <is>
          <t>48 (1).tif</t>
        </is>
      </c>
      <c r="C236" t="inlineStr">
        <is>
          <t>48(1)-V04</t>
        </is>
      </c>
      <c r="D236" t="n">
        <v>4</v>
      </c>
      <c r="E236" t="inlineStr">
        <is>
          <t>primary</t>
        </is>
      </c>
      <c r="F236" t="n">
        <v>463.0434782608696</v>
      </c>
      <c r="G236">
        <f>2*SQRT(F236/PI())</f>
        <v/>
      </c>
      <c r="H236" t="n">
        <v>81.09115932298742</v>
      </c>
      <c r="I236" t="n">
        <v>258</v>
      </c>
      <c r="J236" t="n">
        <v>526</v>
      </c>
      <c r="K236" t="n">
        <v>453.7826086956522</v>
      </c>
      <c r="L236" t="n">
        <v>472.3043478260869</v>
      </c>
      <c r="M236">
        <f>2*SQRT(K236/PI())</f>
        <v/>
      </c>
      <c r="N236">
        <f>2*SQRT(L236/PI())</f>
        <v/>
      </c>
      <c r="P236" t="inlineStr">
        <is>
          <t>是</t>
        </is>
      </c>
      <c r="Q236" t="inlineStr">
        <is>
          <t>auto_pipeline;review_png_green</t>
        </is>
      </c>
      <c r="R236" t="inlineStr">
        <is>
          <t>样品48</t>
        </is>
      </c>
    </row>
    <row r="237">
      <c r="A237" t="n">
        <v>236</v>
      </c>
      <c r="B237" t="inlineStr">
        <is>
          <t>48 (1).tif</t>
        </is>
      </c>
      <c r="C237" t="inlineStr">
        <is>
          <t>48(1)-V05</t>
        </is>
      </c>
      <c r="D237" t="n">
        <v>5</v>
      </c>
      <c r="E237" t="inlineStr">
        <is>
          <t>primary</t>
        </is>
      </c>
      <c r="F237" t="n">
        <v>437.0982986767486</v>
      </c>
      <c r="G237">
        <f>2*SQRT(F237/PI())</f>
        <v/>
      </c>
      <c r="H237" t="n">
        <v>79.86140842023103</v>
      </c>
      <c r="I237" t="n">
        <v>529</v>
      </c>
      <c r="J237" t="n">
        <v>317</v>
      </c>
      <c r="K237" t="n">
        <v>428.3563327032136</v>
      </c>
      <c r="L237" t="n">
        <v>445.8402646502836</v>
      </c>
      <c r="M237">
        <f>2*SQRT(K237/PI())</f>
        <v/>
      </c>
      <c r="N237">
        <f>2*SQRT(L237/PI())</f>
        <v/>
      </c>
      <c r="O237" t="inlineStr">
        <is>
          <t>48(1)-P01</t>
        </is>
      </c>
      <c r="P237" t="inlineStr">
        <is>
          <t>是</t>
        </is>
      </c>
      <c r="Q237" t="inlineStr">
        <is>
          <t>auto_pipeline;review_png_green</t>
        </is>
      </c>
      <c r="R237" t="inlineStr">
        <is>
          <t>样品48</t>
        </is>
      </c>
    </row>
    <row r="238">
      <c r="A238" t="n">
        <v>237</v>
      </c>
      <c r="B238" t="inlineStr">
        <is>
          <t>48 (1).tif</t>
        </is>
      </c>
      <c r="C238" t="inlineStr">
        <is>
          <t>48(1)-V06</t>
        </is>
      </c>
      <c r="D238" t="n">
        <v>6</v>
      </c>
      <c r="E238" t="inlineStr">
        <is>
          <t>primary</t>
        </is>
      </c>
      <c r="F238" t="n">
        <v>399.6219281663516</v>
      </c>
      <c r="G238">
        <f>2*SQRT(F238/PI())</f>
        <v/>
      </c>
      <c r="H238" t="n">
        <v>79.5630207269088</v>
      </c>
      <c r="I238" t="n">
        <v>594</v>
      </c>
      <c r="J238" t="n">
        <v>62</v>
      </c>
      <c r="K238" t="n">
        <v>391.6294896030246</v>
      </c>
      <c r="L238" t="n">
        <v>407.6143667296786</v>
      </c>
      <c r="M238">
        <f>2*SQRT(K238/PI())</f>
        <v/>
      </c>
      <c r="N238">
        <f>2*SQRT(L238/PI())</f>
        <v/>
      </c>
      <c r="P238" t="inlineStr">
        <is>
          <t>是</t>
        </is>
      </c>
      <c r="Q238" t="inlineStr">
        <is>
          <t>auto_pipeline;review_png_green</t>
        </is>
      </c>
      <c r="R238" t="inlineStr">
        <is>
          <t>样品48</t>
        </is>
      </c>
    </row>
    <row r="239">
      <c r="A239" t="n">
        <v>238</v>
      </c>
      <c r="B239" t="inlineStr">
        <is>
          <t>48 (2).tif</t>
        </is>
      </c>
      <c r="C239" t="inlineStr">
        <is>
          <t>48(2)-V01</t>
        </is>
      </c>
      <c r="D239" t="n">
        <v>1</v>
      </c>
      <c r="E239" t="inlineStr">
        <is>
          <t>primary</t>
        </is>
      </c>
      <c r="F239" t="n">
        <v>1632.703213610586</v>
      </c>
      <c r="G239">
        <f>2*SQRT(F239/PI())</f>
        <v/>
      </c>
      <c r="H239" t="n">
        <v>154.8656112214793</v>
      </c>
      <c r="I239" t="n">
        <v>597</v>
      </c>
      <c r="J239" t="n">
        <v>337</v>
      </c>
      <c r="K239" t="n">
        <v>1600.049149338374</v>
      </c>
      <c r="L239" t="n">
        <v>1665.357277882798</v>
      </c>
      <c r="M239">
        <f>2*SQRT(K239/PI())</f>
        <v/>
      </c>
      <c r="N239">
        <f>2*SQRT(L239/PI())</f>
        <v/>
      </c>
      <c r="O239" t="inlineStr">
        <is>
          <t>48(2)-P01</t>
        </is>
      </c>
      <c r="P239" t="inlineStr">
        <is>
          <t>是</t>
        </is>
      </c>
      <c r="Q239" t="inlineStr">
        <is>
          <t>auto_pipeline;review_png_green</t>
        </is>
      </c>
      <c r="R239" t="inlineStr">
        <is>
          <t>样品48</t>
        </is>
      </c>
    </row>
    <row r="240">
      <c r="A240" t="n">
        <v>239</v>
      </c>
      <c r="B240" t="inlineStr">
        <is>
          <t>48 (2).tif</t>
        </is>
      </c>
      <c r="C240" t="inlineStr">
        <is>
          <t>48(2)-V02</t>
        </is>
      </c>
      <c r="D240" t="n">
        <v>2</v>
      </c>
      <c r="E240" t="inlineStr">
        <is>
          <t>primary</t>
        </is>
      </c>
      <c r="F240" t="n">
        <v>1090.500945179584</v>
      </c>
      <c r="G240">
        <f>2*SQRT(F240/PI())</f>
        <v/>
      </c>
      <c r="H240" t="n">
        <v>126.5557425955067</v>
      </c>
      <c r="I240" t="n">
        <v>408</v>
      </c>
      <c r="J240" t="n">
        <v>384</v>
      </c>
      <c r="K240" t="n">
        <v>1068.690926275992</v>
      </c>
      <c r="L240" t="n">
        <v>1112.310964083176</v>
      </c>
      <c r="M240">
        <f>2*SQRT(K240/PI())</f>
        <v/>
      </c>
      <c r="N240">
        <f>2*SQRT(L240/PI())</f>
        <v/>
      </c>
      <c r="O240" t="inlineStr">
        <is>
          <t>48(2)-P01</t>
        </is>
      </c>
      <c r="P240" t="inlineStr">
        <is>
          <t>是</t>
        </is>
      </c>
      <c r="Q240" t="inlineStr">
        <is>
          <t>auto_pipeline;review_png_green</t>
        </is>
      </c>
      <c r="R240" t="inlineStr">
        <is>
          <t>样品48</t>
        </is>
      </c>
    </row>
    <row r="241">
      <c r="A241" t="n">
        <v>240</v>
      </c>
      <c r="B241" t="inlineStr">
        <is>
          <t>48 (2).tif</t>
        </is>
      </c>
      <c r="C241" t="inlineStr">
        <is>
          <t>48(2)-V03</t>
        </is>
      </c>
      <c r="D241" t="n">
        <v>3</v>
      </c>
      <c r="E241" t="inlineStr">
        <is>
          <t>primary</t>
        </is>
      </c>
      <c r="F241" t="n">
        <v>143.289224952741</v>
      </c>
      <c r="G241">
        <f>2*SQRT(F241/PI())</f>
        <v/>
      </c>
      <c r="H241" t="n">
        <v>46.22865257055863</v>
      </c>
      <c r="I241" t="n">
        <v>207</v>
      </c>
      <c r="J241" t="n">
        <v>426</v>
      </c>
      <c r="K241" t="n">
        <v>140.4234404536862</v>
      </c>
      <c r="L241" t="n">
        <v>146.1550094517958</v>
      </c>
      <c r="M241">
        <f>2*SQRT(K241/PI())</f>
        <v/>
      </c>
      <c r="N241">
        <f>2*SQRT(L241/PI())</f>
        <v/>
      </c>
      <c r="P241" t="inlineStr">
        <is>
          <t>是</t>
        </is>
      </c>
      <c r="Q241" t="inlineStr">
        <is>
          <t>auto_pipeline;review_png_green</t>
        </is>
      </c>
      <c r="R241" t="inlineStr">
        <is>
          <t>样品48</t>
        </is>
      </c>
    </row>
    <row r="242">
      <c r="A242" t="n">
        <v>241</v>
      </c>
      <c r="B242" t="inlineStr">
        <is>
          <t>48 (3).tif</t>
        </is>
      </c>
      <c r="C242" t="inlineStr">
        <is>
          <t>48(3)-V01</t>
        </is>
      </c>
      <c r="D242" t="n">
        <v>1</v>
      </c>
      <c r="E242" t="inlineStr">
        <is>
          <t>primary</t>
        </is>
      </c>
      <c r="F242" t="n">
        <v>1278.59168241966</v>
      </c>
      <c r="G242">
        <f>2*SQRT(F242/PI())</f>
        <v/>
      </c>
      <c r="H242" t="n">
        <v>133.9779459393543</v>
      </c>
      <c r="I242" t="n">
        <v>797</v>
      </c>
      <c r="J242" t="n">
        <v>236</v>
      </c>
      <c r="K242" t="n">
        <v>1253.019848771266</v>
      </c>
      <c r="L242" t="n">
        <v>1304.163516068053</v>
      </c>
      <c r="M242">
        <f>2*SQRT(K242/PI())</f>
        <v/>
      </c>
      <c r="N242">
        <f>2*SQRT(L242/PI())</f>
        <v/>
      </c>
      <c r="P242" t="inlineStr">
        <is>
          <t>是</t>
        </is>
      </c>
      <c r="Q242" t="inlineStr">
        <is>
          <t>auto_pipeline;review_png_green</t>
        </is>
      </c>
      <c r="R242" t="inlineStr">
        <is>
          <t>样品48</t>
        </is>
      </c>
    </row>
    <row r="243">
      <c r="A243" t="n">
        <v>242</v>
      </c>
      <c r="B243" t="inlineStr">
        <is>
          <t>48 (3).tif</t>
        </is>
      </c>
      <c r="C243" t="inlineStr">
        <is>
          <t>48(3)-V02</t>
        </is>
      </c>
      <c r="D243" t="n">
        <v>2</v>
      </c>
      <c r="E243" t="inlineStr">
        <is>
          <t>primary</t>
        </is>
      </c>
      <c r="F243" t="n">
        <v>837.0510396975426</v>
      </c>
      <c r="G243">
        <f>2*SQRT(F243/PI())</f>
        <v/>
      </c>
      <c r="H243" t="n">
        <v>109.2518341022989</v>
      </c>
      <c r="I243" t="n">
        <v>594</v>
      </c>
      <c r="J243" t="n">
        <v>353</v>
      </c>
      <c r="K243" t="n">
        <v>820.3100189035918</v>
      </c>
      <c r="L243" t="n">
        <v>853.7920604914934</v>
      </c>
      <c r="M243">
        <f>2*SQRT(K243/PI())</f>
        <v/>
      </c>
      <c r="N243">
        <f>2*SQRT(L243/PI())</f>
        <v/>
      </c>
      <c r="O243" t="inlineStr">
        <is>
          <t>48(3)-P01</t>
        </is>
      </c>
      <c r="P243" t="inlineStr">
        <is>
          <t>是</t>
        </is>
      </c>
      <c r="Q243" t="inlineStr">
        <is>
          <t>auto_pipeline;review_png_green</t>
        </is>
      </c>
      <c r="R243" t="inlineStr">
        <is>
          <t>样品48</t>
        </is>
      </c>
    </row>
    <row r="244">
      <c r="A244" t="n">
        <v>243</v>
      </c>
      <c r="B244" t="inlineStr">
        <is>
          <t>48 (3).tif</t>
        </is>
      </c>
      <c r="C244" t="inlineStr">
        <is>
          <t>48(3)-V03</t>
        </is>
      </c>
      <c r="D244" t="n">
        <v>3</v>
      </c>
      <c r="E244" t="inlineStr">
        <is>
          <t>primary</t>
        </is>
      </c>
      <c r="F244" t="n">
        <v>834.0973534971645</v>
      </c>
      <c r="G244">
        <f>2*SQRT(F244/PI())</f>
        <v/>
      </c>
      <c r="H244" t="n">
        <v>108.1494280825491</v>
      </c>
      <c r="I244" t="n">
        <v>417</v>
      </c>
      <c r="J244" t="n">
        <v>384</v>
      </c>
      <c r="K244" t="n">
        <v>817.4154064272212</v>
      </c>
      <c r="L244" t="n">
        <v>850.7793005671077</v>
      </c>
      <c r="M244">
        <f>2*SQRT(K244/PI())</f>
        <v/>
      </c>
      <c r="N244">
        <f>2*SQRT(L244/PI())</f>
        <v/>
      </c>
      <c r="O244" t="inlineStr">
        <is>
          <t>48(3)-P01</t>
        </is>
      </c>
      <c r="P244" t="inlineStr">
        <is>
          <t>是</t>
        </is>
      </c>
      <c r="Q244" t="inlineStr">
        <is>
          <t>auto_pipeline;review_png_green</t>
        </is>
      </c>
      <c r="R244" t="inlineStr">
        <is>
          <t>样品48</t>
        </is>
      </c>
    </row>
    <row r="245">
      <c r="A245" t="n">
        <v>244</v>
      </c>
      <c r="B245" t="inlineStr">
        <is>
          <t>48 (4).tif</t>
        </is>
      </c>
      <c r="C245" t="inlineStr">
        <is>
          <t>48(4)-V01</t>
        </is>
      </c>
      <c r="D245" t="n">
        <v>1</v>
      </c>
      <c r="E245" t="inlineStr">
        <is>
          <t>primary</t>
        </is>
      </c>
      <c r="F245" t="n">
        <v>983.2703213610586</v>
      </c>
      <c r="G245">
        <f>2*SQRT(F245/PI())</f>
        <v/>
      </c>
      <c r="H245" t="n">
        <v>118.6678576469421</v>
      </c>
      <c r="I245" t="n">
        <v>438</v>
      </c>
      <c r="J245" t="n">
        <v>382</v>
      </c>
      <c r="K245" t="n">
        <v>963.6049149338373</v>
      </c>
      <c r="L245" t="n">
        <v>1002.93572778828</v>
      </c>
      <c r="M245">
        <f>2*SQRT(K245/PI())</f>
        <v/>
      </c>
      <c r="N245">
        <f>2*SQRT(L245/PI())</f>
        <v/>
      </c>
      <c r="P245" t="inlineStr">
        <is>
          <t>是</t>
        </is>
      </c>
      <c r="Q245" t="inlineStr">
        <is>
          <t>auto_pipeline;review_png_green</t>
        </is>
      </c>
      <c r="R245" t="inlineStr">
        <is>
          <t>样品48</t>
        </is>
      </c>
    </row>
    <row r="246">
      <c r="A246" t="n">
        <v>245</v>
      </c>
      <c r="B246" t="inlineStr">
        <is>
          <t>48 (4).tif</t>
        </is>
      </c>
      <c r="C246" t="inlineStr">
        <is>
          <t>48(4)-V02</t>
        </is>
      </c>
      <c r="D246" t="n">
        <v>2</v>
      </c>
      <c r="E246" t="inlineStr">
        <is>
          <t>primary</t>
        </is>
      </c>
      <c r="F246" t="n">
        <v>779.4423440453686</v>
      </c>
      <c r="G246">
        <f>2*SQRT(F246/PI())</f>
        <v/>
      </c>
      <c r="H246" t="n">
        <v>104.4383264106253</v>
      </c>
      <c r="I246" t="n">
        <v>595</v>
      </c>
      <c r="J246" t="n">
        <v>324</v>
      </c>
      <c r="K246" t="n">
        <v>763.8534971644613</v>
      </c>
      <c r="L246" t="n">
        <v>795.0311909262759</v>
      </c>
      <c r="M246">
        <f>2*SQRT(K246/PI())</f>
        <v/>
      </c>
      <c r="N246">
        <f>2*SQRT(L246/PI())</f>
        <v/>
      </c>
      <c r="P246" t="inlineStr">
        <is>
          <t>是</t>
        </is>
      </c>
      <c r="Q246" t="inlineStr">
        <is>
          <t>auto_pipeline;review_png_green</t>
        </is>
      </c>
      <c r="R246" t="inlineStr">
        <is>
          <t>样品48</t>
        </is>
      </c>
    </row>
    <row r="247">
      <c r="A247" t="n">
        <v>246</v>
      </c>
      <c r="B247" t="inlineStr">
        <is>
          <t>48 (4).tif</t>
        </is>
      </c>
      <c r="C247" t="inlineStr">
        <is>
          <t>48(4)-V03</t>
        </is>
      </c>
      <c r="D247" t="n">
        <v>3</v>
      </c>
      <c r="E247" t="inlineStr">
        <is>
          <t>primary</t>
        </is>
      </c>
      <c r="F247" t="n">
        <v>739.2485822306238</v>
      </c>
      <c r="G247">
        <f>2*SQRT(F247/PI())</f>
        <v/>
      </c>
      <c r="H247" t="n">
        <v>102.7210449394972</v>
      </c>
      <c r="I247" t="n">
        <v>689</v>
      </c>
      <c r="J247" t="n">
        <v>152</v>
      </c>
      <c r="K247" t="n">
        <v>724.4636105860113</v>
      </c>
      <c r="L247" t="n">
        <v>754.0335538752363</v>
      </c>
      <c r="M247">
        <f>2*SQRT(K247/PI())</f>
        <v/>
      </c>
      <c r="N247">
        <f>2*SQRT(L247/PI())</f>
        <v/>
      </c>
      <c r="P247" t="inlineStr">
        <is>
          <t>是</t>
        </is>
      </c>
      <c r="Q247" t="inlineStr">
        <is>
          <t>auto_pipeline;review_png_green</t>
        </is>
      </c>
      <c r="R247" t="inlineStr">
        <is>
          <t>样品48</t>
        </is>
      </c>
    </row>
    <row r="248">
      <c r="A248" t="n">
        <v>247</v>
      </c>
      <c r="B248" t="inlineStr">
        <is>
          <t>48 (4).tif</t>
        </is>
      </c>
      <c r="C248" t="inlineStr">
        <is>
          <t>48(4)-V04</t>
        </is>
      </c>
      <c r="D248" t="n">
        <v>4</v>
      </c>
      <c r="E248" t="inlineStr">
        <is>
          <t>primary</t>
        </is>
      </c>
      <c r="F248" t="n">
        <v>523.0151228733459</v>
      </c>
      <c r="G248">
        <f>2*SQRT(F248/PI())</f>
        <v/>
      </c>
      <c r="H248" t="n">
        <v>86.15935678067414</v>
      </c>
      <c r="I248" t="n">
        <v>818</v>
      </c>
      <c r="J248" t="n">
        <v>115</v>
      </c>
      <c r="K248" t="n">
        <v>512.554820415879</v>
      </c>
      <c r="L248" t="n">
        <v>533.4754253308129</v>
      </c>
      <c r="M248">
        <f>2*SQRT(K248/PI())</f>
        <v/>
      </c>
      <c r="N248">
        <f>2*SQRT(L248/PI())</f>
        <v/>
      </c>
      <c r="P248" t="inlineStr">
        <is>
          <t>是</t>
        </is>
      </c>
      <c r="Q248" t="inlineStr">
        <is>
          <t>auto_pipeline;review_png_green</t>
        </is>
      </c>
      <c r="R248" t="inlineStr">
        <is>
          <t>样品48</t>
        </is>
      </c>
    </row>
    <row r="249">
      <c r="A249" t="n">
        <v>248</v>
      </c>
      <c r="B249" t="inlineStr">
        <is>
          <t>48 (4).tif</t>
        </is>
      </c>
      <c r="C249" t="inlineStr">
        <is>
          <t>48(4)-V05</t>
        </is>
      </c>
      <c r="D249" t="n">
        <v>5</v>
      </c>
      <c r="E249" t="inlineStr">
        <is>
          <t>primary</t>
        </is>
      </c>
      <c r="F249" t="n">
        <v>516.351606805293</v>
      </c>
      <c r="G249">
        <f>2*SQRT(F249/PI())</f>
        <v/>
      </c>
      <c r="H249" t="n">
        <v>85.28979156328283</v>
      </c>
      <c r="I249" t="n">
        <v>853</v>
      </c>
      <c r="J249" t="n">
        <v>603</v>
      </c>
      <c r="K249" t="n">
        <v>506.0245746691872</v>
      </c>
      <c r="L249" t="n">
        <v>526.678638941399</v>
      </c>
      <c r="M249">
        <f>2*SQRT(K249/PI())</f>
        <v/>
      </c>
      <c r="N249">
        <f>2*SQRT(L249/PI())</f>
        <v/>
      </c>
      <c r="P249" t="inlineStr">
        <is>
          <t>是</t>
        </is>
      </c>
      <c r="Q249" t="inlineStr">
        <is>
          <t>auto_pipeline;review_png_green</t>
        </is>
      </c>
      <c r="R249" t="inlineStr">
        <is>
          <t>样品48</t>
        </is>
      </c>
    </row>
    <row r="250">
      <c r="A250" t="n">
        <v>249</v>
      </c>
      <c r="B250" t="inlineStr">
        <is>
          <t>48 (4).tif</t>
        </is>
      </c>
      <c r="C250" t="inlineStr">
        <is>
          <t>48(4)-V06</t>
        </is>
      </c>
      <c r="D250" t="n">
        <v>6</v>
      </c>
      <c r="E250" t="inlineStr">
        <is>
          <t>primary</t>
        </is>
      </c>
      <c r="F250" t="n">
        <v>472.5189035916824</v>
      </c>
      <c r="G250">
        <f>2*SQRT(F250/PI())</f>
        <v/>
      </c>
      <c r="H250" t="n">
        <v>85.98831397035848</v>
      </c>
      <c r="I250" t="n">
        <v>269</v>
      </c>
      <c r="J250" t="n">
        <v>118</v>
      </c>
      <c r="K250" t="n">
        <v>463.0685255198488</v>
      </c>
      <c r="L250" t="n">
        <v>481.9692816635161</v>
      </c>
      <c r="M250">
        <f>2*SQRT(K250/PI())</f>
        <v/>
      </c>
      <c r="N250">
        <f>2*SQRT(L250/PI())</f>
        <v/>
      </c>
      <c r="P250" t="inlineStr">
        <is>
          <t>是</t>
        </is>
      </c>
      <c r="Q250" t="inlineStr">
        <is>
          <t>auto_pipeline;review_png_green</t>
        </is>
      </c>
      <c r="R250" t="inlineStr">
        <is>
          <t>样品48</t>
        </is>
      </c>
    </row>
    <row r="251">
      <c r="A251" t="n">
        <v>250</v>
      </c>
      <c r="B251" t="inlineStr">
        <is>
          <t>48 (5).tif</t>
        </is>
      </c>
      <c r="C251" t="inlineStr">
        <is>
          <t>48(5)-V01</t>
        </is>
      </c>
      <c r="D251" t="n">
        <v>1</v>
      </c>
      <c r="E251" t="inlineStr">
        <is>
          <t>primary</t>
        </is>
      </c>
      <c r="F251" t="n">
        <v>1120.817580340265</v>
      </c>
      <c r="G251">
        <f>2*SQRT(F251/PI())</f>
        <v/>
      </c>
      <c r="H251" t="n">
        <v>125.4533365757569</v>
      </c>
      <c r="I251" t="n">
        <v>528</v>
      </c>
      <c r="J251" t="n">
        <v>454</v>
      </c>
      <c r="K251" t="n">
        <v>1098.401228733459</v>
      </c>
      <c r="L251" t="n">
        <v>1143.23393194707</v>
      </c>
      <c r="M251">
        <f>2*SQRT(K251/PI())</f>
        <v/>
      </c>
      <c r="N251">
        <f>2*SQRT(L251/PI())</f>
        <v/>
      </c>
      <c r="P251" t="inlineStr">
        <is>
          <t>是</t>
        </is>
      </c>
      <c r="Q251" t="inlineStr">
        <is>
          <t>auto_pipeline;review_png_green</t>
        </is>
      </c>
      <c r="R251" t="inlineStr">
        <is>
          <t>样品48</t>
        </is>
      </c>
    </row>
    <row r="252">
      <c r="A252" t="n">
        <v>251</v>
      </c>
      <c r="B252" t="inlineStr">
        <is>
          <t>48 (5).tif</t>
        </is>
      </c>
      <c r="C252" t="inlineStr">
        <is>
          <t>48(5)-V02</t>
        </is>
      </c>
      <c r="D252" t="n">
        <v>2</v>
      </c>
      <c r="E252" t="inlineStr">
        <is>
          <t>primary</t>
        </is>
      </c>
      <c r="F252" t="n">
        <v>740.6190926275992</v>
      </c>
      <c r="G252">
        <f>2*SQRT(F252/PI())</f>
        <v/>
      </c>
      <c r="H252" t="n">
        <v>102.7210449394972</v>
      </c>
      <c r="I252" t="n">
        <v>486</v>
      </c>
      <c r="J252" t="n">
        <v>280</v>
      </c>
      <c r="K252" t="n">
        <v>725.8067107750472</v>
      </c>
      <c r="L252" t="n">
        <v>755.4314744801512</v>
      </c>
      <c r="M252">
        <f>2*SQRT(K252/PI())</f>
        <v/>
      </c>
      <c r="N252">
        <f>2*SQRT(L252/PI())</f>
        <v/>
      </c>
      <c r="O252" t="inlineStr">
        <is>
          <t>48(5)-P01</t>
        </is>
      </c>
      <c r="P252" t="inlineStr">
        <is>
          <t>是</t>
        </is>
      </c>
      <c r="Q252" t="inlineStr">
        <is>
          <t>auto_pipeline;review_png_green</t>
        </is>
      </c>
      <c r="R252" t="inlineStr">
        <is>
          <t>样品48</t>
        </is>
      </c>
    </row>
    <row r="253">
      <c r="A253" t="n">
        <v>252</v>
      </c>
      <c r="B253" t="inlineStr">
        <is>
          <t>48 (5).tif</t>
        </is>
      </c>
      <c r="C253" t="inlineStr">
        <is>
          <t>48(5)-V03</t>
        </is>
      </c>
      <c r="D253" t="n">
        <v>3</v>
      </c>
      <c r="E253" t="inlineStr">
        <is>
          <t>primary</t>
        </is>
      </c>
      <c r="F253" t="n">
        <v>685.633270321361</v>
      </c>
      <c r="G253">
        <f>2*SQRT(F253/PI())</f>
        <v/>
      </c>
      <c r="H253" t="n">
        <v>98.14037805018218</v>
      </c>
      <c r="I253" t="n">
        <v>199</v>
      </c>
      <c r="J253" t="n">
        <v>318</v>
      </c>
      <c r="K253" t="n">
        <v>671.9206049149337</v>
      </c>
      <c r="L253" t="n">
        <v>699.3459357277883</v>
      </c>
      <c r="M253">
        <f>2*SQRT(K253/PI())</f>
        <v/>
      </c>
      <c r="N253">
        <f>2*SQRT(L253/PI())</f>
        <v/>
      </c>
      <c r="P253" t="inlineStr">
        <is>
          <t>是</t>
        </is>
      </c>
      <c r="Q253" t="inlineStr">
        <is>
          <t>auto_pipeline;review_png_green</t>
        </is>
      </c>
      <c r="R253" t="inlineStr">
        <is>
          <t>样品48</t>
        </is>
      </c>
    </row>
    <row r="254">
      <c r="A254" t="n">
        <v>253</v>
      </c>
      <c r="B254" t="inlineStr">
        <is>
          <t>48 (5).tif</t>
        </is>
      </c>
      <c r="C254" t="inlineStr">
        <is>
          <t>48(5)-V04</t>
        </is>
      </c>
      <c r="D254" t="n">
        <v>4</v>
      </c>
      <c r="E254" t="inlineStr">
        <is>
          <t>primary</t>
        </is>
      </c>
      <c r="F254" t="n">
        <v>326.5122873345936</v>
      </c>
      <c r="G254">
        <f>2*SQRT(F254/PI())</f>
        <v/>
      </c>
      <c r="H254" t="n">
        <v>69.2156339728314</v>
      </c>
      <c r="I254" t="n">
        <v>511</v>
      </c>
      <c r="J254" t="n">
        <v>299</v>
      </c>
      <c r="K254" t="n">
        <v>319.9820415879017</v>
      </c>
      <c r="L254" t="n">
        <v>333.0425330812855</v>
      </c>
      <c r="M254">
        <f>2*SQRT(K254/PI())</f>
        <v/>
      </c>
      <c r="N254">
        <f>2*SQRT(L254/PI())</f>
        <v/>
      </c>
      <c r="O254" t="inlineStr">
        <is>
          <t>48(5)-P01</t>
        </is>
      </c>
      <c r="P254" t="inlineStr">
        <is>
          <t>是</t>
        </is>
      </c>
      <c r="Q254" t="inlineStr">
        <is>
          <t>auto_pipeline;review_png_green</t>
        </is>
      </c>
      <c r="R254" t="inlineStr">
        <is>
          <t>样品48</t>
        </is>
      </c>
    </row>
    <row r="255">
      <c r="A255" t="n">
        <v>254</v>
      </c>
      <c r="B255" t="inlineStr">
        <is>
          <t>48 (5).tif</t>
        </is>
      </c>
      <c r="C255" t="inlineStr">
        <is>
          <t>48(5)-V05</t>
        </is>
      </c>
      <c r="D255" t="n">
        <v>5</v>
      </c>
      <c r="E255" t="inlineStr">
        <is>
          <t>primary</t>
        </is>
      </c>
      <c r="F255" t="n">
        <v>280.5765595463138</v>
      </c>
      <c r="G255">
        <f>2*SQRT(F255/PI())</f>
        <v/>
      </c>
      <c r="H255" t="n">
        <v>67.94218514276588</v>
      </c>
      <c r="I255" t="n">
        <v>341</v>
      </c>
      <c r="J255" t="n">
        <v>586</v>
      </c>
      <c r="K255" t="n">
        <v>274.9650283553875</v>
      </c>
      <c r="L255" t="n">
        <v>286.18809073724</v>
      </c>
      <c r="M255">
        <f>2*SQRT(K255/PI())</f>
        <v/>
      </c>
      <c r="N255">
        <f>2*SQRT(L255/PI())</f>
        <v/>
      </c>
      <c r="P255" t="inlineStr">
        <is>
          <t>是</t>
        </is>
      </c>
      <c r="Q255" t="inlineStr">
        <is>
          <t>auto_pipeline;review_png_green</t>
        </is>
      </c>
      <c r="R255" t="inlineStr">
        <is>
          <t>样品48</t>
        </is>
      </c>
    </row>
    <row r="256">
      <c r="A256" t="n">
        <v>255</v>
      </c>
      <c r="B256" t="inlineStr">
        <is>
          <t>48 (5).tif</t>
        </is>
      </c>
      <c r="C256" t="inlineStr">
        <is>
          <t>48(5)-V06</t>
        </is>
      </c>
      <c r="D256" t="n">
        <v>6</v>
      </c>
      <c r="E256" t="inlineStr">
        <is>
          <t>primary</t>
        </is>
      </c>
      <c r="F256" t="n">
        <v>121.3374291115312</v>
      </c>
      <c r="G256">
        <f>2*SQRT(F256/PI())</f>
        <v/>
      </c>
      <c r="H256" t="n">
        <v>49.62326648442642</v>
      </c>
      <c r="I256" t="n">
        <v>837</v>
      </c>
      <c r="J256" t="n">
        <v>262</v>
      </c>
      <c r="K256" t="n">
        <v>118.9106805293006</v>
      </c>
      <c r="L256" t="n">
        <v>123.7641776937618</v>
      </c>
      <c r="M256">
        <f>2*SQRT(K256/PI())</f>
        <v/>
      </c>
      <c r="N256">
        <f>2*SQRT(L256/PI())</f>
        <v/>
      </c>
      <c r="P256" t="inlineStr">
        <is>
          <t>是</t>
        </is>
      </c>
      <c r="Q256" t="inlineStr">
        <is>
          <t>auto_pipeline;review_png_green</t>
        </is>
      </c>
      <c r="R256" t="inlineStr">
        <is>
          <t>样品48</t>
        </is>
      </c>
    </row>
    <row r="257">
      <c r="A257" t="n">
        <v>256</v>
      </c>
      <c r="B257" t="inlineStr">
        <is>
          <t>48 (6).tif</t>
        </is>
      </c>
      <c r="C257" t="inlineStr">
        <is>
          <t>48(6)-V01</t>
        </is>
      </c>
      <c r="D257" t="n">
        <v>1</v>
      </c>
      <c r="E257" t="inlineStr">
        <is>
          <t>primary</t>
        </is>
      </c>
      <c r="F257" t="n">
        <v>439.9338374291115</v>
      </c>
      <c r="G257">
        <f>2*SQRT(F257/PI())</f>
        <v/>
      </c>
      <c r="H257" t="n">
        <v>78.73715343682662</v>
      </c>
      <c r="I257" t="n">
        <v>534</v>
      </c>
      <c r="J257" t="n">
        <v>400</v>
      </c>
      <c r="K257" t="n">
        <v>431.1351606805293</v>
      </c>
      <c r="L257" t="n">
        <v>448.7325141776938</v>
      </c>
      <c r="M257">
        <f>2*SQRT(K257/PI())</f>
        <v/>
      </c>
      <c r="N257">
        <f>2*SQRT(L257/PI())</f>
        <v/>
      </c>
      <c r="O257" t="inlineStr">
        <is>
          <t>48(6)-P01</t>
        </is>
      </c>
      <c r="P257" t="inlineStr">
        <is>
          <t>是</t>
        </is>
      </c>
      <c r="Q257" t="inlineStr">
        <is>
          <t>auto_pipeline;review_png_green</t>
        </is>
      </c>
      <c r="R257" t="inlineStr">
        <is>
          <t>样品48</t>
        </is>
      </c>
    </row>
    <row r="258">
      <c r="A258" t="n">
        <v>257</v>
      </c>
      <c r="B258" t="inlineStr">
        <is>
          <t>48 (6).tif</t>
        </is>
      </c>
      <c r="C258" t="inlineStr">
        <is>
          <t>48(6)-V02</t>
        </is>
      </c>
      <c r="D258" t="n">
        <v>2</v>
      </c>
      <c r="E258" t="inlineStr">
        <is>
          <t>primary</t>
        </is>
      </c>
      <c r="F258" t="n">
        <v>434.4045368620038</v>
      </c>
      <c r="G258">
        <f>2*SQRT(F258/PI())</f>
        <v/>
      </c>
      <c r="H258" t="n">
        <v>79.35202888820483</v>
      </c>
      <c r="I258" t="n">
        <v>452</v>
      </c>
      <c r="J258" t="n">
        <v>291</v>
      </c>
      <c r="K258" t="n">
        <v>425.7164461247637</v>
      </c>
      <c r="L258" t="n">
        <v>443.0926275992439</v>
      </c>
      <c r="M258">
        <f>2*SQRT(K258/PI())</f>
        <v/>
      </c>
      <c r="N258">
        <f>2*SQRT(L258/PI())</f>
        <v/>
      </c>
      <c r="O258" t="inlineStr">
        <is>
          <t>48(6)-P01</t>
        </is>
      </c>
      <c r="P258" t="inlineStr">
        <is>
          <t>是</t>
        </is>
      </c>
      <c r="Q258" t="inlineStr">
        <is>
          <t>auto_pipeline;review_png_green</t>
        </is>
      </c>
      <c r="R258" t="inlineStr">
        <is>
          <t>样品48</t>
        </is>
      </c>
    </row>
    <row r="259">
      <c r="A259" t="n">
        <v>258</v>
      </c>
      <c r="B259" t="inlineStr">
        <is>
          <t>48 (6).tif</t>
        </is>
      </c>
      <c r="C259" t="inlineStr">
        <is>
          <t>48(6)-V03</t>
        </is>
      </c>
      <c r="D259" t="n">
        <v>3</v>
      </c>
      <c r="E259" t="inlineStr">
        <is>
          <t>primary</t>
        </is>
      </c>
      <c r="F259" t="n">
        <v>426.7485822306238</v>
      </c>
      <c r="G259">
        <f>2*SQRT(F259/PI())</f>
        <v/>
      </c>
      <c r="H259" t="n">
        <v>78.22777390480042</v>
      </c>
      <c r="I259" t="n">
        <v>883</v>
      </c>
      <c r="J259" t="n">
        <v>622</v>
      </c>
      <c r="K259" t="n">
        <v>418.2136105860113</v>
      </c>
      <c r="L259" t="n">
        <v>435.2835538752363</v>
      </c>
      <c r="M259">
        <f>2*SQRT(K259/PI())</f>
        <v/>
      </c>
      <c r="N259">
        <f>2*SQRT(L259/PI())</f>
        <v/>
      </c>
      <c r="P259" t="inlineStr">
        <is>
          <t>是</t>
        </is>
      </c>
      <c r="Q259" t="inlineStr">
        <is>
          <t>auto_pipeline;review_png_green</t>
        </is>
      </c>
      <c r="R259" t="inlineStr">
        <is>
          <t>样品48</t>
        </is>
      </c>
    </row>
    <row r="260">
      <c r="A260" t="n">
        <v>259</v>
      </c>
      <c r="B260" t="inlineStr">
        <is>
          <t>48 (6).tif</t>
        </is>
      </c>
      <c r="C260" t="inlineStr">
        <is>
          <t>48(6)-V04</t>
        </is>
      </c>
      <c r="D260" t="n">
        <v>4</v>
      </c>
      <c r="E260" t="inlineStr">
        <is>
          <t>primary</t>
        </is>
      </c>
      <c r="F260" t="n">
        <v>416.2570888468809</v>
      </c>
      <c r="G260">
        <f>2*SQRT(F260/PI())</f>
        <v/>
      </c>
      <c r="H260" t="n">
        <v>77.50740253407022</v>
      </c>
      <c r="I260" t="n">
        <v>161</v>
      </c>
      <c r="J260" t="n">
        <v>498</v>
      </c>
      <c r="K260" t="n">
        <v>407.9319470699432</v>
      </c>
      <c r="L260" t="n">
        <v>424.5822306238185</v>
      </c>
      <c r="M260">
        <f>2*SQRT(K260/PI())</f>
        <v/>
      </c>
      <c r="N260">
        <f>2*SQRT(L260/PI())</f>
        <v/>
      </c>
      <c r="P260" t="inlineStr">
        <is>
          <t>是</t>
        </is>
      </c>
      <c r="Q260" t="inlineStr">
        <is>
          <t>auto_pipeline;review_png_green</t>
        </is>
      </c>
      <c r="R260" t="inlineStr">
        <is>
          <t>样品48</t>
        </is>
      </c>
    </row>
    <row r="261">
      <c r="A261" t="n">
        <v>260</v>
      </c>
      <c r="B261" t="inlineStr">
        <is>
          <t>48 (6).tif</t>
        </is>
      </c>
      <c r="C261" t="inlineStr">
        <is>
          <t>48(6)-V05</t>
        </is>
      </c>
      <c r="D261" t="n">
        <v>5</v>
      </c>
      <c r="E261" t="inlineStr">
        <is>
          <t>primary</t>
        </is>
      </c>
      <c r="F261" t="n">
        <v>375.8979206049149</v>
      </c>
      <c r="G261">
        <f>2*SQRT(F261/PI())</f>
        <v/>
      </c>
      <c r="H261" t="n">
        <v>74.17833551116611</v>
      </c>
      <c r="I261" t="n">
        <v>630</v>
      </c>
      <c r="J261" t="n">
        <v>534</v>
      </c>
      <c r="K261" t="n">
        <v>368.3799621928166</v>
      </c>
      <c r="L261" t="n">
        <v>383.4158790170133</v>
      </c>
      <c r="M261">
        <f>2*SQRT(K261/PI())</f>
        <v/>
      </c>
      <c r="N261">
        <f>2*SQRT(L261/PI())</f>
        <v/>
      </c>
      <c r="P261" t="inlineStr">
        <is>
          <t>是</t>
        </is>
      </c>
      <c r="Q261" t="inlineStr">
        <is>
          <t>auto_pipeline;review_png_green</t>
        </is>
      </c>
      <c r="R261" t="inlineStr">
        <is>
          <t>样品48</t>
        </is>
      </c>
    </row>
    <row r="262">
      <c r="A262" t="n">
        <v>261</v>
      </c>
      <c r="B262" t="inlineStr">
        <is>
          <t>48 (6).tif</t>
        </is>
      </c>
      <c r="C262" t="inlineStr">
        <is>
          <t>48(6)-V06</t>
        </is>
      </c>
      <c r="D262" t="n">
        <v>6</v>
      </c>
      <c r="E262" t="inlineStr">
        <is>
          <t>primary</t>
        </is>
      </c>
      <c r="F262" t="n">
        <v>356.5689981096409</v>
      </c>
      <c r="G262">
        <f>2*SQRT(F262/PI())</f>
        <v/>
      </c>
      <c r="H262" t="n">
        <v>70.70007464160089</v>
      </c>
      <c r="I262" t="n">
        <v>798</v>
      </c>
      <c r="J262" t="n">
        <v>494</v>
      </c>
      <c r="K262" t="n">
        <v>349.4376181474481</v>
      </c>
      <c r="L262" t="n">
        <v>363.7003780718337</v>
      </c>
      <c r="M262">
        <f>2*SQRT(K262/PI())</f>
        <v/>
      </c>
      <c r="N262">
        <f>2*SQRT(L262/PI())</f>
        <v/>
      </c>
      <c r="P262" t="inlineStr">
        <is>
          <t>是</t>
        </is>
      </c>
      <c r="Q262" t="inlineStr">
        <is>
          <t>auto_pipeline;review_png_green</t>
        </is>
      </c>
      <c r="R262" t="inlineStr">
        <is>
          <t>样品48</t>
        </is>
      </c>
    </row>
    <row r="263">
      <c r="A263" t="n">
        <v>262</v>
      </c>
      <c r="B263" t="inlineStr">
        <is>
          <t>48 (7).tif</t>
        </is>
      </c>
      <c r="C263" t="inlineStr">
        <is>
          <t>48(7)-V01</t>
        </is>
      </c>
      <c r="D263" t="n">
        <v>1</v>
      </c>
      <c r="E263" t="inlineStr">
        <is>
          <t>primary</t>
        </is>
      </c>
      <c r="F263" t="n">
        <v>438.492438563327</v>
      </c>
      <c r="G263">
        <f>2*SQRT(F263/PI())</f>
        <v/>
      </c>
      <c r="H263" t="n">
        <v>78.86449831983317</v>
      </c>
      <c r="I263" t="n">
        <v>443</v>
      </c>
      <c r="J263" t="n">
        <v>322</v>
      </c>
      <c r="K263" t="n">
        <v>429.7225897920605</v>
      </c>
      <c r="L263" t="n">
        <v>447.2622873345936</v>
      </c>
      <c r="M263">
        <f>2*SQRT(K263/PI())</f>
        <v/>
      </c>
      <c r="N263">
        <f>2*SQRT(L263/PI())</f>
        <v/>
      </c>
      <c r="P263" t="inlineStr">
        <is>
          <t>是</t>
        </is>
      </c>
      <c r="Q263" t="inlineStr">
        <is>
          <t>auto_pipeline;review_png_green</t>
        </is>
      </c>
      <c r="R263" t="inlineStr">
        <is>
          <t>样品48</t>
        </is>
      </c>
    </row>
    <row r="264">
      <c r="A264" t="n">
        <v>263</v>
      </c>
      <c r="B264" t="inlineStr">
        <is>
          <t>48 (7).tif</t>
        </is>
      </c>
      <c r="C264" t="inlineStr">
        <is>
          <t>48(7)-V02</t>
        </is>
      </c>
      <c r="D264" t="n">
        <v>2</v>
      </c>
      <c r="E264" t="inlineStr">
        <is>
          <t>primary</t>
        </is>
      </c>
      <c r="F264" t="n">
        <v>422.3298676748582</v>
      </c>
      <c r="G264">
        <f>2*SQRT(F264/PI())</f>
        <v/>
      </c>
      <c r="H264" t="n">
        <v>77.63474741707677</v>
      </c>
      <c r="I264" t="n">
        <v>582</v>
      </c>
      <c r="J264" t="n">
        <v>398</v>
      </c>
      <c r="K264" t="n">
        <v>413.8832703213611</v>
      </c>
      <c r="L264" t="n">
        <v>430.7764650283554</v>
      </c>
      <c r="M264">
        <f>2*SQRT(K264/PI())</f>
        <v/>
      </c>
      <c r="N264">
        <f>2*SQRT(L264/PI())</f>
        <v/>
      </c>
      <c r="P264" t="inlineStr">
        <is>
          <t>是</t>
        </is>
      </c>
      <c r="Q264" t="inlineStr">
        <is>
          <t>auto_pipeline;review_png_green</t>
        </is>
      </c>
      <c r="R264" t="inlineStr">
        <is>
          <t>样品48</t>
        </is>
      </c>
    </row>
    <row r="265">
      <c r="A265" t="n">
        <v>264</v>
      </c>
      <c r="B265" t="inlineStr">
        <is>
          <t>48 (7).tif</t>
        </is>
      </c>
      <c r="C265" t="inlineStr">
        <is>
          <t>48(7)-V03</t>
        </is>
      </c>
      <c r="D265" t="n">
        <v>3</v>
      </c>
      <c r="E265" t="inlineStr">
        <is>
          <t>primary</t>
        </is>
      </c>
      <c r="F265" t="n">
        <v>345.4158790170133</v>
      </c>
      <c r="G265">
        <f>2*SQRT(F265/PI())</f>
        <v/>
      </c>
      <c r="H265" t="n">
        <v>69.83050942420959</v>
      </c>
      <c r="I265" t="n">
        <v>81</v>
      </c>
      <c r="J265" t="n">
        <v>131</v>
      </c>
      <c r="K265" t="n">
        <v>338.507561436673</v>
      </c>
      <c r="L265" t="n">
        <v>352.3241965973535</v>
      </c>
      <c r="M265">
        <f>2*SQRT(K265/PI())</f>
        <v/>
      </c>
      <c r="N265">
        <f>2*SQRT(L265/PI())</f>
        <v/>
      </c>
      <c r="P265" t="inlineStr">
        <is>
          <t>是</t>
        </is>
      </c>
      <c r="Q265" t="inlineStr">
        <is>
          <t>auto_pipeline;review_png_green</t>
        </is>
      </c>
      <c r="R265" t="inlineStr">
        <is>
          <t>样品48</t>
        </is>
      </c>
    </row>
    <row r="266">
      <c r="A266" t="n">
        <v>265</v>
      </c>
      <c r="B266" t="inlineStr">
        <is>
          <t>48 (7).tif</t>
        </is>
      </c>
      <c r="C266" t="inlineStr">
        <is>
          <t>48(7)-V04</t>
        </is>
      </c>
      <c r="D266" t="n">
        <v>4</v>
      </c>
      <c r="E266" t="inlineStr">
        <is>
          <t>primary</t>
        </is>
      </c>
      <c r="F266" t="n">
        <v>296.9517958412098</v>
      </c>
      <c r="G266">
        <f>2*SQRT(F266/PI())</f>
        <v/>
      </c>
      <c r="H266" t="n">
        <v>65.39903638155563</v>
      </c>
      <c r="I266" t="n">
        <v>245</v>
      </c>
      <c r="J266" t="n">
        <v>218</v>
      </c>
      <c r="K266" t="n">
        <v>291.0127599243856</v>
      </c>
      <c r="L266" t="n">
        <v>302.890831758034</v>
      </c>
      <c r="M266">
        <f>2*SQRT(K266/PI())</f>
        <v/>
      </c>
      <c r="N266">
        <f>2*SQRT(L266/PI())</f>
        <v/>
      </c>
      <c r="P266" t="inlineStr">
        <is>
          <t>是</t>
        </is>
      </c>
      <c r="Q266" t="inlineStr">
        <is>
          <t>auto_pipeline;review_png_green</t>
        </is>
      </c>
      <c r="R266" t="inlineStr">
        <is>
          <t>样品48</t>
        </is>
      </c>
    </row>
    <row r="267">
      <c r="A267" t="n">
        <v>266</v>
      </c>
      <c r="B267" t="inlineStr">
        <is>
          <t>48 (7).tif</t>
        </is>
      </c>
      <c r="C267" t="inlineStr">
        <is>
          <t>48(7)-V05</t>
        </is>
      </c>
      <c r="D267" t="n">
        <v>5</v>
      </c>
      <c r="E267" t="inlineStr">
        <is>
          <t>primary</t>
        </is>
      </c>
      <c r="F267" t="n">
        <v>215.7136105860114</v>
      </c>
      <c r="G267">
        <f>2*SQRT(F267/PI())</f>
        <v/>
      </c>
      <c r="H267" t="n">
        <v>55.87751691756041</v>
      </c>
      <c r="I267" t="n">
        <v>938</v>
      </c>
      <c r="J267" t="n">
        <v>538</v>
      </c>
      <c r="K267" t="n">
        <v>211.3993383742911</v>
      </c>
      <c r="L267" t="n">
        <v>220.0278827977316</v>
      </c>
      <c r="M267">
        <f>2*SQRT(K267/PI())</f>
        <v/>
      </c>
      <c r="N267">
        <f>2*SQRT(L267/PI())</f>
        <v/>
      </c>
      <c r="P267" t="inlineStr">
        <is>
          <t>是</t>
        </is>
      </c>
      <c r="Q267" t="inlineStr">
        <is>
          <t>auto_pipeline;review_png_green</t>
        </is>
      </c>
      <c r="R267" t="inlineStr">
        <is>
          <t>样品48</t>
        </is>
      </c>
    </row>
    <row r="268">
      <c r="A268" t="n">
        <v>267</v>
      </c>
      <c r="B268" t="inlineStr">
        <is>
          <t>48 (8).tif</t>
        </is>
      </c>
      <c r="C268" t="inlineStr">
        <is>
          <t>48(8)-V01</t>
        </is>
      </c>
      <c r="D268" t="n">
        <v>1</v>
      </c>
      <c r="E268" t="inlineStr">
        <is>
          <t>primary</t>
        </is>
      </c>
      <c r="F268" t="n">
        <v>654.0406427221172</v>
      </c>
      <c r="G268">
        <f>2*SQRT(F268/PI())</f>
        <v/>
      </c>
      <c r="H268" t="n">
        <v>95.91371704702792</v>
      </c>
      <c r="I268" t="n">
        <v>626</v>
      </c>
      <c r="J268" t="n">
        <v>370</v>
      </c>
      <c r="K268" t="n">
        <v>640.9598298676749</v>
      </c>
      <c r="L268" t="n">
        <v>667.1214555765596</v>
      </c>
      <c r="M268">
        <f>2*SQRT(K268/PI())</f>
        <v/>
      </c>
      <c r="N268">
        <f>2*SQRT(L268/PI())</f>
        <v/>
      </c>
      <c r="O268" t="inlineStr">
        <is>
          <t>48(8)-P01</t>
        </is>
      </c>
      <c r="P268" t="inlineStr">
        <is>
          <t>是</t>
        </is>
      </c>
      <c r="Q268" t="inlineStr">
        <is>
          <t>auto_pipeline;review_png_green</t>
        </is>
      </c>
      <c r="R268" t="inlineStr">
        <is>
          <t>样品48</t>
        </is>
      </c>
    </row>
    <row r="269">
      <c r="A269" t="n">
        <v>268</v>
      </c>
      <c r="B269" t="inlineStr">
        <is>
          <t>48 (8).tif</t>
        </is>
      </c>
      <c r="C269" t="inlineStr">
        <is>
          <t>48(8)-V02</t>
        </is>
      </c>
      <c r="D269" t="n">
        <v>2</v>
      </c>
      <c r="E269" t="inlineStr">
        <is>
          <t>primary</t>
        </is>
      </c>
      <c r="F269" t="n">
        <v>415.8790170132325</v>
      </c>
      <c r="G269">
        <f>2*SQRT(F269/PI())</f>
        <v/>
      </c>
      <c r="H269" t="n">
        <v>76.38314755066581</v>
      </c>
      <c r="I269" t="n">
        <v>491</v>
      </c>
      <c r="J269" t="n">
        <v>356</v>
      </c>
      <c r="K269" t="n">
        <v>407.5614366729678</v>
      </c>
      <c r="L269" t="n">
        <v>424.1965973534972</v>
      </c>
      <c r="M269">
        <f>2*SQRT(K269/PI())</f>
        <v/>
      </c>
      <c r="N269">
        <f>2*SQRT(L269/PI())</f>
        <v/>
      </c>
      <c r="O269" t="inlineStr">
        <is>
          <t>48(8)-P01</t>
        </is>
      </c>
      <c r="P269" t="inlineStr">
        <is>
          <t>是</t>
        </is>
      </c>
      <c r="Q269" t="inlineStr">
        <is>
          <t>auto_pipeline;review_png_green</t>
        </is>
      </c>
      <c r="R269" t="inlineStr">
        <is>
          <t>样品48</t>
        </is>
      </c>
    </row>
    <row r="270">
      <c r="A270" t="n">
        <v>269</v>
      </c>
      <c r="B270" t="inlineStr">
        <is>
          <t>48 (8).tif</t>
        </is>
      </c>
      <c r="C270" t="inlineStr">
        <is>
          <t>48(8)-V03</t>
        </is>
      </c>
      <c r="D270" t="n">
        <v>3</v>
      </c>
      <c r="E270" t="inlineStr">
        <is>
          <t>primary</t>
        </is>
      </c>
      <c r="F270" t="n">
        <v>407.3724007561437</v>
      </c>
      <c r="G270">
        <f>2*SQRT(F270/PI())</f>
        <v/>
      </c>
      <c r="H270" t="n">
        <v>77.14721684870513</v>
      </c>
      <c r="I270" t="n">
        <v>162</v>
      </c>
      <c r="J270" t="n">
        <v>273</v>
      </c>
      <c r="K270" t="n">
        <v>399.2249527410208</v>
      </c>
      <c r="L270" t="n">
        <v>415.5198487712666</v>
      </c>
      <c r="M270">
        <f>2*SQRT(K270/PI())</f>
        <v/>
      </c>
      <c r="N270">
        <f>2*SQRT(L270/PI())</f>
        <v/>
      </c>
      <c r="P270" t="inlineStr">
        <is>
          <t>是</t>
        </is>
      </c>
      <c r="Q270" t="inlineStr">
        <is>
          <t>auto_pipeline;review_png_green</t>
        </is>
      </c>
      <c r="R270" t="inlineStr">
        <is>
          <t>样品48</t>
        </is>
      </c>
    </row>
    <row r="271">
      <c r="A271" t="n">
        <v>270</v>
      </c>
      <c r="B271" t="inlineStr">
        <is>
          <t>48 (8).tif</t>
        </is>
      </c>
      <c r="C271" t="inlineStr">
        <is>
          <t>48(8)-V04</t>
        </is>
      </c>
      <c r="D271" t="n">
        <v>4</v>
      </c>
      <c r="E271" t="inlineStr">
        <is>
          <t>primary</t>
        </is>
      </c>
      <c r="F271" t="n">
        <v>313.0434782608696</v>
      </c>
      <c r="G271">
        <f>2*SQRT(F271/PI())</f>
        <v/>
      </c>
      <c r="H271" t="n">
        <v>66.50144240130548</v>
      </c>
      <c r="I271" t="n">
        <v>372</v>
      </c>
      <c r="J271" t="n">
        <v>485</v>
      </c>
      <c r="K271" t="n">
        <v>306.7826086956522</v>
      </c>
      <c r="L271" t="n">
        <v>319.3043478260869</v>
      </c>
      <c r="M271">
        <f>2*SQRT(K271/PI())</f>
        <v/>
      </c>
      <c r="N271">
        <f>2*SQRT(L271/PI())</f>
        <v/>
      </c>
      <c r="P271" t="inlineStr">
        <is>
          <t>是</t>
        </is>
      </c>
      <c r="Q271" t="inlineStr">
        <is>
          <t>auto_pipeline;review_png_green</t>
        </is>
      </c>
      <c r="R271" t="inlineStr">
        <is>
          <t>样品48</t>
        </is>
      </c>
    </row>
    <row r="272">
      <c r="A272" t="n">
        <v>271</v>
      </c>
      <c r="B272" t="inlineStr">
        <is>
          <t>48 (8).tif</t>
        </is>
      </c>
      <c r="C272" t="inlineStr">
        <is>
          <t>48(8)-V05</t>
        </is>
      </c>
      <c r="D272" t="n">
        <v>5</v>
      </c>
      <c r="E272" t="inlineStr">
        <is>
          <t>primary</t>
        </is>
      </c>
      <c r="F272" t="n">
        <v>277.930056710775</v>
      </c>
      <c r="G272">
        <f>2*SQRT(F272/PI())</f>
        <v/>
      </c>
      <c r="H272" t="n">
        <v>63.27787129775337</v>
      </c>
      <c r="I272" t="n">
        <v>255</v>
      </c>
      <c r="J272" t="n">
        <v>488</v>
      </c>
      <c r="K272" t="n">
        <v>272.3714555765595</v>
      </c>
      <c r="L272" t="n">
        <v>283.4886578449905</v>
      </c>
      <c r="M272">
        <f>2*SQRT(K272/PI())</f>
        <v/>
      </c>
      <c r="N272">
        <f>2*SQRT(L272/PI())</f>
        <v/>
      </c>
      <c r="P272" t="inlineStr">
        <is>
          <t>是</t>
        </is>
      </c>
      <c r="Q272" t="inlineStr">
        <is>
          <t>auto_pipeline;review_png_green</t>
        </is>
      </c>
      <c r="R272" t="inlineStr">
        <is>
          <t>样品48</t>
        </is>
      </c>
    </row>
    <row r="273">
      <c r="A273" t="n">
        <v>272</v>
      </c>
      <c r="B273" t="inlineStr">
        <is>
          <t>48 (8).tif</t>
        </is>
      </c>
      <c r="C273" t="inlineStr">
        <is>
          <t>48(8)-V06</t>
        </is>
      </c>
      <c r="D273" t="n">
        <v>6</v>
      </c>
      <c r="E273" t="inlineStr">
        <is>
          <t>primary</t>
        </is>
      </c>
      <c r="F273" t="n">
        <v>106.1436672967864</v>
      </c>
      <c r="G273">
        <f>2*SQRT(F273/PI())</f>
        <v/>
      </c>
      <c r="H273" t="n">
        <v>40.18539397612862</v>
      </c>
      <c r="I273" t="n">
        <v>304</v>
      </c>
      <c r="J273" t="n">
        <v>382</v>
      </c>
      <c r="K273" t="n">
        <v>104.0207939508507</v>
      </c>
      <c r="L273" t="n">
        <v>108.2665406427221</v>
      </c>
      <c r="M273">
        <f>2*SQRT(K273/PI())</f>
        <v/>
      </c>
      <c r="N273">
        <f>2*SQRT(L273/PI())</f>
        <v/>
      </c>
      <c r="P273" t="inlineStr">
        <is>
          <t>是</t>
        </is>
      </c>
      <c r="Q273" t="inlineStr">
        <is>
          <t>auto_pipeline;review_png_green</t>
        </is>
      </c>
      <c r="R273" t="inlineStr">
        <is>
          <t>样品48</t>
        </is>
      </c>
    </row>
    <row r="274">
      <c r="A274" t="n">
        <v>273</v>
      </c>
      <c r="B274" t="inlineStr">
        <is>
          <t>49 (1).tif</t>
        </is>
      </c>
      <c r="C274" t="inlineStr">
        <is>
          <t>49(1)-V01</t>
        </is>
      </c>
      <c r="D274" t="n">
        <v>1</v>
      </c>
      <c r="E274" t="inlineStr">
        <is>
          <t>primary</t>
        </is>
      </c>
      <c r="F274" t="n">
        <v>789.0595463137996</v>
      </c>
      <c r="G274">
        <f>2*SQRT(F274/PI())</f>
        <v/>
      </c>
      <c r="H274" t="n">
        <v>105.18054674501</v>
      </c>
      <c r="I274" t="n">
        <v>539</v>
      </c>
      <c r="J274" t="n">
        <v>428</v>
      </c>
      <c r="K274" t="n">
        <v>773.2783553875236</v>
      </c>
      <c r="L274" t="n">
        <v>804.8407372400757</v>
      </c>
      <c r="M274">
        <f>2*SQRT(K274/PI())</f>
        <v/>
      </c>
      <c r="N274">
        <f>2*SQRT(L274/PI())</f>
        <v/>
      </c>
      <c r="P274" t="inlineStr">
        <is>
          <t>是</t>
        </is>
      </c>
      <c r="Q274" t="inlineStr">
        <is>
          <t>auto_pipeline;review_png_green</t>
        </is>
      </c>
      <c r="R274" t="inlineStr">
        <is>
          <t>样品49</t>
        </is>
      </c>
    </row>
    <row r="275">
      <c r="A275" t="n">
        <v>274</v>
      </c>
      <c r="B275" t="inlineStr">
        <is>
          <t>49 (1).tif</t>
        </is>
      </c>
      <c r="C275" t="inlineStr">
        <is>
          <t>49(1)-V02</t>
        </is>
      </c>
      <c r="D275" t="n">
        <v>2</v>
      </c>
      <c r="E275" t="inlineStr">
        <is>
          <t>primary</t>
        </is>
      </c>
      <c r="F275" t="n">
        <v>705.3402646502835</v>
      </c>
      <c r="G275">
        <f>2*SQRT(F275/PI())</f>
        <v/>
      </c>
      <c r="H275" t="n">
        <v>99.62481871895167</v>
      </c>
      <c r="I275" t="n">
        <v>476</v>
      </c>
      <c r="J275" t="n">
        <v>280</v>
      </c>
      <c r="K275" t="n">
        <v>691.2334593572779</v>
      </c>
      <c r="L275" t="n">
        <v>719.4470699432892</v>
      </c>
      <c r="M275">
        <f>2*SQRT(K275/PI())</f>
        <v/>
      </c>
      <c r="N275">
        <f>2*SQRT(L275/PI())</f>
        <v/>
      </c>
      <c r="P275" t="inlineStr">
        <is>
          <t>是</t>
        </is>
      </c>
      <c r="Q275" t="inlineStr">
        <is>
          <t>auto_pipeline;review_png_green</t>
        </is>
      </c>
      <c r="R275" t="inlineStr">
        <is>
          <t>样品49</t>
        </is>
      </c>
    </row>
    <row r="276">
      <c r="A276" t="n">
        <v>275</v>
      </c>
      <c r="B276" t="inlineStr">
        <is>
          <t>49 (2).tif</t>
        </is>
      </c>
      <c r="C276" t="inlineStr">
        <is>
          <t>49(2)-V01</t>
        </is>
      </c>
      <c r="D276" t="n">
        <v>1</v>
      </c>
      <c r="E276" t="inlineStr">
        <is>
          <t>primary</t>
        </is>
      </c>
      <c r="F276" t="n">
        <v>1064.815689981097</v>
      </c>
      <c r="G276">
        <f>2*SQRT(F276/PI())</f>
        <v/>
      </c>
      <c r="H276" t="n">
        <v>123.8197020603263</v>
      </c>
      <c r="I276" t="n">
        <v>408</v>
      </c>
      <c r="J276" t="n">
        <v>415</v>
      </c>
      <c r="K276" t="n">
        <v>1043.519376181475</v>
      </c>
      <c r="L276" t="n">
        <v>1086.112003780718</v>
      </c>
      <c r="M276">
        <f>2*SQRT(K276/PI())</f>
        <v/>
      </c>
      <c r="N276">
        <f>2*SQRT(L276/PI())</f>
        <v/>
      </c>
      <c r="P276" t="inlineStr">
        <is>
          <t>是</t>
        </is>
      </c>
      <c r="Q276" t="inlineStr">
        <is>
          <t>auto_pipeline;review_png_green</t>
        </is>
      </c>
      <c r="R276" t="inlineStr">
        <is>
          <t>样品49</t>
        </is>
      </c>
    </row>
    <row r="277">
      <c r="A277" t="n">
        <v>276</v>
      </c>
      <c r="B277" t="inlineStr">
        <is>
          <t>49 (2).tif</t>
        </is>
      </c>
      <c r="C277" t="inlineStr">
        <is>
          <t>49(2)-V02</t>
        </is>
      </c>
      <c r="D277" t="n">
        <v>2</v>
      </c>
      <c r="E277" t="inlineStr">
        <is>
          <t>primary</t>
        </is>
      </c>
      <c r="F277" t="n">
        <v>448.038752362949</v>
      </c>
      <c r="G277">
        <f>2*SQRT(F277/PI())</f>
        <v/>
      </c>
      <c r="H277" t="n">
        <v>79.47937377121137</v>
      </c>
      <c r="I277" t="n">
        <v>581</v>
      </c>
      <c r="J277" t="n">
        <v>362</v>
      </c>
      <c r="K277" t="n">
        <v>439.07797731569</v>
      </c>
      <c r="L277" t="n">
        <v>456.999527410208</v>
      </c>
      <c r="M277">
        <f>2*SQRT(K277/PI())</f>
        <v/>
      </c>
      <c r="N277">
        <f>2*SQRT(L277/PI())</f>
        <v/>
      </c>
      <c r="P277" t="inlineStr">
        <is>
          <t>是</t>
        </is>
      </c>
      <c r="Q277" t="inlineStr">
        <is>
          <t>auto_pipeline;review_png_green</t>
        </is>
      </c>
      <c r="R277" t="inlineStr">
        <is>
          <t>样品49</t>
        </is>
      </c>
    </row>
    <row r="278">
      <c r="A278" t="n">
        <v>277</v>
      </c>
      <c r="B278" t="inlineStr">
        <is>
          <t>49 (2).tif</t>
        </is>
      </c>
      <c r="C278" t="inlineStr">
        <is>
          <t>49(2)-V03</t>
        </is>
      </c>
      <c r="D278" t="n">
        <v>3</v>
      </c>
      <c r="E278" t="inlineStr">
        <is>
          <t>primary</t>
        </is>
      </c>
      <c r="F278" t="n">
        <v>380.5056710775047</v>
      </c>
      <c r="G278">
        <f>2*SQRT(F278/PI())</f>
        <v/>
      </c>
      <c r="H278" t="n">
        <v>73.90179678149845</v>
      </c>
      <c r="I278" t="n">
        <v>886</v>
      </c>
      <c r="J278" t="n">
        <v>295</v>
      </c>
      <c r="K278" t="n">
        <v>372.8955576559546</v>
      </c>
      <c r="L278" t="n">
        <v>388.1157844990548</v>
      </c>
      <c r="M278">
        <f>2*SQRT(K278/PI())</f>
        <v/>
      </c>
      <c r="N278">
        <f>2*SQRT(L278/PI())</f>
        <v/>
      </c>
      <c r="P278" t="inlineStr">
        <is>
          <t>是</t>
        </is>
      </c>
      <c r="Q278" t="inlineStr">
        <is>
          <t>auto_pipeline;review_png_green</t>
        </is>
      </c>
      <c r="R278" t="inlineStr">
        <is>
          <t>样品49</t>
        </is>
      </c>
    </row>
    <row r="279">
      <c r="A279" t="n">
        <v>278</v>
      </c>
      <c r="B279" t="inlineStr">
        <is>
          <t>49 (3).tif</t>
        </is>
      </c>
      <c r="C279" t="inlineStr">
        <is>
          <t>49(3)-V01</t>
        </is>
      </c>
      <c r="D279" t="n">
        <v>1</v>
      </c>
      <c r="E279" t="inlineStr">
        <is>
          <t>primary</t>
        </is>
      </c>
      <c r="F279" t="n">
        <v>1381.616257088847</v>
      </c>
      <c r="G279">
        <f>2*SQRT(F279/PI())</f>
        <v/>
      </c>
      <c r="H279" t="n">
        <v>139.046143397041</v>
      </c>
      <c r="I279" t="n">
        <v>681</v>
      </c>
      <c r="J279" t="n">
        <v>385</v>
      </c>
      <c r="K279" t="n">
        <v>1353.98393194707</v>
      </c>
      <c r="L279" t="n">
        <v>1409.248582230624</v>
      </c>
      <c r="M279">
        <f>2*SQRT(K279/PI())</f>
        <v/>
      </c>
      <c r="N279">
        <f>2*SQRT(L279/PI())</f>
        <v/>
      </c>
      <c r="O279" t="inlineStr">
        <is>
          <t>49(3)-P01</t>
        </is>
      </c>
      <c r="P279" t="inlineStr">
        <is>
          <t>是</t>
        </is>
      </c>
      <c r="Q279" t="inlineStr">
        <is>
          <t>auto_pipeline;review_png_green</t>
        </is>
      </c>
      <c r="R279" t="inlineStr">
        <is>
          <t>样品49</t>
        </is>
      </c>
    </row>
    <row r="280">
      <c r="A280" t="n">
        <v>279</v>
      </c>
      <c r="B280" t="inlineStr">
        <is>
          <t>49 (3).tif</t>
        </is>
      </c>
      <c r="C280" t="inlineStr">
        <is>
          <t>49(3)-V02</t>
        </is>
      </c>
      <c r="D280" t="n">
        <v>2</v>
      </c>
      <c r="E280" t="inlineStr">
        <is>
          <t>primary</t>
        </is>
      </c>
      <c r="F280" t="n">
        <v>1043.856332703214</v>
      </c>
      <c r="G280">
        <f>2*SQRT(F280/PI())</f>
        <v/>
      </c>
      <c r="H280" t="n">
        <v>121.48754513782</v>
      </c>
      <c r="I280" t="n">
        <v>482</v>
      </c>
      <c r="J280" t="n">
        <v>334</v>
      </c>
      <c r="K280" t="n">
        <v>1022.979206049149</v>
      </c>
      <c r="L280" t="n">
        <v>1064.733459357278</v>
      </c>
      <c r="M280">
        <f>2*SQRT(K280/PI())</f>
        <v/>
      </c>
      <c r="N280">
        <f>2*SQRT(L280/PI())</f>
        <v/>
      </c>
      <c r="O280" t="inlineStr">
        <is>
          <t>49(3)-P01</t>
        </is>
      </c>
      <c r="P280" t="inlineStr">
        <is>
          <t>是</t>
        </is>
      </c>
      <c r="Q280" t="inlineStr">
        <is>
          <t>auto_pipeline;review_png_green</t>
        </is>
      </c>
      <c r="R280" t="inlineStr">
        <is>
          <t>样品49</t>
        </is>
      </c>
    </row>
    <row r="281">
      <c r="A281" t="n">
        <v>280</v>
      </c>
      <c r="B281" t="inlineStr">
        <is>
          <t>49 (3).tif</t>
        </is>
      </c>
      <c r="C281" t="inlineStr">
        <is>
          <t>49(3)-V03</t>
        </is>
      </c>
      <c r="D281" t="n">
        <v>3</v>
      </c>
      <c r="E281" t="inlineStr">
        <is>
          <t>primary</t>
        </is>
      </c>
      <c r="F281" t="n">
        <v>112.6417769376181</v>
      </c>
      <c r="G281">
        <f>2*SQRT(F281/PI())</f>
        <v/>
      </c>
      <c r="H281" t="n">
        <v>44.30037926072659</v>
      </c>
      <c r="I281" t="n">
        <v>93</v>
      </c>
      <c r="J281" t="n">
        <v>587</v>
      </c>
      <c r="K281" t="n">
        <v>110.3889413988658</v>
      </c>
      <c r="L281" t="n">
        <v>114.8946124763705</v>
      </c>
      <c r="M281">
        <f>2*SQRT(K281/PI())</f>
        <v/>
      </c>
      <c r="N281">
        <f>2*SQRT(L281/PI())</f>
        <v/>
      </c>
      <c r="P281" t="inlineStr">
        <is>
          <t>是</t>
        </is>
      </c>
      <c r="Q281" t="inlineStr">
        <is>
          <t>auto_pipeline;review_png_green</t>
        </is>
      </c>
      <c r="R281" t="inlineStr">
        <is>
          <t>样品49</t>
        </is>
      </c>
    </row>
    <row r="282">
      <c r="A282" t="n">
        <v>281</v>
      </c>
      <c r="B282" t="inlineStr">
        <is>
          <t>49 (4).tif</t>
        </is>
      </c>
      <c r="C282" t="inlineStr">
        <is>
          <t>49(4)-V01</t>
        </is>
      </c>
      <c r="D282" t="n">
        <v>1</v>
      </c>
      <c r="E282" t="inlineStr">
        <is>
          <t>primary</t>
        </is>
      </c>
      <c r="F282" t="n">
        <v>888.9886578449906</v>
      </c>
      <c r="G282">
        <f>2*SQRT(F282/PI())</f>
        <v/>
      </c>
      <c r="H282" t="n">
        <v>111.8605297544728</v>
      </c>
      <c r="I282" t="n">
        <v>430</v>
      </c>
      <c r="J282" t="n">
        <v>350</v>
      </c>
      <c r="K282" t="n">
        <v>871.2088846880907</v>
      </c>
      <c r="L282" t="n">
        <v>906.7684310018905</v>
      </c>
      <c r="M282">
        <f>2*SQRT(K282/PI())</f>
        <v/>
      </c>
      <c r="N282">
        <f>2*SQRT(L282/PI())</f>
        <v/>
      </c>
      <c r="P282" t="inlineStr">
        <is>
          <t>是</t>
        </is>
      </c>
      <c r="Q282" t="inlineStr">
        <is>
          <t>auto_pipeline;review_png_green</t>
        </is>
      </c>
      <c r="R282" t="inlineStr">
        <is>
          <t>样品49</t>
        </is>
      </c>
    </row>
    <row r="283">
      <c r="A283" t="n">
        <v>282</v>
      </c>
      <c r="B283" t="inlineStr">
        <is>
          <t>49 (4).tif</t>
        </is>
      </c>
      <c r="C283" t="inlineStr">
        <is>
          <t>49(4)-V02</t>
        </is>
      </c>
      <c r="D283" t="n">
        <v>2</v>
      </c>
      <c r="E283" t="inlineStr">
        <is>
          <t>primary</t>
        </is>
      </c>
      <c r="F283" t="n">
        <v>510.9168241965974</v>
      </c>
      <c r="G283">
        <f>2*SQRT(F283/PI())</f>
        <v/>
      </c>
      <c r="H283" t="n">
        <v>98.12227798544842</v>
      </c>
      <c r="I283" t="n">
        <v>915</v>
      </c>
      <c r="J283" t="n">
        <v>293</v>
      </c>
      <c r="K283" t="n">
        <v>500.6984877126654</v>
      </c>
      <c r="L283" t="n">
        <v>521.1351606805293</v>
      </c>
      <c r="M283">
        <f>2*SQRT(K283/PI())</f>
        <v/>
      </c>
      <c r="N283">
        <f>2*SQRT(L283/PI())</f>
        <v/>
      </c>
      <c r="P283" t="inlineStr">
        <is>
          <t>是</t>
        </is>
      </c>
      <c r="Q283" t="inlineStr">
        <is>
          <t>auto_pipeline;review_png_green</t>
        </is>
      </c>
      <c r="R283" t="inlineStr">
        <is>
          <t>样品49</t>
        </is>
      </c>
    </row>
    <row r="284">
      <c r="A284" t="n">
        <v>283</v>
      </c>
      <c r="B284" t="inlineStr">
        <is>
          <t>49 (5).tif</t>
        </is>
      </c>
      <c r="C284" t="inlineStr">
        <is>
          <t>49(5)-V01</t>
        </is>
      </c>
      <c r="D284" t="n">
        <v>1</v>
      </c>
      <c r="E284" t="inlineStr">
        <is>
          <t>primary</t>
        </is>
      </c>
      <c r="F284" t="n">
        <v>712.8544423440454</v>
      </c>
      <c r="G284">
        <f>2*SQRT(F284/PI())</f>
        <v/>
      </c>
      <c r="H284" t="n">
        <v>100.2396941703299</v>
      </c>
      <c r="I284" t="n">
        <v>548</v>
      </c>
      <c r="J284" t="n">
        <v>479</v>
      </c>
      <c r="K284" t="n">
        <v>698.5973534971645</v>
      </c>
      <c r="L284" t="n">
        <v>727.1115311909264</v>
      </c>
      <c r="M284">
        <f>2*SQRT(K284/PI())</f>
        <v/>
      </c>
      <c r="N284">
        <f>2*SQRT(L284/PI())</f>
        <v/>
      </c>
      <c r="P284" t="inlineStr">
        <is>
          <t>是</t>
        </is>
      </c>
      <c r="Q284" t="inlineStr">
        <is>
          <t>auto_pipeline;review_png_green</t>
        </is>
      </c>
      <c r="R284" t="inlineStr">
        <is>
          <t>样品49</t>
        </is>
      </c>
    </row>
    <row r="285">
      <c r="A285" t="n">
        <v>284</v>
      </c>
      <c r="B285" t="inlineStr">
        <is>
          <t>49 (5).tif</t>
        </is>
      </c>
      <c r="C285" t="inlineStr">
        <is>
          <t>49(5)-V02</t>
        </is>
      </c>
      <c r="D285" t="n">
        <v>2</v>
      </c>
      <c r="E285" t="inlineStr">
        <is>
          <t>primary</t>
        </is>
      </c>
      <c r="F285" t="n">
        <v>677.6937618147448</v>
      </c>
      <c r="G285">
        <f>2*SQRT(F285/PI())</f>
        <v/>
      </c>
      <c r="H285" t="n">
        <v>100.494383936343</v>
      </c>
      <c r="I285" t="n">
        <v>961</v>
      </c>
      <c r="J285" t="n">
        <v>547</v>
      </c>
      <c r="K285" t="n">
        <v>664.1398865784499</v>
      </c>
      <c r="L285" t="n">
        <v>691.2476370510396</v>
      </c>
      <c r="M285">
        <f>2*SQRT(K285/PI())</f>
        <v/>
      </c>
      <c r="N285">
        <f>2*SQRT(L285/PI())</f>
        <v/>
      </c>
      <c r="P285" t="inlineStr">
        <is>
          <t>是</t>
        </is>
      </c>
      <c r="Q285" t="inlineStr">
        <is>
          <t>auto_pipeline;review_png_green</t>
        </is>
      </c>
      <c r="R285" t="inlineStr">
        <is>
          <t>样品49</t>
        </is>
      </c>
    </row>
    <row r="286">
      <c r="A286" t="n">
        <v>285</v>
      </c>
      <c r="B286" t="inlineStr">
        <is>
          <t>49 (5).tif</t>
        </is>
      </c>
      <c r="C286" t="inlineStr">
        <is>
          <t>49(5)-V03</t>
        </is>
      </c>
      <c r="D286" t="n">
        <v>3</v>
      </c>
      <c r="E286" t="inlineStr">
        <is>
          <t>primary</t>
        </is>
      </c>
      <c r="F286" t="n">
        <v>674.4565217391305</v>
      </c>
      <c r="G286">
        <f>2*SQRT(F286/PI())</f>
        <v/>
      </c>
      <c r="H286" t="n">
        <v>97.39815771579742</v>
      </c>
      <c r="I286" t="n">
        <v>81</v>
      </c>
      <c r="J286" t="n">
        <v>141</v>
      </c>
      <c r="K286" t="n">
        <v>660.9673913043479</v>
      </c>
      <c r="L286" t="n">
        <v>687.9456521739131</v>
      </c>
      <c r="M286">
        <f>2*SQRT(K286/PI())</f>
        <v/>
      </c>
      <c r="N286">
        <f>2*SQRT(L286/PI())</f>
        <v/>
      </c>
      <c r="P286" t="inlineStr">
        <is>
          <t>是</t>
        </is>
      </c>
      <c r="Q286" t="inlineStr">
        <is>
          <t>auto_pipeline;review_png_green</t>
        </is>
      </c>
      <c r="R286" t="inlineStr">
        <is>
          <t>样品49</t>
        </is>
      </c>
    </row>
    <row r="287">
      <c r="A287" t="n">
        <v>286</v>
      </c>
      <c r="B287" t="inlineStr">
        <is>
          <t>49 (5).tif</t>
        </is>
      </c>
      <c r="C287" t="inlineStr">
        <is>
          <t>49(5)-V04</t>
        </is>
      </c>
      <c r="D287" t="n">
        <v>4</v>
      </c>
      <c r="E287" t="inlineStr">
        <is>
          <t>primary</t>
        </is>
      </c>
      <c r="F287" t="n">
        <v>523.7240075614367</v>
      </c>
      <c r="G287">
        <f>2*SQRT(F287/PI())</f>
        <v/>
      </c>
      <c r="H287" t="n">
        <v>85.90466701466104</v>
      </c>
      <c r="I287" t="n">
        <v>467</v>
      </c>
      <c r="J287" t="n">
        <v>352</v>
      </c>
      <c r="K287" t="n">
        <v>513.249527410208</v>
      </c>
      <c r="L287" t="n">
        <v>534.1984877126654</v>
      </c>
      <c r="M287">
        <f>2*SQRT(K287/PI())</f>
        <v/>
      </c>
      <c r="N287">
        <f>2*SQRT(L287/PI())</f>
        <v/>
      </c>
      <c r="P287" t="inlineStr">
        <is>
          <t>是</t>
        </is>
      </c>
      <c r="Q287" t="inlineStr">
        <is>
          <t>auto_pipeline;review_png_green</t>
        </is>
      </c>
      <c r="R287" t="inlineStr">
        <is>
          <t>样品49</t>
        </is>
      </c>
    </row>
    <row r="288">
      <c r="A288" t="n">
        <v>287</v>
      </c>
      <c r="B288" t="inlineStr">
        <is>
          <t>49 (5).tif</t>
        </is>
      </c>
      <c r="C288" t="inlineStr">
        <is>
          <t>49(5)-V05</t>
        </is>
      </c>
      <c r="D288" t="n">
        <v>5</v>
      </c>
      <c r="E288" t="inlineStr">
        <is>
          <t>primary</t>
        </is>
      </c>
      <c r="F288" t="n">
        <v>427.8355387523629</v>
      </c>
      <c r="G288">
        <f>2*SQRT(F288/PI())</f>
        <v/>
      </c>
      <c r="H288" t="n">
        <v>80.32709002494812</v>
      </c>
      <c r="I288" t="n">
        <v>152</v>
      </c>
      <c r="J288" t="n">
        <v>536</v>
      </c>
      <c r="K288" t="n">
        <v>419.2788279773156</v>
      </c>
      <c r="L288" t="n">
        <v>436.3922495274102</v>
      </c>
      <c r="M288">
        <f>2*SQRT(K288/PI())</f>
        <v/>
      </c>
      <c r="N288">
        <f>2*SQRT(L288/PI())</f>
        <v/>
      </c>
      <c r="P288" t="inlineStr">
        <is>
          <t>是</t>
        </is>
      </c>
      <c r="Q288" t="inlineStr">
        <is>
          <t>auto_pipeline;review_png_green</t>
        </is>
      </c>
      <c r="R288" t="inlineStr">
        <is>
          <t>样品49</t>
        </is>
      </c>
    </row>
    <row r="289">
      <c r="A289" t="n">
        <v>288</v>
      </c>
      <c r="B289" t="inlineStr">
        <is>
          <t>49 (5).tif</t>
        </is>
      </c>
      <c r="C289" t="inlineStr">
        <is>
          <t>49(5)-V06</t>
        </is>
      </c>
      <c r="D289" t="n">
        <v>6</v>
      </c>
      <c r="E289" t="inlineStr">
        <is>
          <t>primary</t>
        </is>
      </c>
      <c r="F289" t="n">
        <v>211.8620037807183</v>
      </c>
      <c r="G289">
        <f>2*SQRT(F289/PI())</f>
        <v/>
      </c>
      <c r="H289" t="n">
        <v>56.11035771991895</v>
      </c>
      <c r="I289" t="n">
        <v>606</v>
      </c>
      <c r="J289" t="n">
        <v>107</v>
      </c>
      <c r="K289" t="n">
        <v>207.624763705104</v>
      </c>
      <c r="L289" t="n">
        <v>216.0992438563327</v>
      </c>
      <c r="M289">
        <f>2*SQRT(K289/PI())</f>
        <v/>
      </c>
      <c r="N289">
        <f>2*SQRT(L289/PI())</f>
        <v/>
      </c>
      <c r="P289" t="inlineStr">
        <is>
          <t>是</t>
        </is>
      </c>
      <c r="Q289" t="inlineStr">
        <is>
          <t>auto_pipeline;review_png_green</t>
        </is>
      </c>
      <c r="R289" t="inlineStr">
        <is>
          <t>样品49</t>
        </is>
      </c>
    </row>
    <row r="290">
      <c r="A290" t="n">
        <v>289</v>
      </c>
      <c r="B290" t="inlineStr">
        <is>
          <t>49 (6).tif</t>
        </is>
      </c>
      <c r="C290" t="inlineStr">
        <is>
          <t>49(6)-V01</t>
        </is>
      </c>
      <c r="D290" t="n">
        <v>1</v>
      </c>
      <c r="E290" t="inlineStr">
        <is>
          <t>primary</t>
        </is>
      </c>
      <c r="F290" t="n">
        <v>644.4943289224952</v>
      </c>
      <c r="G290">
        <f>2*SQRT(F290/PI())</f>
        <v/>
      </c>
      <c r="H290" t="n">
        <v>95.29884159564972</v>
      </c>
      <c r="I290" t="n">
        <v>460</v>
      </c>
      <c r="J290" t="n">
        <v>331</v>
      </c>
      <c r="K290" t="n">
        <v>631.6044423440453</v>
      </c>
      <c r="L290" t="n">
        <v>657.3842155009452</v>
      </c>
      <c r="M290">
        <f>2*SQRT(K290/PI())</f>
        <v/>
      </c>
      <c r="N290">
        <f>2*SQRT(L290/PI())</f>
        <v/>
      </c>
      <c r="P290" t="inlineStr">
        <is>
          <t>是</t>
        </is>
      </c>
      <c r="Q290" t="inlineStr">
        <is>
          <t>auto_pipeline;review_png_green</t>
        </is>
      </c>
      <c r="R290" t="inlineStr">
        <is>
          <t>样品49</t>
        </is>
      </c>
    </row>
    <row r="291">
      <c r="A291" t="n">
        <v>290</v>
      </c>
      <c r="B291" t="inlineStr">
        <is>
          <t>49 (6).tif</t>
        </is>
      </c>
      <c r="C291" t="inlineStr">
        <is>
          <t>49(6)-V02</t>
        </is>
      </c>
      <c r="D291" t="n">
        <v>2</v>
      </c>
      <c r="E291" t="inlineStr">
        <is>
          <t>primary</t>
        </is>
      </c>
      <c r="F291" t="n">
        <v>127.3393194706994</v>
      </c>
      <c r="G291">
        <f>2*SQRT(F291/PI())</f>
        <v/>
      </c>
      <c r="H291" t="n">
        <v>44.97705270414767</v>
      </c>
      <c r="I291" t="n">
        <v>217</v>
      </c>
      <c r="J291" t="n">
        <v>92</v>
      </c>
      <c r="K291" t="n">
        <v>124.7925330812854</v>
      </c>
      <c r="L291" t="n">
        <v>129.8861058601134</v>
      </c>
      <c r="M291">
        <f>2*SQRT(K291/PI())</f>
        <v/>
      </c>
      <c r="N291">
        <f>2*SQRT(L291/PI())</f>
        <v/>
      </c>
      <c r="P291" t="inlineStr">
        <is>
          <t>是</t>
        </is>
      </c>
      <c r="Q291" t="inlineStr">
        <is>
          <t>auto_pipeline;review_png_green</t>
        </is>
      </c>
      <c r="R291" t="inlineStr">
        <is>
          <t>样品49</t>
        </is>
      </c>
    </row>
    <row r="292">
      <c r="A292" t="n">
        <v>291</v>
      </c>
      <c r="B292" t="inlineStr">
        <is>
          <t>49 (7).tif</t>
        </is>
      </c>
      <c r="C292" t="inlineStr">
        <is>
          <t>49(7)-V01</t>
        </is>
      </c>
      <c r="D292" t="n">
        <v>1</v>
      </c>
      <c r="E292" t="inlineStr">
        <is>
          <t>primary</t>
        </is>
      </c>
      <c r="F292" t="n">
        <v>1070.132325141777</v>
      </c>
      <c r="G292">
        <f>2*SQRT(F292/PI())</f>
        <v/>
      </c>
      <c r="H292" t="n">
        <v>122.6118001212244</v>
      </c>
      <c r="I292" t="n">
        <v>331</v>
      </c>
      <c r="J292" t="n">
        <v>391</v>
      </c>
      <c r="K292" t="n">
        <v>1048.729678638941</v>
      </c>
      <c r="L292" t="n">
        <v>1091.534971644612</v>
      </c>
      <c r="M292">
        <f>2*SQRT(K292/PI())</f>
        <v/>
      </c>
      <c r="N292">
        <f>2*SQRT(L292/PI())</f>
        <v/>
      </c>
      <c r="P292" t="inlineStr">
        <is>
          <t>是</t>
        </is>
      </c>
      <c r="Q292" t="inlineStr">
        <is>
          <t>auto_pipeline;review_png_green</t>
        </is>
      </c>
      <c r="R292" t="inlineStr">
        <is>
          <t>样品49</t>
        </is>
      </c>
    </row>
    <row r="293">
      <c r="A293" t="n">
        <v>292</v>
      </c>
      <c r="B293" t="inlineStr">
        <is>
          <t>49 (7).tif</t>
        </is>
      </c>
      <c r="C293" t="inlineStr">
        <is>
          <t>49(7)-V02</t>
        </is>
      </c>
      <c r="D293" t="n">
        <v>2</v>
      </c>
      <c r="E293" t="inlineStr">
        <is>
          <t>primary</t>
        </is>
      </c>
      <c r="F293" t="n">
        <v>672.8497164461247</v>
      </c>
      <c r="G293">
        <f>2*SQRT(F293/PI())</f>
        <v/>
      </c>
      <c r="H293" t="n">
        <v>97.14346794978432</v>
      </c>
      <c r="I293" t="n">
        <v>517</v>
      </c>
      <c r="J293" t="n">
        <v>292</v>
      </c>
      <c r="K293" t="n">
        <v>659.3927221172022</v>
      </c>
      <c r="L293" t="n">
        <v>686.3067107750472</v>
      </c>
      <c r="M293">
        <f>2*SQRT(K293/PI())</f>
        <v/>
      </c>
      <c r="N293">
        <f>2*SQRT(L293/PI())</f>
        <v/>
      </c>
      <c r="P293" t="inlineStr">
        <is>
          <t>是</t>
        </is>
      </c>
      <c r="Q293" t="inlineStr">
        <is>
          <t>auto_pipeline;review_png_green</t>
        </is>
      </c>
      <c r="R293" t="inlineStr">
        <is>
          <t>样品49</t>
        </is>
      </c>
    </row>
    <row r="294">
      <c r="A294" t="n">
        <v>293</v>
      </c>
      <c r="B294" t="inlineStr">
        <is>
          <t>49 (7).tif</t>
        </is>
      </c>
      <c r="C294" t="inlineStr">
        <is>
          <t>49(7)-V03</t>
        </is>
      </c>
      <c r="D294" t="n">
        <v>3</v>
      </c>
      <c r="E294" t="inlineStr">
        <is>
          <t>primary</t>
        </is>
      </c>
      <c r="F294" t="n">
        <v>420.2741020793951</v>
      </c>
      <c r="G294">
        <f>2*SQRT(F294/PI())</f>
        <v/>
      </c>
      <c r="H294" t="n">
        <v>77.25271276805712</v>
      </c>
      <c r="I294" t="n">
        <v>804</v>
      </c>
      <c r="J294" t="n">
        <v>154</v>
      </c>
      <c r="K294" t="n">
        <v>411.8686200378072</v>
      </c>
      <c r="L294" t="n">
        <v>428.679584120983</v>
      </c>
      <c r="M294">
        <f>2*SQRT(K294/PI())</f>
        <v/>
      </c>
      <c r="N294">
        <f>2*SQRT(L294/PI())</f>
        <v/>
      </c>
      <c r="P294" t="inlineStr">
        <is>
          <t>是</t>
        </is>
      </c>
      <c r="Q294" t="inlineStr">
        <is>
          <t>auto_pipeline;review_png_green</t>
        </is>
      </c>
      <c r="R294" t="inlineStr">
        <is>
          <t>样品49</t>
        </is>
      </c>
    </row>
    <row r="295">
      <c r="A295" t="n">
        <v>294</v>
      </c>
      <c r="B295" t="inlineStr">
        <is>
          <t>49 (8).tif</t>
        </is>
      </c>
      <c r="C295" t="inlineStr">
        <is>
          <t>49(8)-V01</t>
        </is>
      </c>
      <c r="D295" t="n">
        <v>1</v>
      </c>
      <c r="E295" t="inlineStr">
        <is>
          <t>primary</t>
        </is>
      </c>
      <c r="F295" t="n">
        <v>1103.308128544423</v>
      </c>
      <c r="G295">
        <f>2*SQRT(F295/PI())</f>
        <v/>
      </c>
      <c r="H295" t="n">
        <v>124.9658060073853</v>
      </c>
      <c r="I295" t="n">
        <v>449</v>
      </c>
      <c r="J295" t="n">
        <v>291</v>
      </c>
      <c r="K295" t="n">
        <v>1081.241965973535</v>
      </c>
      <c r="L295" t="n">
        <v>1125.374291115312</v>
      </c>
      <c r="M295">
        <f>2*SQRT(K295/PI())</f>
        <v/>
      </c>
      <c r="N295">
        <f>2*SQRT(L295/PI())</f>
        <v/>
      </c>
      <c r="O295" t="inlineStr">
        <is>
          <t>49(8)-P01</t>
        </is>
      </c>
      <c r="P295" t="inlineStr">
        <is>
          <t>是</t>
        </is>
      </c>
      <c r="Q295" t="inlineStr">
        <is>
          <t>auto_pipeline;review_png_green</t>
        </is>
      </c>
      <c r="R295" t="inlineStr">
        <is>
          <t>样品49</t>
        </is>
      </c>
    </row>
    <row r="296">
      <c r="A296" t="n">
        <v>295</v>
      </c>
      <c r="B296" t="inlineStr">
        <is>
          <t>49 (8).tif</t>
        </is>
      </c>
      <c r="C296" t="inlineStr">
        <is>
          <t>49(8)-V02</t>
        </is>
      </c>
      <c r="D296" t="n">
        <v>2</v>
      </c>
      <c r="E296" t="inlineStr">
        <is>
          <t>primary</t>
        </is>
      </c>
      <c r="F296" t="n">
        <v>733.8846880907372</v>
      </c>
      <c r="G296">
        <f>2*SQRT(F296/PI())</f>
        <v/>
      </c>
      <c r="H296" t="n">
        <v>102.8483898225038</v>
      </c>
      <c r="I296" t="n">
        <v>498</v>
      </c>
      <c r="J296" t="n">
        <v>468</v>
      </c>
      <c r="K296" t="n">
        <v>719.2069943289224</v>
      </c>
      <c r="L296" t="n">
        <v>748.562381852552</v>
      </c>
      <c r="M296">
        <f>2*SQRT(K296/PI())</f>
        <v/>
      </c>
      <c r="N296">
        <f>2*SQRT(L296/PI())</f>
        <v/>
      </c>
      <c r="O296" t="inlineStr">
        <is>
          <t>49(8)-P01</t>
        </is>
      </c>
      <c r="P296" t="inlineStr">
        <is>
          <t>是</t>
        </is>
      </c>
      <c r="Q296" t="inlineStr">
        <is>
          <t>auto_pipeline;review_png_green</t>
        </is>
      </c>
      <c r="R296" t="inlineStr">
        <is>
          <t>样品49</t>
        </is>
      </c>
    </row>
    <row r="297">
      <c r="A297" t="n">
        <v>296</v>
      </c>
      <c r="B297" t="inlineStr">
        <is>
          <t>49 (8).tif</t>
        </is>
      </c>
      <c r="C297" t="inlineStr">
        <is>
          <t>49(8)-V03</t>
        </is>
      </c>
      <c r="D297" t="n">
        <v>3</v>
      </c>
      <c r="E297" t="inlineStr">
        <is>
          <t>primary</t>
        </is>
      </c>
      <c r="F297" t="n">
        <v>539.1304347826087</v>
      </c>
      <c r="G297">
        <f>2*SQRT(F297/PI())</f>
        <v/>
      </c>
      <c r="H297" t="n">
        <v>87.74929336879565</v>
      </c>
      <c r="I297" t="n">
        <v>76</v>
      </c>
      <c r="J297" t="n">
        <v>453</v>
      </c>
      <c r="K297" t="n">
        <v>528.3478260869566</v>
      </c>
      <c r="L297" t="n">
        <v>549.9130434782609</v>
      </c>
      <c r="M297">
        <f>2*SQRT(K297/PI())</f>
        <v/>
      </c>
      <c r="N297">
        <f>2*SQRT(L297/PI())</f>
        <v/>
      </c>
      <c r="P297" t="inlineStr">
        <is>
          <t>是</t>
        </is>
      </c>
      <c r="Q297" t="inlineStr">
        <is>
          <t>auto_pipeline;review_png_green</t>
        </is>
      </c>
      <c r="R297" t="inlineStr">
        <is>
          <t>样品49</t>
        </is>
      </c>
    </row>
    <row r="298">
      <c r="A298" t="n">
        <v>297</v>
      </c>
      <c r="B298" t="inlineStr">
        <is>
          <t>50 (1).tif</t>
        </is>
      </c>
      <c r="C298" t="inlineStr">
        <is>
          <t>50(1)-V01</t>
        </is>
      </c>
      <c r="D298" t="n">
        <v>1</v>
      </c>
      <c r="E298" t="inlineStr">
        <is>
          <t>primary</t>
        </is>
      </c>
      <c r="F298" t="n">
        <v>910.2079395085066</v>
      </c>
      <c r="G298">
        <f>2*SQRT(F298/PI())</f>
        <v/>
      </c>
      <c r="H298" t="n">
        <v>113.3449704232423</v>
      </c>
      <c r="I298" t="n">
        <v>605</v>
      </c>
      <c r="J298" t="n">
        <v>324</v>
      </c>
      <c r="K298" t="n">
        <v>892.0037807183364</v>
      </c>
      <c r="L298" t="n">
        <v>928.4120982986767</v>
      </c>
      <c r="M298">
        <f>2*SQRT(K298/PI())</f>
        <v/>
      </c>
      <c r="N298">
        <f>2*SQRT(L298/PI())</f>
        <v/>
      </c>
      <c r="P298" t="inlineStr">
        <is>
          <t>是</t>
        </is>
      </c>
      <c r="Q298" t="inlineStr">
        <is>
          <t>auto_pipeline;review_png_green</t>
        </is>
      </c>
      <c r="R298" t="inlineStr">
        <is>
          <t>样品50</t>
        </is>
      </c>
    </row>
    <row r="299">
      <c r="A299" t="n">
        <v>298</v>
      </c>
      <c r="B299" t="inlineStr">
        <is>
          <t>50 (1).tif</t>
        </is>
      </c>
      <c r="C299" t="inlineStr">
        <is>
          <t>50(1)-V02</t>
        </is>
      </c>
      <c r="D299" t="n">
        <v>2</v>
      </c>
      <c r="E299" t="inlineStr">
        <is>
          <t>primary</t>
        </is>
      </c>
      <c r="F299" t="n">
        <v>699.2674858223062</v>
      </c>
      <c r="G299">
        <f>2*SQRT(F299/PI())</f>
        <v/>
      </c>
      <c r="H299" t="n">
        <v>99.75216360195823</v>
      </c>
      <c r="I299" t="n">
        <v>314</v>
      </c>
      <c r="J299" t="n">
        <v>140</v>
      </c>
      <c r="K299" t="n">
        <v>685.2821361058601</v>
      </c>
      <c r="L299" t="n">
        <v>713.2528355387523</v>
      </c>
      <c r="M299">
        <f>2*SQRT(K299/PI())</f>
        <v/>
      </c>
      <c r="N299">
        <f>2*SQRT(L299/PI())</f>
        <v/>
      </c>
      <c r="P299" t="inlineStr">
        <is>
          <t>是</t>
        </is>
      </c>
      <c r="Q299" t="inlineStr">
        <is>
          <t>auto_pipeline;review_png_green</t>
        </is>
      </c>
      <c r="R299" t="inlineStr">
        <is>
          <t>样品50</t>
        </is>
      </c>
    </row>
    <row r="300">
      <c r="A300" t="n">
        <v>299</v>
      </c>
      <c r="B300" t="inlineStr">
        <is>
          <t>50 (1).tif</t>
        </is>
      </c>
      <c r="C300" t="inlineStr">
        <is>
          <t>50(1)-V03</t>
        </is>
      </c>
      <c r="D300" t="n">
        <v>3</v>
      </c>
      <c r="E300" t="inlineStr">
        <is>
          <t>primary</t>
        </is>
      </c>
      <c r="F300" t="n">
        <v>614.2249527410208</v>
      </c>
      <c r="G300">
        <f>2*SQRT(F300/PI())</f>
        <v/>
      </c>
      <c r="H300" t="n">
        <v>93.17767651184745</v>
      </c>
      <c r="I300" t="n">
        <v>432</v>
      </c>
      <c r="J300" t="n">
        <v>333</v>
      </c>
      <c r="K300" t="n">
        <v>601.9404536862004</v>
      </c>
      <c r="L300" t="n">
        <v>626.5094517958413</v>
      </c>
      <c r="M300">
        <f>2*SQRT(K300/PI())</f>
        <v/>
      </c>
      <c r="N300">
        <f>2*SQRT(L300/PI())</f>
        <v/>
      </c>
      <c r="P300" t="inlineStr">
        <is>
          <t>是</t>
        </is>
      </c>
      <c r="Q300" t="inlineStr">
        <is>
          <t>auto_pipeline;review_png_green</t>
        </is>
      </c>
      <c r="R300" t="inlineStr">
        <is>
          <t>样品50</t>
        </is>
      </c>
    </row>
    <row r="301">
      <c r="A301" t="n">
        <v>300</v>
      </c>
      <c r="B301" t="inlineStr">
        <is>
          <t>50 (1).tif</t>
        </is>
      </c>
      <c r="C301" t="inlineStr">
        <is>
          <t>50(1)-V04</t>
        </is>
      </c>
      <c r="D301" t="n">
        <v>4</v>
      </c>
      <c r="E301" t="inlineStr">
        <is>
          <t>primary</t>
        </is>
      </c>
      <c r="F301" t="n">
        <v>125</v>
      </c>
      <c r="G301">
        <f>2*SQRT(F301/PI())</f>
        <v/>
      </c>
      <c r="H301" t="n">
        <v>43.00508146700652</v>
      </c>
      <c r="I301" t="n">
        <v>157</v>
      </c>
      <c r="J301" t="n">
        <v>96</v>
      </c>
      <c r="K301" t="n">
        <v>122.5</v>
      </c>
      <c r="L301" t="n">
        <v>127.5</v>
      </c>
      <c r="M301">
        <f>2*SQRT(K301/PI())</f>
        <v/>
      </c>
      <c r="N301">
        <f>2*SQRT(L301/PI())</f>
        <v/>
      </c>
      <c r="P301" t="inlineStr">
        <is>
          <t>是</t>
        </is>
      </c>
      <c r="Q301" t="inlineStr">
        <is>
          <t>auto_pipeline;review_png_green</t>
        </is>
      </c>
      <c r="R301" t="inlineStr">
        <is>
          <t>样品50</t>
        </is>
      </c>
    </row>
    <row r="302">
      <c r="A302" t="n">
        <v>301</v>
      </c>
      <c r="B302" t="inlineStr">
        <is>
          <t>50 (2).tif</t>
        </is>
      </c>
      <c r="C302" t="inlineStr">
        <is>
          <t>50(2)-V01</t>
        </is>
      </c>
      <c r="D302" t="n">
        <v>1</v>
      </c>
      <c r="E302" t="inlineStr">
        <is>
          <t>primary</t>
        </is>
      </c>
      <c r="F302" t="n">
        <v>834.3572778827977</v>
      </c>
      <c r="G302">
        <f>2*SQRT(F302/PI())</f>
        <v/>
      </c>
      <c r="H302" t="n">
        <v>109.1463381829469</v>
      </c>
      <c r="I302" t="n">
        <v>470</v>
      </c>
      <c r="J302" t="n">
        <v>456</v>
      </c>
      <c r="K302" t="n">
        <v>817.6701323251417</v>
      </c>
      <c r="L302" t="n">
        <v>851.0444234404537</v>
      </c>
      <c r="M302">
        <f>2*SQRT(K302/PI())</f>
        <v/>
      </c>
      <c r="N302">
        <f>2*SQRT(L302/PI())</f>
        <v/>
      </c>
      <c r="O302" t="inlineStr">
        <is>
          <t>50(2)-P01</t>
        </is>
      </c>
      <c r="P302" t="inlineStr">
        <is>
          <t>是</t>
        </is>
      </c>
      <c r="Q302" t="inlineStr">
        <is>
          <t>auto_pipeline;review_png_green</t>
        </is>
      </c>
      <c r="R302" t="inlineStr">
        <is>
          <t>样品50</t>
        </is>
      </c>
    </row>
    <row r="303">
      <c r="A303" t="n">
        <v>302</v>
      </c>
      <c r="B303" t="inlineStr">
        <is>
          <t>50 (2).tif</t>
        </is>
      </c>
      <c r="C303" t="inlineStr">
        <is>
          <t>50(2)-V02</t>
        </is>
      </c>
      <c r="D303" t="n">
        <v>2</v>
      </c>
      <c r="E303" t="inlineStr">
        <is>
          <t>primary</t>
        </is>
      </c>
      <c r="F303" t="n">
        <v>803.6389413988658</v>
      </c>
      <c r="G303">
        <f>2*SQRT(F303/PI())</f>
        <v/>
      </c>
      <c r="H303" t="n">
        <v>107.0470220627992</v>
      </c>
      <c r="I303" t="n">
        <v>544</v>
      </c>
      <c r="J303" t="n">
        <v>282</v>
      </c>
      <c r="K303" t="n">
        <v>787.5661625708884</v>
      </c>
      <c r="L303" t="n">
        <v>819.7117202268431</v>
      </c>
      <c r="M303">
        <f>2*SQRT(K303/PI())</f>
        <v/>
      </c>
      <c r="N303">
        <f>2*SQRT(L303/PI())</f>
        <v/>
      </c>
      <c r="O303" t="inlineStr">
        <is>
          <t>50(2)-P01</t>
        </is>
      </c>
      <c r="P303" t="inlineStr">
        <is>
          <t>是</t>
        </is>
      </c>
      <c r="Q303" t="inlineStr">
        <is>
          <t>auto_pipeline;review_png_green</t>
        </is>
      </c>
      <c r="R303" t="inlineStr">
        <is>
          <t>样品50</t>
        </is>
      </c>
    </row>
    <row r="304">
      <c r="A304" t="n">
        <v>303</v>
      </c>
      <c r="B304" t="inlineStr">
        <is>
          <t>50 (2).tif</t>
        </is>
      </c>
      <c r="C304" t="inlineStr">
        <is>
          <t>50(2)-V03</t>
        </is>
      </c>
      <c r="D304" t="n">
        <v>3</v>
      </c>
      <c r="E304" t="inlineStr">
        <is>
          <t>primary</t>
        </is>
      </c>
      <c r="F304" t="n">
        <v>736.9565217391305</v>
      </c>
      <c r="G304">
        <f>2*SQRT(F304/PI())</f>
        <v/>
      </c>
      <c r="H304" t="n">
        <v>101.7241348390994</v>
      </c>
      <c r="I304" t="n">
        <v>114</v>
      </c>
      <c r="J304" t="n">
        <v>515</v>
      </c>
      <c r="K304" t="n">
        <v>722.2173913043479</v>
      </c>
      <c r="L304" t="n">
        <v>751.6956521739131</v>
      </c>
      <c r="M304">
        <f>2*SQRT(K304/PI())</f>
        <v/>
      </c>
      <c r="N304">
        <f>2*SQRT(L304/PI())</f>
        <v/>
      </c>
      <c r="P304" t="inlineStr">
        <is>
          <t>是</t>
        </is>
      </c>
      <c r="Q304" t="inlineStr">
        <is>
          <t>auto_pipeline;review_png_green</t>
        </is>
      </c>
      <c r="R304" t="inlineStr">
        <is>
          <t>样品50</t>
        </is>
      </c>
    </row>
    <row r="305">
      <c r="A305" t="n">
        <v>304</v>
      </c>
      <c r="B305" t="inlineStr">
        <is>
          <t>50 (2).tif</t>
        </is>
      </c>
      <c r="C305" t="inlineStr">
        <is>
          <t>50(2)-V04</t>
        </is>
      </c>
      <c r="D305" t="n">
        <v>4</v>
      </c>
      <c r="E305" t="inlineStr">
        <is>
          <t>primary</t>
        </is>
      </c>
      <c r="F305" t="n">
        <v>520.8884688090737</v>
      </c>
      <c r="G305">
        <f>2*SQRT(F305/PI())</f>
        <v/>
      </c>
      <c r="H305" t="n">
        <v>85.90466701466104</v>
      </c>
      <c r="I305" t="n">
        <v>871</v>
      </c>
      <c r="J305" t="n">
        <v>231</v>
      </c>
      <c r="K305" t="n">
        <v>510.4706994328923</v>
      </c>
      <c r="L305" t="n">
        <v>531.3062381852552</v>
      </c>
      <c r="M305">
        <f>2*SQRT(K305/PI())</f>
        <v/>
      </c>
      <c r="N305">
        <f>2*SQRT(L305/PI())</f>
        <v/>
      </c>
      <c r="P305" t="inlineStr">
        <is>
          <t>是</t>
        </is>
      </c>
      <c r="Q305" t="inlineStr">
        <is>
          <t>auto_pipeline;review_png_green</t>
        </is>
      </c>
      <c r="R305" t="inlineStr">
        <is>
          <t>样品50</t>
        </is>
      </c>
    </row>
    <row r="306">
      <c r="A306" t="n">
        <v>305</v>
      </c>
      <c r="B306" t="inlineStr">
        <is>
          <t>50 (2).tif</t>
        </is>
      </c>
      <c r="C306" t="inlineStr">
        <is>
          <t>50(2)-V05</t>
        </is>
      </c>
      <c r="D306" t="n">
        <v>5</v>
      </c>
      <c r="E306" t="inlineStr">
        <is>
          <t>primary</t>
        </is>
      </c>
      <c r="F306" t="n">
        <v>405.1984877126654</v>
      </c>
      <c r="G306">
        <f>2*SQRT(F306/PI())</f>
        <v/>
      </c>
      <c r="H306" t="n">
        <v>137.0342231315115</v>
      </c>
      <c r="I306" t="n">
        <v>335</v>
      </c>
      <c r="J306" t="n">
        <v>361</v>
      </c>
      <c r="K306" t="n">
        <v>397.094517958412</v>
      </c>
      <c r="L306" t="n">
        <v>413.3024574669187</v>
      </c>
      <c r="M306">
        <f>2*SQRT(K306/PI())</f>
        <v/>
      </c>
      <c r="N306">
        <f>2*SQRT(L306/PI())</f>
        <v/>
      </c>
      <c r="P306" t="inlineStr">
        <is>
          <t>是</t>
        </is>
      </c>
      <c r="Q306" t="inlineStr">
        <is>
          <t>auto_pipeline;review_png_green</t>
        </is>
      </c>
      <c r="R306" t="inlineStr">
        <is>
          <t>样品50</t>
        </is>
      </c>
    </row>
    <row r="307">
      <c r="A307" t="n">
        <v>306</v>
      </c>
      <c r="B307" t="inlineStr">
        <is>
          <t>50 (2).tif</t>
        </is>
      </c>
      <c r="C307" t="inlineStr">
        <is>
          <t>50(2)-V06</t>
        </is>
      </c>
      <c r="D307" t="n">
        <v>6</v>
      </c>
      <c r="E307" t="inlineStr">
        <is>
          <t>primary</t>
        </is>
      </c>
      <c r="F307" t="n">
        <v>333.5538752362949</v>
      </c>
      <c r="G307">
        <f>2*SQRT(F307/PI())</f>
        <v/>
      </c>
      <c r="H307" t="n">
        <v>68.60075852145319</v>
      </c>
      <c r="I307" t="n">
        <v>541</v>
      </c>
      <c r="J307" t="n">
        <v>318</v>
      </c>
      <c r="K307" t="n">
        <v>326.882797731569</v>
      </c>
      <c r="L307" t="n">
        <v>340.2249527410208</v>
      </c>
      <c r="M307">
        <f>2*SQRT(K307/PI())</f>
        <v/>
      </c>
      <c r="N307">
        <f>2*SQRT(L307/PI())</f>
        <v/>
      </c>
      <c r="P307" t="inlineStr">
        <is>
          <t>是</t>
        </is>
      </c>
      <c r="Q307" t="inlineStr">
        <is>
          <t>auto_pipeline;review_png_green</t>
        </is>
      </c>
      <c r="R307" t="inlineStr">
        <is>
          <t>样品50</t>
        </is>
      </c>
    </row>
    <row r="308">
      <c r="A308" t="n">
        <v>307</v>
      </c>
      <c r="B308" t="inlineStr">
        <is>
          <t>50 (2).tif</t>
        </is>
      </c>
      <c r="C308" t="inlineStr">
        <is>
          <t>50(2)-V07</t>
        </is>
      </c>
      <c r="D308" t="n">
        <v>7</v>
      </c>
      <c r="E308" t="inlineStr">
        <is>
          <t>primary</t>
        </is>
      </c>
      <c r="F308" t="n">
        <v>243.1947069943289</v>
      </c>
      <c r="G308">
        <f>2*SQRT(F308/PI())</f>
        <v/>
      </c>
      <c r="H308" t="n">
        <v>58.56985952543175</v>
      </c>
      <c r="I308" t="n">
        <v>403</v>
      </c>
      <c r="J308" t="n">
        <v>221</v>
      </c>
      <c r="K308" t="n">
        <v>238.3308128544423</v>
      </c>
      <c r="L308" t="n">
        <v>248.0586011342155</v>
      </c>
      <c r="M308">
        <f>2*SQRT(K308/PI())</f>
        <v/>
      </c>
      <c r="N308">
        <f>2*SQRT(L308/PI())</f>
        <v/>
      </c>
      <c r="P308" t="inlineStr">
        <is>
          <t>是</t>
        </is>
      </c>
      <c r="Q308" t="inlineStr">
        <is>
          <t>auto_pipeline;review_png_green</t>
        </is>
      </c>
      <c r="R308" t="inlineStr">
        <is>
          <t>样品50</t>
        </is>
      </c>
    </row>
    <row r="309">
      <c r="A309" t="n">
        <v>308</v>
      </c>
      <c r="B309" t="inlineStr">
        <is>
          <t>50 (3).tif</t>
        </is>
      </c>
      <c r="C309" t="inlineStr">
        <is>
          <t>50(3)-V01</t>
        </is>
      </c>
      <c r="D309" t="n">
        <v>1</v>
      </c>
      <c r="E309" t="inlineStr">
        <is>
          <t>primary</t>
        </is>
      </c>
      <c r="F309" t="n">
        <v>785.0661625708884</v>
      </c>
      <c r="G309">
        <f>2*SQRT(F309/PI())</f>
        <v/>
      </c>
      <c r="H309" t="n">
        <v>105.3078916280166</v>
      </c>
      <c r="I309" t="n">
        <v>548</v>
      </c>
      <c r="J309" t="n">
        <v>272</v>
      </c>
      <c r="K309" t="n">
        <v>769.3648393194707</v>
      </c>
      <c r="L309" t="n">
        <v>800.7674858223062</v>
      </c>
      <c r="M309">
        <f>2*SQRT(K309/PI())</f>
        <v/>
      </c>
      <c r="N309">
        <f>2*SQRT(L309/PI())</f>
        <v/>
      </c>
      <c r="O309" t="inlineStr">
        <is>
          <t>50(3)-P01</t>
        </is>
      </c>
      <c r="P309" t="inlineStr">
        <is>
          <t>是</t>
        </is>
      </c>
      <c r="Q309" t="inlineStr">
        <is>
          <t>auto_pipeline;review_png_green</t>
        </is>
      </c>
      <c r="R309" t="inlineStr">
        <is>
          <t>样品50</t>
        </is>
      </c>
    </row>
    <row r="310">
      <c r="A310" t="n">
        <v>309</v>
      </c>
      <c r="B310" t="inlineStr">
        <is>
          <t>50 (3).tif</t>
        </is>
      </c>
      <c r="C310" t="inlineStr">
        <is>
          <t>50(3)-V02</t>
        </is>
      </c>
      <c r="D310" t="n">
        <v>2</v>
      </c>
      <c r="E310" t="inlineStr">
        <is>
          <t>primary</t>
        </is>
      </c>
      <c r="F310" t="n">
        <v>625.047258979206</v>
      </c>
      <c r="G310">
        <f>2*SQRT(F310/PI())</f>
        <v/>
      </c>
      <c r="H310" t="n">
        <v>93.94174580988677</v>
      </c>
      <c r="I310" t="n">
        <v>472</v>
      </c>
      <c r="J310" t="n">
        <v>416</v>
      </c>
      <c r="K310" t="n">
        <v>612.5463137996219</v>
      </c>
      <c r="L310" t="n">
        <v>637.5482041587902</v>
      </c>
      <c r="M310">
        <f>2*SQRT(K310/PI())</f>
        <v/>
      </c>
      <c r="N310">
        <f>2*SQRT(L310/PI())</f>
        <v/>
      </c>
      <c r="O310" t="inlineStr">
        <is>
          <t>50(3)-P01</t>
        </is>
      </c>
      <c r="P310" t="inlineStr">
        <is>
          <t>是</t>
        </is>
      </c>
      <c r="Q310" t="inlineStr">
        <is>
          <t>auto_pipeline;review_png_green</t>
        </is>
      </c>
      <c r="R310" t="inlineStr">
        <is>
          <t>样品50</t>
        </is>
      </c>
    </row>
    <row r="311">
      <c r="A311" t="n">
        <v>310</v>
      </c>
      <c r="B311" t="inlineStr">
        <is>
          <t>50 (3).tif</t>
        </is>
      </c>
      <c r="C311" t="inlineStr">
        <is>
          <t>50(3)-V03</t>
        </is>
      </c>
      <c r="D311" t="n">
        <v>3</v>
      </c>
      <c r="E311" t="inlineStr">
        <is>
          <t>primary</t>
        </is>
      </c>
      <c r="F311" t="n">
        <v>391.0680529300567</v>
      </c>
      <c r="G311">
        <f>2*SQRT(F311/PI())</f>
        <v/>
      </c>
      <c r="H311" t="n">
        <v>74.28383143051811</v>
      </c>
      <c r="I311" t="n">
        <v>907</v>
      </c>
      <c r="J311" t="n">
        <v>136</v>
      </c>
      <c r="K311" t="n">
        <v>383.2466918714555</v>
      </c>
      <c r="L311" t="n">
        <v>398.8894139886579</v>
      </c>
      <c r="M311">
        <f>2*SQRT(K311/PI())</f>
        <v/>
      </c>
      <c r="N311">
        <f>2*SQRT(L311/PI())</f>
        <v/>
      </c>
      <c r="P311" t="inlineStr">
        <is>
          <t>是</t>
        </is>
      </c>
      <c r="Q311" t="inlineStr">
        <is>
          <t>auto_pipeline;review_png_green</t>
        </is>
      </c>
      <c r="R311" t="inlineStr">
        <is>
          <t>样品50</t>
        </is>
      </c>
    </row>
    <row r="312">
      <c r="A312" t="n">
        <v>311</v>
      </c>
      <c r="B312" t="inlineStr">
        <is>
          <t>50 (3).tif</t>
        </is>
      </c>
      <c r="C312" t="inlineStr">
        <is>
          <t>50(3)-V04</t>
        </is>
      </c>
      <c r="D312" t="n">
        <v>4</v>
      </c>
      <c r="E312" t="inlineStr">
        <is>
          <t>primary</t>
        </is>
      </c>
      <c r="F312" t="n">
        <v>107.0415879017013</v>
      </c>
      <c r="G312">
        <f>2*SQRT(F312/PI())</f>
        <v/>
      </c>
      <c r="H312" t="n">
        <v>47.09821778794993</v>
      </c>
      <c r="I312" t="n">
        <v>713</v>
      </c>
      <c r="J312" t="n">
        <v>313</v>
      </c>
      <c r="K312" t="n">
        <v>104.9007561436673</v>
      </c>
      <c r="L312" t="n">
        <v>109.1824196597353</v>
      </c>
      <c r="M312">
        <f>2*SQRT(K312/PI())</f>
        <v/>
      </c>
      <c r="N312">
        <f>2*SQRT(L312/PI())</f>
        <v/>
      </c>
      <c r="P312" t="inlineStr">
        <is>
          <t>是</t>
        </is>
      </c>
      <c r="Q312" t="inlineStr">
        <is>
          <t>auto_pipeline;review_png_green</t>
        </is>
      </c>
      <c r="R312" t="inlineStr">
        <is>
          <t>样品50</t>
        </is>
      </c>
    </row>
    <row r="313">
      <c r="A313" t="n">
        <v>312</v>
      </c>
      <c r="B313" t="inlineStr">
        <is>
          <t>50 (4).tif</t>
        </is>
      </c>
      <c r="C313" t="inlineStr">
        <is>
          <t>50(4)-V01</t>
        </is>
      </c>
      <c r="D313" t="n">
        <v>1</v>
      </c>
      <c r="E313" t="inlineStr">
        <is>
          <t>primary</t>
        </is>
      </c>
      <c r="F313" t="n">
        <v>880.6238185255198</v>
      </c>
      <c r="G313">
        <f>2*SQRT(F313/PI())</f>
        <v/>
      </c>
      <c r="H313" t="n">
        <v>111.9660256738248</v>
      </c>
      <c r="I313" t="n">
        <v>515</v>
      </c>
      <c r="J313" t="n">
        <v>330</v>
      </c>
      <c r="K313" t="n">
        <v>863.0113421550094</v>
      </c>
      <c r="L313" t="n">
        <v>898.2362948960302</v>
      </c>
      <c r="M313">
        <f>2*SQRT(K313/PI())</f>
        <v/>
      </c>
      <c r="N313">
        <f>2*SQRT(L313/PI())</f>
        <v/>
      </c>
      <c r="P313" t="inlineStr">
        <is>
          <t>是</t>
        </is>
      </c>
      <c r="Q313" t="inlineStr">
        <is>
          <t>auto_pipeline;review_png_green</t>
        </is>
      </c>
      <c r="R313" t="inlineStr">
        <is>
          <t>样品50</t>
        </is>
      </c>
    </row>
    <row r="314">
      <c r="A314" t="n">
        <v>313</v>
      </c>
      <c r="B314" t="inlineStr">
        <is>
          <t>50 (4).tif</t>
        </is>
      </c>
      <c r="C314" t="inlineStr">
        <is>
          <t>50(4)-V02</t>
        </is>
      </c>
      <c r="D314" t="n">
        <v>2</v>
      </c>
      <c r="E314" t="inlineStr">
        <is>
          <t>primary</t>
        </is>
      </c>
      <c r="F314" t="n">
        <v>164.2013232514178</v>
      </c>
      <c r="G314">
        <f>2*SQRT(F314/PI())</f>
        <v/>
      </c>
      <c r="H314" t="n">
        <v>53.01413149937339</v>
      </c>
      <c r="I314" t="n">
        <v>536</v>
      </c>
      <c r="J314" t="n">
        <v>80</v>
      </c>
      <c r="K314" t="n">
        <v>160.9172967863894</v>
      </c>
      <c r="L314" t="n">
        <v>167.4853497164461</v>
      </c>
      <c r="M314">
        <f>2*SQRT(K314/PI())</f>
        <v/>
      </c>
      <c r="N314">
        <f>2*SQRT(L314/PI())</f>
        <v/>
      </c>
      <c r="P314" t="inlineStr">
        <is>
          <t>是</t>
        </is>
      </c>
      <c r="Q314" t="inlineStr">
        <is>
          <t>auto_pipeline;review_png_green</t>
        </is>
      </c>
      <c r="R314" t="inlineStr">
        <is>
          <t>样品50</t>
        </is>
      </c>
    </row>
    <row r="315">
      <c r="A315" t="n">
        <v>314</v>
      </c>
      <c r="B315" t="inlineStr">
        <is>
          <t>50 (4).tif</t>
        </is>
      </c>
      <c r="C315" t="inlineStr">
        <is>
          <t>50(4)-V03</t>
        </is>
      </c>
      <c r="D315" t="n">
        <v>3</v>
      </c>
      <c r="E315" t="inlineStr">
        <is>
          <t>primary</t>
        </is>
      </c>
      <c r="F315" t="n">
        <v>151.1578449905482</v>
      </c>
      <c r="G315">
        <f>2*SQRT(F315/PI())</f>
        <v/>
      </c>
      <c r="H315" t="n">
        <v>47.58574835632158</v>
      </c>
      <c r="I315" t="n">
        <v>372</v>
      </c>
      <c r="J315" t="n">
        <v>232</v>
      </c>
      <c r="K315" t="n">
        <v>148.1346880907372</v>
      </c>
      <c r="L315" t="n">
        <v>154.1810018903592</v>
      </c>
      <c r="M315">
        <f>2*SQRT(K315/PI())</f>
        <v/>
      </c>
      <c r="N315">
        <f>2*SQRT(L315/PI())</f>
        <v/>
      </c>
      <c r="P315" t="inlineStr">
        <is>
          <t>是</t>
        </is>
      </c>
      <c r="Q315" t="inlineStr">
        <is>
          <t>auto_pipeline;review_png_green</t>
        </is>
      </c>
      <c r="R315" t="inlineStr">
        <is>
          <t>样品50</t>
        </is>
      </c>
    </row>
    <row r="316">
      <c r="A316" t="n">
        <v>315</v>
      </c>
      <c r="B316" t="inlineStr">
        <is>
          <t>50 (4).tif</t>
        </is>
      </c>
      <c r="C316" t="inlineStr">
        <is>
          <t>50(4)-V04</t>
        </is>
      </c>
      <c r="D316" t="n">
        <v>4</v>
      </c>
      <c r="E316" t="inlineStr">
        <is>
          <t>primary</t>
        </is>
      </c>
      <c r="F316" t="n">
        <v>130.9310018903592</v>
      </c>
      <c r="G316">
        <f>2*SQRT(F316/PI())</f>
        <v/>
      </c>
      <c r="H316" t="n">
        <v>47.18186474364737</v>
      </c>
      <c r="I316" t="n">
        <v>564</v>
      </c>
      <c r="J316" t="n">
        <v>214</v>
      </c>
      <c r="K316" t="n">
        <v>128.312381852552</v>
      </c>
      <c r="L316" t="n">
        <v>133.5496219281663</v>
      </c>
      <c r="M316">
        <f>2*SQRT(K316/PI())</f>
        <v/>
      </c>
      <c r="N316">
        <f>2*SQRT(L316/PI())</f>
        <v/>
      </c>
      <c r="P316" t="inlineStr">
        <is>
          <t>是</t>
        </is>
      </c>
      <c r="Q316" t="inlineStr">
        <is>
          <t>auto_pipeline;review_png_green</t>
        </is>
      </c>
      <c r="R316" t="inlineStr">
        <is>
          <t>样品50</t>
        </is>
      </c>
    </row>
    <row r="317">
      <c r="A317" t="n">
        <v>316</v>
      </c>
      <c r="B317" t="inlineStr">
        <is>
          <t>50 (5).tif</t>
        </is>
      </c>
      <c r="C317" t="inlineStr">
        <is>
          <t>50(5)-V01</t>
        </is>
      </c>
      <c r="D317" t="n">
        <v>1</v>
      </c>
      <c r="E317" t="inlineStr">
        <is>
          <t>primary</t>
        </is>
      </c>
      <c r="F317" t="n">
        <v>1004.111531190926</v>
      </c>
      <c r="G317">
        <f>2*SQRT(F317/PI())</f>
        <v/>
      </c>
      <c r="H317" t="n">
        <v>122.2079165085502</v>
      </c>
      <c r="I317" t="n">
        <v>191</v>
      </c>
      <c r="J317" t="n">
        <v>103</v>
      </c>
      <c r="K317" t="n">
        <v>984.0293005671077</v>
      </c>
      <c r="L317" t="n">
        <v>1024.193761814745</v>
      </c>
      <c r="M317">
        <f>2*SQRT(K317/PI())</f>
        <v/>
      </c>
      <c r="N317">
        <f>2*SQRT(L317/PI())</f>
        <v/>
      </c>
      <c r="P317" t="inlineStr">
        <is>
          <t>是</t>
        </is>
      </c>
      <c r="Q317" t="inlineStr">
        <is>
          <t>auto_pipeline;review_png_green</t>
        </is>
      </c>
      <c r="R317" t="inlineStr">
        <is>
          <t>样品50</t>
        </is>
      </c>
    </row>
    <row r="318">
      <c r="A318" t="n">
        <v>317</v>
      </c>
      <c r="B318" t="inlineStr">
        <is>
          <t>50 (5).tif</t>
        </is>
      </c>
      <c r="C318" t="inlineStr">
        <is>
          <t>50(5)-V02</t>
        </is>
      </c>
      <c r="D318" t="n">
        <v>2</v>
      </c>
      <c r="E318" t="inlineStr">
        <is>
          <t>primary</t>
        </is>
      </c>
      <c r="F318" t="n">
        <v>201.6304347826087</v>
      </c>
      <c r="G318">
        <f>2*SQRT(F318/PI())</f>
        <v/>
      </c>
      <c r="H318" t="n">
        <v>53.2688212653865</v>
      </c>
      <c r="I318" t="n">
        <v>78</v>
      </c>
      <c r="J318" t="n">
        <v>64</v>
      </c>
      <c r="K318" t="n">
        <v>197.5978260869565</v>
      </c>
      <c r="L318" t="n">
        <v>205.6630434782609</v>
      </c>
      <c r="M318">
        <f>2*SQRT(K318/PI())</f>
        <v/>
      </c>
      <c r="N318">
        <f>2*SQRT(L318/PI())</f>
        <v/>
      </c>
      <c r="P318" t="inlineStr">
        <is>
          <t>是</t>
        </is>
      </c>
      <c r="Q318" t="inlineStr">
        <is>
          <t>auto_pipeline;review_png_green</t>
        </is>
      </c>
      <c r="R318" t="inlineStr">
        <is>
          <t>样品50</t>
        </is>
      </c>
    </row>
    <row r="319">
      <c r="A319" t="n">
        <v>318</v>
      </c>
      <c r="B319" t="inlineStr">
        <is>
          <t>50 (5).tif</t>
        </is>
      </c>
      <c r="C319" t="inlineStr">
        <is>
          <t>50(5)-V03</t>
        </is>
      </c>
      <c r="D319" t="n">
        <v>3</v>
      </c>
      <c r="E319" t="inlineStr">
        <is>
          <t>primary</t>
        </is>
      </c>
      <c r="F319" t="n">
        <v>160.8695652173913</v>
      </c>
      <c r="G319">
        <f>2*SQRT(F319/PI())</f>
        <v/>
      </c>
      <c r="H319" t="n">
        <v>47.45840347331503</v>
      </c>
      <c r="I319" t="n">
        <v>155</v>
      </c>
      <c r="J319" t="n">
        <v>611</v>
      </c>
      <c r="K319" t="n">
        <v>157.6521739130435</v>
      </c>
      <c r="L319" t="n">
        <v>164.0869565217392</v>
      </c>
      <c r="M319">
        <f>2*SQRT(K319/PI())</f>
        <v/>
      </c>
      <c r="N319">
        <f>2*SQRT(L319/PI())</f>
        <v/>
      </c>
      <c r="P319" t="inlineStr">
        <is>
          <t>是</t>
        </is>
      </c>
      <c r="Q319" t="inlineStr">
        <is>
          <t>auto_pipeline;review_png_green</t>
        </is>
      </c>
      <c r="R319" t="inlineStr">
        <is>
          <t>样品50</t>
        </is>
      </c>
    </row>
    <row r="320">
      <c r="A320" t="n">
        <v>319</v>
      </c>
      <c r="B320" t="inlineStr">
        <is>
          <t>50 (5).tif</t>
        </is>
      </c>
      <c r="C320" t="inlineStr">
        <is>
          <t>50(5)-V04</t>
        </is>
      </c>
      <c r="D320" t="n">
        <v>4</v>
      </c>
      <c r="E320" t="inlineStr">
        <is>
          <t>primary</t>
        </is>
      </c>
      <c r="F320" t="n">
        <v>119.7069943289225</v>
      </c>
      <c r="G320">
        <f>2*SQRT(F320/PI())</f>
        <v/>
      </c>
      <c r="H320" t="n">
        <v>47.41470554600591</v>
      </c>
      <c r="I320" t="n">
        <v>944</v>
      </c>
      <c r="J320" t="n">
        <v>208</v>
      </c>
      <c r="K320" t="n">
        <v>117.312854442344</v>
      </c>
      <c r="L320" t="n">
        <v>122.1011342155009</v>
      </c>
      <c r="M320">
        <f>2*SQRT(K320/PI())</f>
        <v/>
      </c>
      <c r="N320">
        <f>2*SQRT(L320/PI())</f>
        <v/>
      </c>
      <c r="P320" t="inlineStr">
        <is>
          <t>是</t>
        </is>
      </c>
      <c r="Q320" t="inlineStr">
        <is>
          <t>auto_pipeline;review_png_green</t>
        </is>
      </c>
      <c r="R320" t="inlineStr">
        <is>
          <t>样品50</t>
        </is>
      </c>
    </row>
    <row r="321">
      <c r="A321" t="n">
        <v>320</v>
      </c>
      <c r="B321" t="inlineStr">
        <is>
          <t>50 (6).tif</t>
        </is>
      </c>
      <c r="C321" t="inlineStr">
        <is>
          <t>50(6)-V01</t>
        </is>
      </c>
      <c r="D321" t="n">
        <v>1</v>
      </c>
      <c r="E321" t="inlineStr">
        <is>
          <t>primary</t>
        </is>
      </c>
      <c r="F321" t="n">
        <v>605.3166351606806</v>
      </c>
      <c r="G321">
        <f>2*SQRT(F321/PI())</f>
        <v/>
      </c>
      <c r="H321" t="n">
        <v>92.58465002412382</v>
      </c>
      <c r="I321" t="n">
        <v>524</v>
      </c>
      <c r="J321" t="n">
        <v>322</v>
      </c>
      <c r="K321" t="n">
        <v>593.2103024574669</v>
      </c>
      <c r="L321" t="n">
        <v>617.4229678638942</v>
      </c>
      <c r="M321">
        <f>2*SQRT(K321/PI())</f>
        <v/>
      </c>
      <c r="N321">
        <f>2*SQRT(L321/PI())</f>
        <v/>
      </c>
      <c r="O321" t="inlineStr">
        <is>
          <t>50(6)-P01</t>
        </is>
      </c>
      <c r="P321" t="inlineStr">
        <is>
          <t>是</t>
        </is>
      </c>
      <c r="Q321" t="inlineStr">
        <is>
          <t>auto_pipeline;review_png_green</t>
        </is>
      </c>
      <c r="R321" t="inlineStr">
        <is>
          <t>样品50</t>
        </is>
      </c>
    </row>
    <row r="322">
      <c r="A322" t="n">
        <v>321</v>
      </c>
      <c r="B322" t="inlineStr">
        <is>
          <t>50 (6).tif</t>
        </is>
      </c>
      <c r="C322" t="inlineStr">
        <is>
          <t>50(6)-V02</t>
        </is>
      </c>
      <c r="D322" t="n">
        <v>2</v>
      </c>
      <c r="E322" t="inlineStr">
        <is>
          <t>primary</t>
        </is>
      </c>
      <c r="F322" t="n">
        <v>453.7098298676748</v>
      </c>
      <c r="G322">
        <f>2*SQRT(F322/PI())</f>
        <v/>
      </c>
      <c r="H322" t="n">
        <v>80.34893898860268</v>
      </c>
      <c r="I322" t="n">
        <v>442</v>
      </c>
      <c r="J322" t="n">
        <v>427</v>
      </c>
      <c r="K322" t="n">
        <v>444.6356332703214</v>
      </c>
      <c r="L322" t="n">
        <v>462.7840264650283</v>
      </c>
      <c r="M322">
        <f>2*SQRT(K322/PI())</f>
        <v/>
      </c>
      <c r="N322">
        <f>2*SQRT(L322/PI())</f>
        <v/>
      </c>
      <c r="O322" t="inlineStr">
        <is>
          <t>50(6)-P01</t>
        </is>
      </c>
      <c r="P322" t="inlineStr">
        <is>
          <t>是</t>
        </is>
      </c>
      <c r="Q322" t="inlineStr">
        <is>
          <t>auto_pipeline;review_png_green</t>
        </is>
      </c>
      <c r="R322" t="inlineStr">
        <is>
          <t>样品50</t>
        </is>
      </c>
    </row>
    <row r="323">
      <c r="A323" t="n">
        <v>322</v>
      </c>
      <c r="B323" t="inlineStr">
        <is>
          <t>50 (6).tif</t>
        </is>
      </c>
      <c r="C323" t="inlineStr">
        <is>
          <t>50(6)-V03</t>
        </is>
      </c>
      <c r="D323" t="n">
        <v>3</v>
      </c>
      <c r="E323" t="inlineStr">
        <is>
          <t>primary</t>
        </is>
      </c>
      <c r="F323" t="n">
        <v>399.1257088846881</v>
      </c>
      <c r="G323">
        <f>2*SQRT(F323/PI())</f>
        <v/>
      </c>
      <c r="H323" t="n">
        <v>77.23086380440256</v>
      </c>
      <c r="I323" t="n">
        <v>904</v>
      </c>
      <c r="J323" t="n">
        <v>245</v>
      </c>
      <c r="K323" t="n">
        <v>391.1431947069943</v>
      </c>
      <c r="L323" t="n">
        <v>407.1082230623819</v>
      </c>
      <c r="M323">
        <f>2*SQRT(K323/PI())</f>
        <v/>
      </c>
      <c r="N323">
        <f>2*SQRT(L323/PI())</f>
        <v/>
      </c>
      <c r="P323" t="inlineStr">
        <is>
          <t>是</t>
        </is>
      </c>
      <c r="Q323" t="inlineStr">
        <is>
          <t>auto_pipeline;review_png_green</t>
        </is>
      </c>
      <c r="R323" t="inlineStr">
        <is>
          <t>样品50</t>
        </is>
      </c>
    </row>
    <row r="324">
      <c r="A324" t="n">
        <v>323</v>
      </c>
      <c r="B324" t="inlineStr">
        <is>
          <t>50 (6).tif</t>
        </is>
      </c>
      <c r="C324" t="inlineStr">
        <is>
          <t>50(6)-V04</t>
        </is>
      </c>
      <c r="D324" t="n">
        <v>4</v>
      </c>
      <c r="E324" t="inlineStr">
        <is>
          <t>primary</t>
        </is>
      </c>
      <c r="F324" t="n">
        <v>120.9593572778828</v>
      </c>
      <c r="G324">
        <f>2*SQRT(F324/PI())</f>
        <v/>
      </c>
      <c r="H324" t="n">
        <v>47.90223611437756</v>
      </c>
      <c r="I324" t="n">
        <v>391</v>
      </c>
      <c r="J324" t="n">
        <v>330</v>
      </c>
      <c r="K324" t="n">
        <v>118.5401701323251</v>
      </c>
      <c r="L324" t="n">
        <v>123.3785444234405</v>
      </c>
      <c r="M324">
        <f>2*SQRT(K324/PI())</f>
        <v/>
      </c>
      <c r="N324">
        <f>2*SQRT(L324/PI())</f>
        <v/>
      </c>
      <c r="P324" t="inlineStr">
        <is>
          <t>是</t>
        </is>
      </c>
      <c r="Q324" t="inlineStr">
        <is>
          <t>auto_pipeline;review_png_green</t>
        </is>
      </c>
      <c r="R324" t="inlineStr">
        <is>
          <t>样品50</t>
        </is>
      </c>
    </row>
    <row r="325">
      <c r="A325" t="n">
        <v>324</v>
      </c>
      <c r="B325" t="inlineStr">
        <is>
          <t>50 (6).tif</t>
        </is>
      </c>
      <c r="C325" t="inlineStr">
        <is>
          <t>50(6)-V05</t>
        </is>
      </c>
      <c r="D325" t="n">
        <v>5</v>
      </c>
      <c r="E325" t="inlineStr">
        <is>
          <t>primary</t>
        </is>
      </c>
      <c r="F325" t="n">
        <v>114.9102079395085</v>
      </c>
      <c r="G325">
        <f>2*SQRT(F325/PI())</f>
        <v/>
      </c>
      <c r="H325" t="n">
        <v>40.41823477848716</v>
      </c>
      <c r="I325" t="n">
        <v>962</v>
      </c>
      <c r="J325" t="n">
        <v>124</v>
      </c>
      <c r="K325" t="n">
        <v>112.6120037807183</v>
      </c>
      <c r="L325" t="n">
        <v>117.2084120982987</v>
      </c>
      <c r="M325">
        <f>2*SQRT(K325/PI())</f>
        <v/>
      </c>
      <c r="N325">
        <f>2*SQRT(L325/PI())</f>
        <v/>
      </c>
      <c r="P325" t="inlineStr">
        <is>
          <t>是</t>
        </is>
      </c>
      <c r="Q325" t="inlineStr">
        <is>
          <t>auto_pipeline;review_png_green</t>
        </is>
      </c>
      <c r="R325" t="inlineStr">
        <is>
          <t>样品50</t>
        </is>
      </c>
    </row>
    <row r="326">
      <c r="A326" t="n">
        <v>325</v>
      </c>
      <c r="B326" t="inlineStr">
        <is>
          <t>50 (6).tif</t>
        </is>
      </c>
      <c r="C326" t="inlineStr">
        <is>
          <t>50(6)-V06</t>
        </is>
      </c>
      <c r="D326" t="n">
        <v>6</v>
      </c>
      <c r="E326" t="inlineStr">
        <is>
          <t>primary</t>
        </is>
      </c>
      <c r="F326" t="n">
        <v>44.65973534971645</v>
      </c>
      <c r="G326">
        <f>2*SQRT(F326/PI())</f>
        <v/>
      </c>
      <c r="H326" t="n">
        <v>30.5583785927814</v>
      </c>
      <c r="I326" t="n">
        <v>506</v>
      </c>
      <c r="J326" t="n">
        <v>371</v>
      </c>
      <c r="K326" t="n">
        <v>43.76654064272212</v>
      </c>
      <c r="L326" t="n">
        <v>45.55293005671078</v>
      </c>
      <c r="M326">
        <f>2*SQRT(K326/PI())</f>
        <v/>
      </c>
      <c r="N326">
        <f>2*SQRT(L326/PI())</f>
        <v/>
      </c>
      <c r="P326" t="inlineStr">
        <is>
          <t>是</t>
        </is>
      </c>
      <c r="Q326" t="inlineStr">
        <is>
          <t>auto_pipeline;review_png_green</t>
        </is>
      </c>
      <c r="R326" t="inlineStr">
        <is>
          <t>样品50</t>
        </is>
      </c>
    </row>
    <row r="327">
      <c r="A327" t="n">
        <v>326</v>
      </c>
      <c r="B327" t="inlineStr">
        <is>
          <t>50 (7).tif</t>
        </is>
      </c>
      <c r="C327" t="inlineStr">
        <is>
          <t>50(7)-V01</t>
        </is>
      </c>
      <c r="D327" t="n">
        <v>1</v>
      </c>
      <c r="E327" t="inlineStr">
        <is>
          <t>primary</t>
        </is>
      </c>
      <c r="F327" t="n">
        <v>767.8638941398866</v>
      </c>
      <c r="G327">
        <f>2*SQRT(F327/PI())</f>
        <v/>
      </c>
      <c r="H327" t="n">
        <v>103.8234509592471</v>
      </c>
      <c r="I327" t="n">
        <v>510</v>
      </c>
      <c r="J327" t="n">
        <v>459</v>
      </c>
      <c r="K327" t="n">
        <v>752.5066162570889</v>
      </c>
      <c r="L327" t="n">
        <v>783.2211720226843</v>
      </c>
      <c r="M327">
        <f>2*SQRT(K327/PI())</f>
        <v/>
      </c>
      <c r="N327">
        <f>2*SQRT(L327/PI())</f>
        <v/>
      </c>
      <c r="O327" t="inlineStr">
        <is>
          <t>50(7)-P01</t>
        </is>
      </c>
      <c r="P327" t="inlineStr">
        <is>
          <t>是</t>
        </is>
      </c>
      <c r="Q327" t="inlineStr">
        <is>
          <t>auto_pipeline;review_png_green</t>
        </is>
      </c>
      <c r="R327" t="inlineStr">
        <is>
          <t>样品50</t>
        </is>
      </c>
    </row>
    <row r="328">
      <c r="A328" t="n">
        <v>327</v>
      </c>
      <c r="B328" t="inlineStr">
        <is>
          <t>50 (7).tif</t>
        </is>
      </c>
      <c r="C328" t="inlineStr">
        <is>
          <t>50(7)-V02</t>
        </is>
      </c>
      <c r="D328" t="n">
        <v>2</v>
      </c>
      <c r="E328" t="inlineStr">
        <is>
          <t>primary</t>
        </is>
      </c>
      <c r="F328" t="n">
        <v>744.9669187145557</v>
      </c>
      <c r="G328">
        <f>2*SQRT(F328/PI())</f>
        <v/>
      </c>
      <c r="H328" t="n">
        <v>102.4663551734841</v>
      </c>
      <c r="I328" t="n">
        <v>501</v>
      </c>
      <c r="J328" t="n">
        <v>300</v>
      </c>
      <c r="K328" t="n">
        <v>730.0675803402646</v>
      </c>
      <c r="L328" t="n">
        <v>759.8662570888469</v>
      </c>
      <c r="M328">
        <f>2*SQRT(K328/PI())</f>
        <v/>
      </c>
      <c r="N328">
        <f>2*SQRT(L328/PI())</f>
        <v/>
      </c>
      <c r="O328" t="inlineStr">
        <is>
          <t>50(7)-P01</t>
        </is>
      </c>
      <c r="P328" t="inlineStr">
        <is>
          <t>是</t>
        </is>
      </c>
      <c r="Q328" t="inlineStr">
        <is>
          <t>auto_pipeline;review_png_green</t>
        </is>
      </c>
      <c r="R328" t="inlineStr">
        <is>
          <t>样品50</t>
        </is>
      </c>
    </row>
    <row r="329">
      <c r="A329" t="n">
        <v>328</v>
      </c>
      <c r="B329" t="inlineStr">
        <is>
          <t>50 (7).tif</t>
        </is>
      </c>
      <c r="C329" t="inlineStr">
        <is>
          <t>50(7)-V03</t>
        </is>
      </c>
      <c r="D329" t="n">
        <v>3</v>
      </c>
      <c r="E329" t="inlineStr">
        <is>
          <t>primary</t>
        </is>
      </c>
      <c r="F329" t="n">
        <v>369.0926275992439</v>
      </c>
      <c r="G329">
        <f>2*SQRT(F329/PI())</f>
        <v/>
      </c>
      <c r="H329" t="n">
        <v>78.12227798544842</v>
      </c>
      <c r="I329" t="n">
        <v>443</v>
      </c>
      <c r="J329" t="n">
        <v>81</v>
      </c>
      <c r="K329" t="n">
        <v>361.710775047259</v>
      </c>
      <c r="L329" t="n">
        <v>376.4744801512288</v>
      </c>
      <c r="M329">
        <f>2*SQRT(K329/PI())</f>
        <v/>
      </c>
      <c r="N329">
        <f>2*SQRT(L329/PI())</f>
        <v/>
      </c>
      <c r="P329" t="inlineStr">
        <is>
          <t>是</t>
        </is>
      </c>
      <c r="Q329" t="inlineStr">
        <is>
          <t>auto_pipeline;review_png_green</t>
        </is>
      </c>
      <c r="R329" t="inlineStr">
        <is>
          <t>样品50</t>
        </is>
      </c>
    </row>
    <row r="330">
      <c r="A330" t="n">
        <v>329</v>
      </c>
      <c r="B330" t="inlineStr">
        <is>
          <t>50 (7).tif</t>
        </is>
      </c>
      <c r="C330" t="inlineStr">
        <is>
          <t>50(7)-V04</t>
        </is>
      </c>
      <c r="D330" t="n">
        <v>4</v>
      </c>
      <c r="E330" t="inlineStr">
        <is>
          <t>primary</t>
        </is>
      </c>
      <c r="F330" t="n">
        <v>174.5982986767486</v>
      </c>
      <c r="G330">
        <f>2*SQRT(F330/PI())</f>
        <v/>
      </c>
      <c r="H330" t="n">
        <v>50.91481537922569</v>
      </c>
      <c r="I330" t="n">
        <v>953</v>
      </c>
      <c r="J330" t="n">
        <v>459</v>
      </c>
      <c r="K330" t="n">
        <v>171.1063327032136</v>
      </c>
      <c r="L330" t="n">
        <v>178.0902646502836</v>
      </c>
      <c r="M330">
        <f>2*SQRT(K330/PI())</f>
        <v/>
      </c>
      <c r="N330">
        <f>2*SQRT(L330/PI())</f>
        <v/>
      </c>
      <c r="P330" t="inlineStr">
        <is>
          <t>是</t>
        </is>
      </c>
      <c r="Q330" t="inlineStr">
        <is>
          <t>auto_pipeline;review_png_green</t>
        </is>
      </c>
      <c r="R330" t="inlineStr">
        <is>
          <t>样品50</t>
        </is>
      </c>
    </row>
    <row r="331">
      <c r="A331" t="n">
        <v>330</v>
      </c>
      <c r="B331" t="inlineStr">
        <is>
          <t>50 (8).tif</t>
        </is>
      </c>
      <c r="C331" t="inlineStr">
        <is>
          <t>50(8)-V01</t>
        </is>
      </c>
      <c r="D331" t="n">
        <v>1</v>
      </c>
      <c r="E331" t="inlineStr">
        <is>
          <t>primary</t>
        </is>
      </c>
      <c r="F331" t="n">
        <v>916.4461247637051</v>
      </c>
      <c r="G331">
        <f>2*SQRT(F331/PI())</f>
        <v/>
      </c>
      <c r="H331" t="n">
        <v>114.3200315599856</v>
      </c>
      <c r="I331" t="n">
        <v>558</v>
      </c>
      <c r="J331" t="n">
        <v>328</v>
      </c>
      <c r="K331" t="n">
        <v>898.117202268431</v>
      </c>
      <c r="L331" t="n">
        <v>934.7750472589793</v>
      </c>
      <c r="M331">
        <f>2*SQRT(K331/PI())</f>
        <v/>
      </c>
      <c r="N331">
        <f>2*SQRT(L331/PI())</f>
        <v/>
      </c>
      <c r="O331" t="inlineStr">
        <is>
          <t>50(8)-P01</t>
        </is>
      </c>
      <c r="P331" t="inlineStr">
        <is>
          <t>是</t>
        </is>
      </c>
      <c r="Q331" t="inlineStr">
        <is>
          <t>auto_pipeline;review_png_green</t>
        </is>
      </c>
      <c r="R331" t="inlineStr">
        <is>
          <t>样品50</t>
        </is>
      </c>
    </row>
    <row r="332">
      <c r="A332" t="n">
        <v>331</v>
      </c>
      <c r="B332" t="inlineStr">
        <is>
          <t>50 (8).tif</t>
        </is>
      </c>
      <c r="C332" t="inlineStr">
        <is>
          <t>50(8)-V02</t>
        </is>
      </c>
      <c r="D332" t="n">
        <v>2</v>
      </c>
      <c r="E332" t="inlineStr">
        <is>
          <t>primary</t>
        </is>
      </c>
      <c r="F332" t="n">
        <v>570.8648393194707</v>
      </c>
      <c r="G332">
        <f>2*SQRT(F332/PI())</f>
        <v/>
      </c>
      <c r="H332" t="n">
        <v>90.230644137963</v>
      </c>
      <c r="I332" t="n">
        <v>734</v>
      </c>
      <c r="J332" t="n">
        <v>390</v>
      </c>
      <c r="K332" t="n">
        <v>559.4475425330812</v>
      </c>
      <c r="L332" t="n">
        <v>582.2821361058601</v>
      </c>
      <c r="M332">
        <f>2*SQRT(K332/PI())</f>
        <v/>
      </c>
      <c r="N332">
        <f>2*SQRT(L332/PI())</f>
        <v/>
      </c>
      <c r="P332" t="inlineStr">
        <is>
          <t>是</t>
        </is>
      </c>
      <c r="Q332" t="inlineStr">
        <is>
          <t>auto_pipeline;review_png_green</t>
        </is>
      </c>
      <c r="R332" t="inlineStr">
        <is>
          <t>样品50</t>
        </is>
      </c>
    </row>
    <row r="333">
      <c r="A333" t="n">
        <v>332</v>
      </c>
      <c r="B333" t="inlineStr">
        <is>
          <t>50 (8).tif</t>
        </is>
      </c>
      <c r="C333" t="inlineStr">
        <is>
          <t>50(8)-V03</t>
        </is>
      </c>
      <c r="D333" t="n">
        <v>3</v>
      </c>
      <c r="E333" t="inlineStr">
        <is>
          <t>primary</t>
        </is>
      </c>
      <c r="F333" t="n">
        <v>481.4744801512288</v>
      </c>
      <c r="G333">
        <f>2*SQRT(F333/PI())</f>
        <v/>
      </c>
      <c r="H333" t="n">
        <v>82.32091022574383</v>
      </c>
      <c r="I333" t="n">
        <v>407</v>
      </c>
      <c r="J333" t="n">
        <v>379</v>
      </c>
      <c r="K333" t="n">
        <v>471.8449905482042</v>
      </c>
      <c r="L333" t="n">
        <v>491.1039697542533</v>
      </c>
      <c r="M333">
        <f>2*SQRT(K333/PI())</f>
        <v/>
      </c>
      <c r="N333">
        <f>2*SQRT(L333/PI())</f>
        <v/>
      </c>
      <c r="O333" t="inlineStr">
        <is>
          <t>50(8)-P01</t>
        </is>
      </c>
      <c r="P333" t="inlineStr">
        <is>
          <t>是</t>
        </is>
      </c>
      <c r="Q333" t="inlineStr">
        <is>
          <t>auto_pipeline;review_png_green</t>
        </is>
      </c>
      <c r="R333" t="inlineStr">
        <is>
          <t>样品50</t>
        </is>
      </c>
    </row>
    <row r="334">
      <c r="A334" t="n">
        <v>333</v>
      </c>
      <c r="B334" t="inlineStr">
        <is>
          <t>50 (8).tif</t>
        </is>
      </c>
      <c r="C334" t="inlineStr">
        <is>
          <t>50(8)-V04</t>
        </is>
      </c>
      <c r="D334" t="n">
        <v>4</v>
      </c>
      <c r="E334" t="inlineStr">
        <is>
          <t>primary</t>
        </is>
      </c>
      <c r="F334" t="n">
        <v>135.4678638941399</v>
      </c>
      <c r="G334">
        <f>2*SQRT(F334/PI())</f>
        <v/>
      </c>
      <c r="H334" t="n">
        <v>62.40455718144126</v>
      </c>
      <c r="I334" t="n">
        <v>58</v>
      </c>
      <c r="J334" t="n">
        <v>392</v>
      </c>
      <c r="K334" t="n">
        <v>132.7585066162571</v>
      </c>
      <c r="L334" t="n">
        <v>138.1772211720227</v>
      </c>
      <c r="M334">
        <f>2*SQRT(K334/PI())</f>
        <v/>
      </c>
      <c r="N334">
        <f>2*SQRT(L334/PI())</f>
        <v/>
      </c>
      <c r="P334" t="inlineStr">
        <is>
          <t>是</t>
        </is>
      </c>
      <c r="Q334" t="inlineStr">
        <is>
          <t>auto_pipeline;review_png_green</t>
        </is>
      </c>
      <c r="R334" t="inlineStr">
        <is>
          <t>样品50</t>
        </is>
      </c>
    </row>
    <row r="335">
      <c r="A335" t="n">
        <v>334</v>
      </c>
      <c r="B335" t="inlineStr">
        <is>
          <t>51 (1).tif</t>
        </is>
      </c>
      <c r="C335" t="inlineStr">
        <is>
          <t>51(1)-V01</t>
        </is>
      </c>
      <c r="D335" t="n">
        <v>1</v>
      </c>
      <c r="E335" t="inlineStr">
        <is>
          <t>primary</t>
        </is>
      </c>
      <c r="F335" t="n">
        <v>996.9754253308129</v>
      </c>
      <c r="G335">
        <f>2*SQRT(F335/PI())</f>
        <v/>
      </c>
      <c r="H335" t="n">
        <v>119.6429187836854</v>
      </c>
      <c r="I335" t="n">
        <v>839</v>
      </c>
      <c r="J335" t="n">
        <v>194</v>
      </c>
      <c r="K335" t="n">
        <v>977.0359168241966</v>
      </c>
      <c r="L335" t="n">
        <v>1016.914933837429</v>
      </c>
      <c r="M335">
        <f>2*SQRT(K335/PI())</f>
        <v/>
      </c>
      <c r="N335">
        <f>2*SQRT(L335/PI())</f>
        <v/>
      </c>
      <c r="P335" t="inlineStr">
        <is>
          <t>是</t>
        </is>
      </c>
      <c r="Q335" t="inlineStr">
        <is>
          <t>auto_pipeline;review_png_green</t>
        </is>
      </c>
      <c r="R335" t="inlineStr">
        <is>
          <t>样品51</t>
        </is>
      </c>
    </row>
    <row r="336">
      <c r="A336" t="n">
        <v>335</v>
      </c>
      <c r="B336" t="inlineStr">
        <is>
          <t>51 (1).tif</t>
        </is>
      </c>
      <c r="C336" t="inlineStr">
        <is>
          <t>51(1)-V02</t>
        </is>
      </c>
      <c r="D336" t="n">
        <v>2</v>
      </c>
      <c r="E336" t="inlineStr">
        <is>
          <t>primary</t>
        </is>
      </c>
      <c r="F336" t="n">
        <v>398.9366729678639</v>
      </c>
      <c r="G336">
        <f>2*SQRT(F336/PI())</f>
        <v/>
      </c>
      <c r="H336" t="n">
        <v>75.02605176490286</v>
      </c>
      <c r="I336" t="n">
        <v>447</v>
      </c>
      <c r="J336" t="n">
        <v>350</v>
      </c>
      <c r="K336" t="n">
        <v>390.9579395085066</v>
      </c>
      <c r="L336" t="n">
        <v>406.9154064272212</v>
      </c>
      <c r="M336">
        <f>2*SQRT(K336/PI())</f>
        <v/>
      </c>
      <c r="N336">
        <f>2*SQRT(L336/PI())</f>
        <v/>
      </c>
      <c r="P336" t="inlineStr">
        <is>
          <t>是</t>
        </is>
      </c>
      <c r="Q336" t="inlineStr">
        <is>
          <t>auto_pipeline;review_png_green</t>
        </is>
      </c>
      <c r="R336" t="inlineStr">
        <is>
          <t>样品51</t>
        </is>
      </c>
    </row>
    <row r="337">
      <c r="A337" t="n">
        <v>336</v>
      </c>
      <c r="B337" t="inlineStr">
        <is>
          <t>51 (1).tif</t>
        </is>
      </c>
      <c r="C337" t="inlineStr">
        <is>
          <t>51(1)-V03</t>
        </is>
      </c>
      <c r="D337" t="n">
        <v>3</v>
      </c>
      <c r="E337" t="inlineStr">
        <is>
          <t>primary</t>
        </is>
      </c>
      <c r="F337" t="n">
        <v>367.6984877126654</v>
      </c>
      <c r="G337">
        <f>2*SQRT(F337/PI())</f>
        <v/>
      </c>
      <c r="H337" t="n">
        <v>73.43611517678136</v>
      </c>
      <c r="I337" t="n">
        <v>143</v>
      </c>
      <c r="J337" t="n">
        <v>448</v>
      </c>
      <c r="K337" t="n">
        <v>360.344517958412</v>
      </c>
      <c r="L337" t="n">
        <v>375.0524574669187</v>
      </c>
      <c r="M337">
        <f>2*SQRT(K337/PI())</f>
        <v/>
      </c>
      <c r="N337">
        <f>2*SQRT(L337/PI())</f>
        <v/>
      </c>
      <c r="P337" t="inlineStr">
        <is>
          <t>是</t>
        </is>
      </c>
      <c r="Q337" t="inlineStr">
        <is>
          <t>auto_pipeline;review_png_green</t>
        </is>
      </c>
      <c r="R337" t="inlineStr">
        <is>
          <t>样品51</t>
        </is>
      </c>
    </row>
    <row r="338">
      <c r="A338" t="n">
        <v>337</v>
      </c>
      <c r="B338" t="inlineStr">
        <is>
          <t>51 (1).tif</t>
        </is>
      </c>
      <c r="C338" t="inlineStr">
        <is>
          <t>51(1)-V04</t>
        </is>
      </c>
      <c r="D338" t="n">
        <v>4</v>
      </c>
      <c r="E338" t="inlineStr">
        <is>
          <t>primary</t>
        </is>
      </c>
      <c r="F338" t="n">
        <v>361.507561436673</v>
      </c>
      <c r="G338">
        <f>2*SQRT(F338/PI())</f>
        <v/>
      </c>
      <c r="H338" t="n">
        <v>72.67204587874205</v>
      </c>
      <c r="I338" t="n">
        <v>519</v>
      </c>
      <c r="J338" t="n">
        <v>430</v>
      </c>
      <c r="K338" t="n">
        <v>354.2774102079395</v>
      </c>
      <c r="L338" t="n">
        <v>368.7377126654064</v>
      </c>
      <c r="M338">
        <f>2*SQRT(K338/PI())</f>
        <v/>
      </c>
      <c r="N338">
        <f>2*SQRT(L338/PI())</f>
        <v/>
      </c>
      <c r="P338" t="inlineStr">
        <is>
          <t>是</t>
        </is>
      </c>
      <c r="Q338" t="inlineStr">
        <is>
          <t>auto_pipeline;review_png_green</t>
        </is>
      </c>
      <c r="R338" t="inlineStr">
        <is>
          <t>样品51</t>
        </is>
      </c>
    </row>
    <row r="339">
      <c r="A339" t="n">
        <v>338</v>
      </c>
      <c r="B339" t="inlineStr">
        <is>
          <t>51 (1).tif</t>
        </is>
      </c>
      <c r="C339" t="inlineStr">
        <is>
          <t>51(1)-V05</t>
        </is>
      </c>
      <c r="D339" t="n">
        <v>5</v>
      </c>
      <c r="E339" t="inlineStr">
        <is>
          <t>primary</t>
        </is>
      </c>
      <c r="F339" t="n">
        <v>302.7882797731569</v>
      </c>
      <c r="G339">
        <f>2*SQRT(F339/PI())</f>
        <v/>
      </c>
      <c r="H339" t="n">
        <v>65.88656694992729</v>
      </c>
      <c r="I339" t="n">
        <v>580</v>
      </c>
      <c r="J339" t="n">
        <v>585</v>
      </c>
      <c r="K339" t="n">
        <v>296.7325141776938</v>
      </c>
      <c r="L339" t="n">
        <v>308.84404536862</v>
      </c>
      <c r="M339">
        <f>2*SQRT(K339/PI())</f>
        <v/>
      </c>
      <c r="N339">
        <f>2*SQRT(L339/PI())</f>
        <v/>
      </c>
      <c r="P339" t="inlineStr">
        <is>
          <t>是</t>
        </is>
      </c>
      <c r="Q339" t="inlineStr">
        <is>
          <t>auto_pipeline;review_png_green</t>
        </is>
      </c>
      <c r="R339" t="inlineStr">
        <is>
          <t>样品51</t>
        </is>
      </c>
    </row>
    <row r="340">
      <c r="A340" t="n">
        <v>339</v>
      </c>
      <c r="B340" t="inlineStr">
        <is>
          <t>51 (1).tif</t>
        </is>
      </c>
      <c r="C340" t="inlineStr">
        <is>
          <t>51(1)-V06</t>
        </is>
      </c>
      <c r="D340" t="n">
        <v>6</v>
      </c>
      <c r="E340" t="inlineStr">
        <is>
          <t>primary</t>
        </is>
      </c>
      <c r="F340" t="n">
        <v>242.1550094517958</v>
      </c>
      <c r="G340">
        <f>2*SQRT(F340/PI())</f>
        <v/>
      </c>
      <c r="H340" t="n">
        <v>58.71905337209287</v>
      </c>
      <c r="I340" t="n">
        <v>123</v>
      </c>
      <c r="J340" t="n">
        <v>354</v>
      </c>
      <c r="K340" t="n">
        <v>237.3119092627599</v>
      </c>
      <c r="L340" t="n">
        <v>246.9981096408318</v>
      </c>
      <c r="M340">
        <f>2*SQRT(K340/PI())</f>
        <v/>
      </c>
      <c r="N340">
        <f>2*SQRT(L340/PI())</f>
        <v/>
      </c>
      <c r="P340" t="inlineStr">
        <is>
          <t>是</t>
        </is>
      </c>
      <c r="Q340" t="inlineStr">
        <is>
          <t>auto_pipeline;review_png_green</t>
        </is>
      </c>
      <c r="R340" t="inlineStr">
        <is>
          <t>样品51</t>
        </is>
      </c>
    </row>
    <row r="341">
      <c r="A341" t="n">
        <v>340</v>
      </c>
      <c r="B341" t="inlineStr">
        <is>
          <t>51 (2).tif</t>
        </is>
      </c>
      <c r="C341" t="inlineStr">
        <is>
          <t>51(2)-V01</t>
        </is>
      </c>
      <c r="D341" t="n">
        <v>1</v>
      </c>
      <c r="E341" t="inlineStr">
        <is>
          <t>primary</t>
        </is>
      </c>
      <c r="F341" t="n">
        <v>776.2287334593573</v>
      </c>
      <c r="G341">
        <f>2*SQRT(F341/PI())</f>
        <v/>
      </c>
      <c r="H341" t="n">
        <v>105.6680773133817</v>
      </c>
      <c r="I341" t="n">
        <v>790</v>
      </c>
      <c r="J341" t="n">
        <v>384</v>
      </c>
      <c r="K341" t="n">
        <v>760.7041587901701</v>
      </c>
      <c r="L341" t="n">
        <v>791.7533081285444</v>
      </c>
      <c r="M341">
        <f>2*SQRT(K341/PI())</f>
        <v/>
      </c>
      <c r="N341">
        <f>2*SQRT(L341/PI())</f>
        <v/>
      </c>
      <c r="P341" t="inlineStr">
        <is>
          <t>是</t>
        </is>
      </c>
      <c r="Q341" t="inlineStr">
        <is>
          <t>auto_pipeline;review_png_green</t>
        </is>
      </c>
      <c r="R341" t="inlineStr">
        <is>
          <t>样品51</t>
        </is>
      </c>
    </row>
    <row r="342">
      <c r="A342" t="n">
        <v>341</v>
      </c>
      <c r="B342" t="inlineStr">
        <is>
          <t>51 (2).tif</t>
        </is>
      </c>
      <c r="C342" t="inlineStr">
        <is>
          <t>51(2)-V02</t>
        </is>
      </c>
      <c r="D342" t="n">
        <v>2</v>
      </c>
      <c r="E342" t="inlineStr">
        <is>
          <t>primary</t>
        </is>
      </c>
      <c r="F342" t="n">
        <v>694.4943289224952</v>
      </c>
      <c r="G342">
        <f>2*SQRT(F342/PI())</f>
        <v/>
      </c>
      <c r="H342" t="n">
        <v>98.88259838456693</v>
      </c>
      <c r="I342" t="n">
        <v>469</v>
      </c>
      <c r="J342" t="n">
        <v>466</v>
      </c>
      <c r="K342" t="n">
        <v>680.6044423440453</v>
      </c>
      <c r="L342" t="n">
        <v>708.3842155009452</v>
      </c>
      <c r="M342">
        <f>2*SQRT(K342/PI())</f>
        <v/>
      </c>
      <c r="N342">
        <f>2*SQRT(L342/PI())</f>
        <v/>
      </c>
      <c r="P342" t="inlineStr">
        <is>
          <t>是</t>
        </is>
      </c>
      <c r="Q342" t="inlineStr">
        <is>
          <t>auto_pipeline;review_png_green</t>
        </is>
      </c>
      <c r="R342" t="inlineStr">
        <is>
          <t>样品51</t>
        </is>
      </c>
    </row>
    <row r="343">
      <c r="A343" t="n">
        <v>342</v>
      </c>
      <c r="B343" t="inlineStr">
        <is>
          <t>51 (2).tif</t>
        </is>
      </c>
      <c r="C343" t="inlineStr">
        <is>
          <t>51(2)-V03</t>
        </is>
      </c>
      <c r="D343" t="n">
        <v>3</v>
      </c>
      <c r="E343" t="inlineStr">
        <is>
          <t>primary</t>
        </is>
      </c>
      <c r="F343" t="n">
        <v>516.6587901701323</v>
      </c>
      <c r="G343">
        <f>2*SQRT(F343/PI())</f>
        <v/>
      </c>
      <c r="H343" t="n">
        <v>85.16244668027629</v>
      </c>
      <c r="I343" t="n">
        <v>585</v>
      </c>
      <c r="J343" t="n">
        <v>331</v>
      </c>
      <c r="K343" t="n">
        <v>506.3256143667297</v>
      </c>
      <c r="L343" t="n">
        <v>526.991965973535</v>
      </c>
      <c r="M343">
        <f>2*SQRT(K343/PI())</f>
        <v/>
      </c>
      <c r="N343">
        <f>2*SQRT(L343/PI())</f>
        <v/>
      </c>
      <c r="P343" t="inlineStr">
        <is>
          <t>是</t>
        </is>
      </c>
      <c r="Q343" t="inlineStr">
        <is>
          <t>auto_pipeline;review_png_green</t>
        </is>
      </c>
      <c r="R343" t="inlineStr">
        <is>
          <t>样品51</t>
        </is>
      </c>
    </row>
    <row r="344">
      <c r="A344" t="n">
        <v>343</v>
      </c>
      <c r="B344" t="inlineStr">
        <is>
          <t>51 (2).tif</t>
        </is>
      </c>
      <c r="C344" t="inlineStr">
        <is>
          <t>51(2)-V04</t>
        </is>
      </c>
      <c r="D344" t="n">
        <v>4</v>
      </c>
      <c r="E344" t="inlineStr">
        <is>
          <t>primary</t>
        </is>
      </c>
      <c r="F344" t="n">
        <v>128.4971644612476</v>
      </c>
      <c r="G344">
        <f>2*SQRT(F344/PI())</f>
        <v/>
      </c>
      <c r="H344" t="n">
        <v>47.56389939266703</v>
      </c>
      <c r="I344" t="n">
        <v>269</v>
      </c>
      <c r="J344" t="n">
        <v>492</v>
      </c>
      <c r="K344" t="n">
        <v>125.9272211720227</v>
      </c>
      <c r="L344" t="n">
        <v>131.0671077504726</v>
      </c>
      <c r="M344">
        <f>2*SQRT(K344/PI())</f>
        <v/>
      </c>
      <c r="N344">
        <f>2*SQRT(L344/PI())</f>
        <v/>
      </c>
      <c r="P344" t="inlineStr">
        <is>
          <t>是</t>
        </is>
      </c>
      <c r="Q344" t="inlineStr">
        <is>
          <t>auto_pipeline;review_png_green</t>
        </is>
      </c>
      <c r="R344" t="inlineStr">
        <is>
          <t>样品51</t>
        </is>
      </c>
    </row>
    <row r="345">
      <c r="A345" t="n">
        <v>344</v>
      </c>
      <c r="B345" t="inlineStr">
        <is>
          <t>51 (2).tif</t>
        </is>
      </c>
      <c r="C345" t="inlineStr">
        <is>
          <t>51(2)-V05</t>
        </is>
      </c>
      <c r="D345" t="n">
        <v>5</v>
      </c>
      <c r="E345" t="inlineStr">
        <is>
          <t>primary</t>
        </is>
      </c>
      <c r="F345" t="n">
        <v>121.7391304347826</v>
      </c>
      <c r="G345">
        <f>2*SQRT(F345/PI())</f>
        <v/>
      </c>
      <c r="H345" t="n">
        <v>46.69433417527572</v>
      </c>
      <c r="I345" t="n">
        <v>481</v>
      </c>
      <c r="J345" t="n">
        <v>584</v>
      </c>
      <c r="K345" t="n">
        <v>119.304347826087</v>
      </c>
      <c r="L345" t="n">
        <v>124.1739130434783</v>
      </c>
      <c r="M345">
        <f>2*SQRT(K345/PI())</f>
        <v/>
      </c>
      <c r="N345">
        <f>2*SQRT(L345/PI())</f>
        <v/>
      </c>
      <c r="P345" t="inlineStr">
        <is>
          <t>是</t>
        </is>
      </c>
      <c r="Q345" t="inlineStr">
        <is>
          <t>auto_pipeline;review_png_green</t>
        </is>
      </c>
      <c r="R345" t="inlineStr">
        <is>
          <t>样品51</t>
        </is>
      </c>
    </row>
    <row r="346">
      <c r="A346" t="n">
        <v>345</v>
      </c>
      <c r="B346" t="inlineStr">
        <is>
          <t>51 (2).tif</t>
        </is>
      </c>
      <c r="C346" t="inlineStr">
        <is>
          <t>51(2)-V06</t>
        </is>
      </c>
      <c r="D346" t="n">
        <v>6</v>
      </c>
      <c r="E346" t="inlineStr">
        <is>
          <t>primary</t>
        </is>
      </c>
      <c r="F346" t="n">
        <v>109.4754253308129</v>
      </c>
      <c r="G346">
        <f>2*SQRT(F346/PI())</f>
        <v/>
      </c>
      <c r="H346" t="n">
        <v>41.39329591523046</v>
      </c>
      <c r="I346" t="n">
        <v>902</v>
      </c>
      <c r="J346" t="n">
        <v>405</v>
      </c>
      <c r="K346" t="n">
        <v>107.2859168241966</v>
      </c>
      <c r="L346" t="n">
        <v>111.6649338374291</v>
      </c>
      <c r="M346">
        <f>2*SQRT(K346/PI())</f>
        <v/>
      </c>
      <c r="N346">
        <f>2*SQRT(L346/PI())</f>
        <v/>
      </c>
      <c r="P346" t="inlineStr">
        <is>
          <t>是</t>
        </is>
      </c>
      <c r="Q346" t="inlineStr">
        <is>
          <t>auto_pipeline;review_png_green</t>
        </is>
      </c>
      <c r="R346" t="inlineStr">
        <is>
          <t>样品51</t>
        </is>
      </c>
    </row>
    <row r="347">
      <c r="A347" t="n">
        <v>346</v>
      </c>
      <c r="B347" t="inlineStr">
        <is>
          <t>51 (3).tif</t>
        </is>
      </c>
      <c r="C347" t="inlineStr">
        <is>
          <t>51(3)-V01</t>
        </is>
      </c>
      <c r="D347" t="n">
        <v>1</v>
      </c>
      <c r="E347" t="inlineStr">
        <is>
          <t>primary</t>
        </is>
      </c>
      <c r="F347" t="n">
        <v>765.9971644612476</v>
      </c>
      <c r="G347">
        <f>2*SQRT(F347/PI())</f>
        <v/>
      </c>
      <c r="H347" t="n">
        <v>103.9507958422536</v>
      </c>
      <c r="I347" t="n">
        <v>579</v>
      </c>
      <c r="J347" t="n">
        <v>329</v>
      </c>
      <c r="K347" t="n">
        <v>750.6772211720227</v>
      </c>
      <c r="L347" t="n">
        <v>781.3171077504726</v>
      </c>
      <c r="M347">
        <f>2*SQRT(K347/PI())</f>
        <v/>
      </c>
      <c r="N347">
        <f>2*SQRT(L347/PI())</f>
        <v/>
      </c>
      <c r="P347" t="inlineStr">
        <is>
          <t>是</t>
        </is>
      </c>
      <c r="Q347" t="inlineStr">
        <is>
          <t>auto_pipeline;review_png_green</t>
        </is>
      </c>
      <c r="R347" t="inlineStr">
        <is>
          <t>样品51</t>
        </is>
      </c>
    </row>
    <row r="348">
      <c r="A348" t="n">
        <v>347</v>
      </c>
      <c r="B348" t="inlineStr">
        <is>
          <t>51 (3).tif</t>
        </is>
      </c>
      <c r="C348" t="inlineStr">
        <is>
          <t>51(3)-V02</t>
        </is>
      </c>
      <c r="D348" t="n">
        <v>2</v>
      </c>
      <c r="E348" t="inlineStr">
        <is>
          <t>primary</t>
        </is>
      </c>
      <c r="F348" t="n">
        <v>690.7372400756144</v>
      </c>
      <c r="G348">
        <f>2*SQRT(F348/PI())</f>
        <v/>
      </c>
      <c r="H348" t="n">
        <v>99.11543918692547</v>
      </c>
      <c r="I348" t="n">
        <v>407</v>
      </c>
      <c r="J348" t="n">
        <v>447</v>
      </c>
      <c r="K348" t="n">
        <v>676.9224952741021</v>
      </c>
      <c r="L348" t="n">
        <v>704.5519848771268</v>
      </c>
      <c r="M348">
        <f>2*SQRT(K348/PI())</f>
        <v/>
      </c>
      <c r="N348">
        <f>2*SQRT(L348/PI())</f>
        <v/>
      </c>
      <c r="P348" t="inlineStr">
        <is>
          <t>是</t>
        </is>
      </c>
      <c r="Q348" t="inlineStr">
        <is>
          <t>auto_pipeline;review_png_green</t>
        </is>
      </c>
      <c r="R348" t="inlineStr">
        <is>
          <t>样品51</t>
        </is>
      </c>
    </row>
    <row r="349">
      <c r="A349" t="n">
        <v>348</v>
      </c>
      <c r="B349" t="inlineStr">
        <is>
          <t>51 (3).tif</t>
        </is>
      </c>
      <c r="C349" t="inlineStr">
        <is>
          <t>51(3)-V03</t>
        </is>
      </c>
      <c r="D349" t="n">
        <v>3</v>
      </c>
      <c r="E349" t="inlineStr">
        <is>
          <t>primary</t>
        </is>
      </c>
      <c r="F349" t="n">
        <v>542.7930056710775</v>
      </c>
      <c r="G349">
        <f>2*SQRT(F349/PI())</f>
        <v/>
      </c>
      <c r="H349" t="n">
        <v>87.5164525664371</v>
      </c>
      <c r="I349" t="n">
        <v>681</v>
      </c>
      <c r="J349" t="n">
        <v>156</v>
      </c>
      <c r="K349" t="n">
        <v>531.9371455576559</v>
      </c>
      <c r="L349" t="n">
        <v>553.6488657844991</v>
      </c>
      <c r="M349">
        <f>2*SQRT(K349/PI())</f>
        <v/>
      </c>
      <c r="N349">
        <f>2*SQRT(L349/PI())</f>
        <v/>
      </c>
      <c r="P349" t="inlineStr">
        <is>
          <t>是</t>
        </is>
      </c>
      <c r="Q349" t="inlineStr">
        <is>
          <t>auto_pipeline;review_png_green</t>
        </is>
      </c>
      <c r="R349" t="inlineStr">
        <is>
          <t>样品51</t>
        </is>
      </c>
    </row>
    <row r="350">
      <c r="A350" t="n">
        <v>349</v>
      </c>
      <c r="B350" t="inlineStr">
        <is>
          <t>51 (3).tif</t>
        </is>
      </c>
      <c r="C350" t="inlineStr">
        <is>
          <t>51(3)-V04</t>
        </is>
      </c>
      <c r="D350" t="n">
        <v>4</v>
      </c>
      <c r="E350" t="inlineStr">
        <is>
          <t>primary</t>
        </is>
      </c>
      <c r="F350" t="n">
        <v>373.9130434782609</v>
      </c>
      <c r="G350">
        <f>2*SQRT(F350/PI())</f>
        <v/>
      </c>
      <c r="H350" t="n">
        <v>73.05408052776171</v>
      </c>
      <c r="I350" t="n">
        <v>824</v>
      </c>
      <c r="J350" t="n">
        <v>65</v>
      </c>
      <c r="K350" t="n">
        <v>366.4347826086956</v>
      </c>
      <c r="L350" t="n">
        <v>381.3913043478261</v>
      </c>
      <c r="M350">
        <f>2*SQRT(K350/PI())</f>
        <v/>
      </c>
      <c r="N350">
        <f>2*SQRT(L350/PI())</f>
        <v/>
      </c>
      <c r="P350" t="inlineStr">
        <is>
          <t>是</t>
        </is>
      </c>
      <c r="Q350" t="inlineStr">
        <is>
          <t>auto_pipeline;review_png_green</t>
        </is>
      </c>
      <c r="R350" t="inlineStr">
        <is>
          <t>样品51</t>
        </is>
      </c>
    </row>
    <row r="351">
      <c r="A351" t="n">
        <v>350</v>
      </c>
      <c r="B351" t="inlineStr">
        <is>
          <t>51 (3).tif</t>
        </is>
      </c>
      <c r="C351" t="inlineStr">
        <is>
          <t>51(3)-V05</t>
        </is>
      </c>
      <c r="D351" t="n">
        <v>5</v>
      </c>
      <c r="E351" t="inlineStr">
        <is>
          <t>primary</t>
        </is>
      </c>
      <c r="F351" t="n">
        <v>160.1606805293006</v>
      </c>
      <c r="G351">
        <f>2*SQRT(F351/PI())</f>
        <v/>
      </c>
      <c r="H351" t="n">
        <v>48.68815437607143</v>
      </c>
      <c r="I351" t="n">
        <v>132</v>
      </c>
      <c r="J351" t="n">
        <v>605</v>
      </c>
      <c r="K351" t="n">
        <v>156.9574669187146</v>
      </c>
      <c r="L351" t="n">
        <v>163.3638941398866</v>
      </c>
      <c r="M351">
        <f>2*SQRT(K351/PI())</f>
        <v/>
      </c>
      <c r="N351">
        <f>2*SQRT(L351/PI())</f>
        <v/>
      </c>
      <c r="P351" t="inlineStr">
        <is>
          <t>是</t>
        </is>
      </c>
      <c r="Q351" t="inlineStr">
        <is>
          <t>auto_pipeline;review_png_green</t>
        </is>
      </c>
      <c r="R351" t="inlineStr">
        <is>
          <t>样品51</t>
        </is>
      </c>
    </row>
    <row r="352">
      <c r="A352" t="n">
        <v>351</v>
      </c>
      <c r="B352" t="inlineStr">
        <is>
          <t>51 (3).tif</t>
        </is>
      </c>
      <c r="C352" t="inlineStr">
        <is>
          <t>51(3)-V06</t>
        </is>
      </c>
      <c r="D352" t="n">
        <v>6</v>
      </c>
      <c r="E352" t="inlineStr">
        <is>
          <t>primary</t>
        </is>
      </c>
      <c r="F352" t="n">
        <v>131.8998109640832</v>
      </c>
      <c r="G352">
        <f>2*SQRT(F352/PI())</f>
        <v/>
      </c>
      <c r="H352" t="n">
        <v>53.24697230173194</v>
      </c>
      <c r="I352" t="n">
        <v>437</v>
      </c>
      <c r="J352" t="n">
        <v>171</v>
      </c>
      <c r="K352" t="n">
        <v>129.2618147448015</v>
      </c>
      <c r="L352" t="n">
        <v>134.5378071833648</v>
      </c>
      <c r="M352">
        <f>2*SQRT(K352/PI())</f>
        <v/>
      </c>
      <c r="N352">
        <f>2*SQRT(L352/PI())</f>
        <v/>
      </c>
      <c r="P352" t="inlineStr">
        <is>
          <t>是</t>
        </is>
      </c>
      <c r="Q352" t="inlineStr">
        <is>
          <t>auto_pipeline;review_png_green</t>
        </is>
      </c>
      <c r="R352" t="inlineStr">
        <is>
          <t>样品51</t>
        </is>
      </c>
    </row>
    <row r="353">
      <c r="A353" t="n">
        <v>352</v>
      </c>
      <c r="B353" t="inlineStr">
        <is>
          <t>51 (4).tif</t>
        </is>
      </c>
      <c r="C353" t="inlineStr">
        <is>
          <t>51(4)-V01</t>
        </is>
      </c>
      <c r="D353" t="n">
        <v>1</v>
      </c>
      <c r="E353" t="inlineStr">
        <is>
          <t>primary</t>
        </is>
      </c>
      <c r="F353" t="n">
        <v>511.8147448015123</v>
      </c>
      <c r="G353">
        <f>2*SQRT(F353/PI())</f>
        <v/>
      </c>
      <c r="H353" t="n">
        <v>87.38910768343054</v>
      </c>
      <c r="I353" t="n">
        <v>548</v>
      </c>
      <c r="J353" t="n">
        <v>367</v>
      </c>
      <c r="K353" t="n">
        <v>501.578449905482</v>
      </c>
      <c r="L353" t="n">
        <v>522.0510396975426</v>
      </c>
      <c r="M353">
        <f>2*SQRT(K353/PI())</f>
        <v/>
      </c>
      <c r="N353">
        <f>2*SQRT(L353/PI())</f>
        <v/>
      </c>
      <c r="P353" t="inlineStr">
        <is>
          <t>是</t>
        </is>
      </c>
      <c r="Q353" t="inlineStr">
        <is>
          <t>auto_pipeline;review_png_green</t>
        </is>
      </c>
      <c r="R353" t="inlineStr">
        <is>
          <t>样品51</t>
        </is>
      </c>
    </row>
    <row r="354">
      <c r="A354" t="n">
        <v>353</v>
      </c>
      <c r="B354" t="inlineStr">
        <is>
          <t>51 (4).tif</t>
        </is>
      </c>
      <c r="C354" t="inlineStr">
        <is>
          <t>51(4)-V02</t>
        </is>
      </c>
      <c r="D354" t="n">
        <v>2</v>
      </c>
      <c r="E354" t="inlineStr">
        <is>
          <t>primary</t>
        </is>
      </c>
      <c r="F354" t="n">
        <v>290.8317580340264</v>
      </c>
      <c r="G354">
        <f>2*SQRT(F354/PI())</f>
        <v/>
      </c>
      <c r="H354" t="n">
        <v>63.89274674913158</v>
      </c>
      <c r="I354" t="n">
        <v>417</v>
      </c>
      <c r="J354" t="n">
        <v>357</v>
      </c>
      <c r="K354" t="n">
        <v>285.0151228733459</v>
      </c>
      <c r="L354" t="n">
        <v>296.648393194707</v>
      </c>
      <c r="M354">
        <f>2*SQRT(K354/PI())</f>
        <v/>
      </c>
      <c r="N354">
        <f>2*SQRT(L354/PI())</f>
        <v/>
      </c>
      <c r="P354" t="inlineStr">
        <is>
          <t>是</t>
        </is>
      </c>
      <c r="Q354" t="inlineStr">
        <is>
          <t>auto_pipeline;review_png_green</t>
        </is>
      </c>
      <c r="R354" t="inlineStr">
        <is>
          <t>样品51</t>
        </is>
      </c>
    </row>
    <row r="355">
      <c r="A355" t="n">
        <v>354</v>
      </c>
      <c r="B355" t="inlineStr">
        <is>
          <t>51 (5).tif</t>
        </is>
      </c>
      <c r="C355" t="inlineStr">
        <is>
          <t>51(5)-V01</t>
        </is>
      </c>
      <c r="D355" t="n">
        <v>1</v>
      </c>
      <c r="E355" t="inlineStr">
        <is>
          <t>primary</t>
        </is>
      </c>
      <c r="F355" t="n">
        <v>870.179584120983</v>
      </c>
      <c r="G355">
        <f>2*SQRT(F355/PI())</f>
        <v/>
      </c>
      <c r="H355" t="n">
        <v>111.2456543030946</v>
      </c>
      <c r="I355" t="n">
        <v>608</v>
      </c>
      <c r="J355" t="n">
        <v>420</v>
      </c>
      <c r="K355" t="n">
        <v>852.7759924385633</v>
      </c>
      <c r="L355" t="n">
        <v>887.5831758034027</v>
      </c>
      <c r="M355">
        <f>2*SQRT(K355/PI())</f>
        <v/>
      </c>
      <c r="N355">
        <f>2*SQRT(L355/PI())</f>
        <v/>
      </c>
      <c r="O355" t="inlineStr">
        <is>
          <t>51(5)-P01</t>
        </is>
      </c>
      <c r="P355" t="inlineStr">
        <is>
          <t>是</t>
        </is>
      </c>
      <c r="Q355" t="inlineStr">
        <is>
          <t>auto_pipeline;review_png_green</t>
        </is>
      </c>
      <c r="R355" t="inlineStr">
        <is>
          <t>样品51</t>
        </is>
      </c>
    </row>
    <row r="356">
      <c r="A356" t="n">
        <v>355</v>
      </c>
      <c r="B356" t="inlineStr">
        <is>
          <t>51 (5).tif</t>
        </is>
      </c>
      <c r="C356" t="inlineStr">
        <is>
          <t>51(5)-V02</t>
        </is>
      </c>
      <c r="D356" t="n">
        <v>2</v>
      </c>
      <c r="E356" t="inlineStr">
        <is>
          <t>primary</t>
        </is>
      </c>
      <c r="F356" t="n">
        <v>772.4952741020794</v>
      </c>
      <c r="G356">
        <f>2*SQRT(F356/PI())</f>
        <v/>
      </c>
      <c r="H356" t="n">
        <v>104.7985120959904</v>
      </c>
      <c r="I356" t="n">
        <v>163</v>
      </c>
      <c r="J356" t="n">
        <v>272</v>
      </c>
      <c r="K356" t="n">
        <v>757.0453686200378</v>
      </c>
      <c r="L356" t="n">
        <v>787.945179584121</v>
      </c>
      <c r="M356">
        <f>2*SQRT(K356/PI())</f>
        <v/>
      </c>
      <c r="N356">
        <f>2*SQRT(L356/PI())</f>
        <v/>
      </c>
      <c r="P356" t="inlineStr">
        <is>
          <t>是</t>
        </is>
      </c>
      <c r="Q356" t="inlineStr">
        <is>
          <t>auto_pipeline;review_png_green</t>
        </is>
      </c>
      <c r="R356" t="inlineStr">
        <is>
          <t>样品51</t>
        </is>
      </c>
    </row>
    <row r="357">
      <c r="A357" t="n">
        <v>356</v>
      </c>
      <c r="B357" t="inlineStr">
        <is>
          <t>51 (5).tif</t>
        </is>
      </c>
      <c r="C357" t="inlineStr">
        <is>
          <t>51(5)-V03</t>
        </is>
      </c>
      <c r="D357" t="n">
        <v>3</v>
      </c>
      <c r="E357" t="inlineStr">
        <is>
          <t>primary</t>
        </is>
      </c>
      <c r="F357" t="n">
        <v>748.1568998109641</v>
      </c>
      <c r="G357">
        <f>2*SQRT(F357/PI())</f>
        <v/>
      </c>
      <c r="H357" t="n">
        <v>102.3390102904776</v>
      </c>
      <c r="I357" t="n">
        <v>447</v>
      </c>
      <c r="J357" t="n">
        <v>345</v>
      </c>
      <c r="K357" t="n">
        <v>733.1937618147448</v>
      </c>
      <c r="L357" t="n">
        <v>763.1200378071834</v>
      </c>
      <c r="M357">
        <f>2*SQRT(K357/PI())</f>
        <v/>
      </c>
      <c r="N357">
        <f>2*SQRT(L357/PI())</f>
        <v/>
      </c>
      <c r="O357" t="inlineStr">
        <is>
          <t>51(5)-P01</t>
        </is>
      </c>
      <c r="P357" t="inlineStr">
        <is>
          <t>是</t>
        </is>
      </c>
      <c r="Q357" t="inlineStr">
        <is>
          <t>auto_pipeline;review_png_green</t>
        </is>
      </c>
      <c r="R357" t="inlineStr">
        <is>
          <t>样品51</t>
        </is>
      </c>
    </row>
    <row r="358">
      <c r="A358" t="n">
        <v>357</v>
      </c>
      <c r="B358" t="inlineStr">
        <is>
          <t>51 (5).tif</t>
        </is>
      </c>
      <c r="C358" t="inlineStr">
        <is>
          <t>51(5)-V04</t>
        </is>
      </c>
      <c r="D358" t="n">
        <v>4</v>
      </c>
      <c r="E358" t="inlineStr">
        <is>
          <t>primary</t>
        </is>
      </c>
      <c r="F358" t="n">
        <v>132.7977315689981</v>
      </c>
      <c r="G358">
        <f>2*SQRT(F358/PI())</f>
        <v/>
      </c>
      <c r="H358" t="n">
        <v>50.12889711753181</v>
      </c>
      <c r="I358" t="n">
        <v>847</v>
      </c>
      <c r="J358" t="n">
        <v>213</v>
      </c>
      <c r="K358" t="n">
        <v>130.1417769376181</v>
      </c>
      <c r="L358" t="n">
        <v>135.4536862003781</v>
      </c>
      <c r="M358">
        <f>2*SQRT(K358/PI())</f>
        <v/>
      </c>
      <c r="N358">
        <f>2*SQRT(L358/PI())</f>
        <v/>
      </c>
      <c r="P358" t="inlineStr">
        <is>
          <t>是</t>
        </is>
      </c>
      <c r="Q358" t="inlineStr">
        <is>
          <t>auto_pipeline;review_png_green</t>
        </is>
      </c>
      <c r="R358" t="inlineStr">
        <is>
          <t>样品51</t>
        </is>
      </c>
    </row>
    <row r="359">
      <c r="A359" t="n">
        <v>358</v>
      </c>
      <c r="B359" t="inlineStr">
        <is>
          <t>51 (5).tif</t>
        </is>
      </c>
      <c r="C359" t="inlineStr">
        <is>
          <t>51(5)-V05</t>
        </is>
      </c>
      <c r="D359" t="n">
        <v>5</v>
      </c>
      <c r="E359" t="inlineStr">
        <is>
          <t>primary</t>
        </is>
      </c>
      <c r="F359" t="n">
        <v>123.5349716446125</v>
      </c>
      <c r="G359">
        <f>2*SQRT(F359/PI())</f>
        <v/>
      </c>
      <c r="H359" t="n">
        <v>48.53896052941032</v>
      </c>
      <c r="I359" t="n">
        <v>668</v>
      </c>
      <c r="J359" t="n">
        <v>336</v>
      </c>
      <c r="K359" t="n">
        <v>121.0642722117202</v>
      </c>
      <c r="L359" t="n">
        <v>126.0056710775047</v>
      </c>
      <c r="M359">
        <f>2*SQRT(K359/PI())</f>
        <v/>
      </c>
      <c r="N359">
        <f>2*SQRT(L359/PI())</f>
        <v/>
      </c>
      <c r="P359" t="inlineStr">
        <is>
          <t>是</t>
        </is>
      </c>
      <c r="Q359" t="inlineStr">
        <is>
          <t>auto_pipeline;review_png_green</t>
        </is>
      </c>
      <c r="R359" t="inlineStr">
        <is>
          <t>样品51</t>
        </is>
      </c>
    </row>
    <row r="360">
      <c r="A360" t="n">
        <v>359</v>
      </c>
      <c r="B360" t="inlineStr">
        <is>
          <t>51 (5).tif</t>
        </is>
      </c>
      <c r="C360" t="inlineStr">
        <is>
          <t>51(5)-V06</t>
        </is>
      </c>
      <c r="D360" t="n">
        <v>6</v>
      </c>
      <c r="E360" t="inlineStr">
        <is>
          <t>primary</t>
        </is>
      </c>
      <c r="F360" t="n">
        <v>121.17202268431</v>
      </c>
      <c r="G360">
        <f>2*SQRT(F360/PI())</f>
        <v/>
      </c>
      <c r="H360" t="n">
        <v>51.91172547962354</v>
      </c>
      <c r="I360" t="n">
        <v>872</v>
      </c>
      <c r="J360" t="n">
        <v>457</v>
      </c>
      <c r="K360" t="n">
        <v>118.7485822306238</v>
      </c>
      <c r="L360" t="n">
        <v>123.5954631379962</v>
      </c>
      <c r="M360">
        <f>2*SQRT(K360/PI())</f>
        <v/>
      </c>
      <c r="N360">
        <f>2*SQRT(L360/PI())</f>
        <v/>
      </c>
      <c r="P360" t="inlineStr">
        <is>
          <t>是</t>
        </is>
      </c>
      <c r="Q360" t="inlineStr">
        <is>
          <t>auto_pipeline;review_png_green</t>
        </is>
      </c>
      <c r="R360" t="inlineStr">
        <is>
          <t>样品51</t>
        </is>
      </c>
    </row>
    <row r="361">
      <c r="A361" t="n">
        <v>360</v>
      </c>
      <c r="B361" t="inlineStr">
        <is>
          <t>51 (5).tif</t>
        </is>
      </c>
      <c r="C361" t="inlineStr">
        <is>
          <t>51(5)-V07</t>
        </is>
      </c>
      <c r="D361" t="n">
        <v>7</v>
      </c>
      <c r="E361" t="inlineStr">
        <is>
          <t>primary</t>
        </is>
      </c>
      <c r="F361" t="n">
        <v>104.9858223062382</v>
      </c>
      <c r="G361">
        <f>2*SQRT(F361/PI())</f>
        <v/>
      </c>
      <c r="H361" t="n">
        <v>48.26242179974265</v>
      </c>
      <c r="I361" t="n">
        <v>710</v>
      </c>
      <c r="J361" t="n">
        <v>407</v>
      </c>
      <c r="K361" t="n">
        <v>102.8861058601134</v>
      </c>
      <c r="L361" t="n">
        <v>107.085538752363</v>
      </c>
      <c r="M361">
        <f>2*SQRT(K361/PI())</f>
        <v/>
      </c>
      <c r="N361">
        <f>2*SQRT(L361/PI())</f>
        <v/>
      </c>
      <c r="P361" t="inlineStr">
        <is>
          <t>是</t>
        </is>
      </c>
      <c r="Q361" t="inlineStr">
        <is>
          <t>auto_pipeline;review_png_green</t>
        </is>
      </c>
      <c r="R361" t="inlineStr">
        <is>
          <t>样品51</t>
        </is>
      </c>
    </row>
    <row r="362">
      <c r="A362" t="n">
        <v>361</v>
      </c>
      <c r="B362" t="inlineStr">
        <is>
          <t>51 (6).tif</t>
        </is>
      </c>
      <c r="C362" t="inlineStr">
        <is>
          <t>51(6)-V01</t>
        </is>
      </c>
      <c r="D362" t="n">
        <v>1</v>
      </c>
      <c r="E362" t="inlineStr">
        <is>
          <t>primary</t>
        </is>
      </c>
      <c r="F362" t="n">
        <v>1237.098298676749</v>
      </c>
      <c r="G362">
        <f>2*SQRT(F362/PI())</f>
        <v/>
      </c>
      <c r="H362" t="n">
        <v>131.6239400531935</v>
      </c>
      <c r="I362" t="n">
        <v>502</v>
      </c>
      <c r="J362" t="n">
        <v>397</v>
      </c>
      <c r="K362" t="n">
        <v>1212.356332703214</v>
      </c>
      <c r="L362" t="n">
        <v>1261.840264650283</v>
      </c>
      <c r="M362">
        <f>2*SQRT(K362/PI())</f>
        <v/>
      </c>
      <c r="N362">
        <f>2*SQRT(L362/PI())</f>
        <v/>
      </c>
      <c r="O362" t="inlineStr">
        <is>
          <t>51(6)-P01</t>
        </is>
      </c>
      <c r="P362" t="inlineStr">
        <is>
          <t>是</t>
        </is>
      </c>
      <c r="Q362" t="inlineStr">
        <is>
          <t>auto_pipeline;review_png_green</t>
        </is>
      </c>
      <c r="R362" t="inlineStr">
        <is>
          <t>样品51</t>
        </is>
      </c>
    </row>
    <row r="363">
      <c r="A363" t="n">
        <v>362</v>
      </c>
      <c r="B363" t="inlineStr">
        <is>
          <t>51 (6).tif</t>
        </is>
      </c>
      <c r="C363" t="inlineStr">
        <is>
          <t>51(6)-V02</t>
        </is>
      </c>
      <c r="D363" t="n">
        <v>2</v>
      </c>
      <c r="E363" t="inlineStr">
        <is>
          <t>primary</t>
        </is>
      </c>
      <c r="F363" t="n">
        <v>801.0160680529301</v>
      </c>
      <c r="G363">
        <f>2*SQRT(F363/PI())</f>
        <v/>
      </c>
      <c r="H363" t="n">
        <v>107.0251730991446</v>
      </c>
      <c r="I363" t="n">
        <v>378</v>
      </c>
      <c r="J363" t="n">
        <v>269</v>
      </c>
      <c r="K363" t="n">
        <v>784.9957466918715</v>
      </c>
      <c r="L363" t="n">
        <v>817.0363894139887</v>
      </c>
      <c r="M363">
        <f>2*SQRT(K363/PI())</f>
        <v/>
      </c>
      <c r="N363">
        <f>2*SQRT(L363/PI())</f>
        <v/>
      </c>
      <c r="O363" t="inlineStr">
        <is>
          <t>51(6)-P01</t>
        </is>
      </c>
      <c r="P363" t="inlineStr">
        <is>
          <t>是</t>
        </is>
      </c>
      <c r="Q363" t="inlineStr">
        <is>
          <t>auto_pipeline;review_png_green</t>
        </is>
      </c>
      <c r="R363" t="inlineStr">
        <is>
          <t>样品51</t>
        </is>
      </c>
    </row>
    <row r="364">
      <c r="A364" t="n">
        <v>363</v>
      </c>
      <c r="B364" t="inlineStr">
        <is>
          <t>51 (6).tif</t>
        </is>
      </c>
      <c r="C364" t="inlineStr">
        <is>
          <t>51(6)-V03</t>
        </is>
      </c>
      <c r="D364" t="n">
        <v>3</v>
      </c>
      <c r="E364" t="inlineStr">
        <is>
          <t>primary</t>
        </is>
      </c>
      <c r="F364" t="n">
        <v>488.7996219281663</v>
      </c>
      <c r="G364">
        <f>2*SQRT(F364/PI())</f>
        <v/>
      </c>
      <c r="H364" t="n">
        <v>83.19047544313513</v>
      </c>
      <c r="I364" t="n">
        <v>919</v>
      </c>
      <c r="J364" t="n">
        <v>139</v>
      </c>
      <c r="K364" t="n">
        <v>479.023629489603</v>
      </c>
      <c r="L364" t="n">
        <v>498.5756143667297</v>
      </c>
      <c r="M364">
        <f>2*SQRT(K364/PI())</f>
        <v/>
      </c>
      <c r="N364">
        <f>2*SQRT(L364/PI())</f>
        <v/>
      </c>
      <c r="P364" t="inlineStr">
        <is>
          <t>是</t>
        </is>
      </c>
      <c r="Q364" t="inlineStr">
        <is>
          <t>auto_pipeline;review_png_green</t>
        </is>
      </c>
      <c r="R364" t="inlineStr">
        <is>
          <t>样品51</t>
        </is>
      </c>
    </row>
    <row r="365">
      <c r="A365" t="n">
        <v>364</v>
      </c>
      <c r="B365" t="inlineStr">
        <is>
          <t>51 (6).tif</t>
        </is>
      </c>
      <c r="C365" t="inlineStr">
        <is>
          <t>51(6)-V04</t>
        </is>
      </c>
      <c r="D365" t="n">
        <v>4</v>
      </c>
      <c r="E365" t="inlineStr">
        <is>
          <t>primary</t>
        </is>
      </c>
      <c r="F365" t="n">
        <v>398.9603024574669</v>
      </c>
      <c r="G365">
        <f>2*SQRT(F365/PI())</f>
        <v/>
      </c>
      <c r="H365" t="n">
        <v>75.2588925672614</v>
      </c>
      <c r="I365" t="n">
        <v>181</v>
      </c>
      <c r="J365" t="n">
        <v>283</v>
      </c>
      <c r="K365" t="n">
        <v>390.9810964083176</v>
      </c>
      <c r="L365" t="n">
        <v>406.9395085066163</v>
      </c>
      <c r="M365">
        <f>2*SQRT(K365/PI())</f>
        <v/>
      </c>
      <c r="N365">
        <f>2*SQRT(L365/PI())</f>
        <v/>
      </c>
      <c r="P365" t="inlineStr">
        <is>
          <t>是</t>
        </is>
      </c>
      <c r="Q365" t="inlineStr">
        <is>
          <t>auto_pipeline;review_png_green</t>
        </is>
      </c>
      <c r="R365" t="inlineStr">
        <is>
          <t>样品51</t>
        </is>
      </c>
    </row>
    <row r="366">
      <c r="A366" t="n">
        <v>365</v>
      </c>
      <c r="B366" t="inlineStr">
        <is>
          <t>51 (6).tif</t>
        </is>
      </c>
      <c r="C366" t="inlineStr">
        <is>
          <t>51(6)-V05</t>
        </is>
      </c>
      <c r="D366" t="n">
        <v>5</v>
      </c>
      <c r="E366" t="inlineStr">
        <is>
          <t>primary</t>
        </is>
      </c>
      <c r="F366" t="n">
        <v>170.6521739130435</v>
      </c>
      <c r="G366">
        <f>2*SQRT(F366/PI())</f>
        <v/>
      </c>
      <c r="H366" t="n">
        <v>54.52042113179746</v>
      </c>
      <c r="I366" t="n">
        <v>281</v>
      </c>
      <c r="J366" t="n">
        <v>332</v>
      </c>
      <c r="K366" t="n">
        <v>167.2391304347826</v>
      </c>
      <c r="L366" t="n">
        <v>174.0652173913043</v>
      </c>
      <c r="M366">
        <f>2*SQRT(K366/PI())</f>
        <v/>
      </c>
      <c r="N366">
        <f>2*SQRT(L366/PI())</f>
        <v/>
      </c>
      <c r="P366" t="inlineStr">
        <is>
          <t>是</t>
        </is>
      </c>
      <c r="Q366" t="inlineStr">
        <is>
          <t>auto_pipeline;review_png_green</t>
        </is>
      </c>
      <c r="R366" t="inlineStr">
        <is>
          <t>样品51</t>
        </is>
      </c>
    </row>
    <row r="367">
      <c r="A367" t="n">
        <v>366</v>
      </c>
      <c r="B367" t="inlineStr">
        <is>
          <t>51 (6).tif</t>
        </is>
      </c>
      <c r="C367" t="inlineStr">
        <is>
          <t>51(6)-V06</t>
        </is>
      </c>
      <c r="D367" t="n">
        <v>6</v>
      </c>
      <c r="E367" t="inlineStr">
        <is>
          <t>primary</t>
        </is>
      </c>
      <c r="F367" t="n">
        <v>119.7542533081285</v>
      </c>
      <c r="G367">
        <f>2*SQRT(F367/PI())</f>
        <v/>
      </c>
      <c r="H367" t="n">
        <v>47.41470554600591</v>
      </c>
      <c r="I367" t="n">
        <v>700</v>
      </c>
      <c r="J367" t="n">
        <v>231</v>
      </c>
      <c r="K367" t="n">
        <v>117.359168241966</v>
      </c>
      <c r="L367" t="n">
        <v>122.1493383742911</v>
      </c>
      <c r="M367">
        <f>2*SQRT(K367/PI())</f>
        <v/>
      </c>
      <c r="N367">
        <f>2*SQRT(L367/PI())</f>
        <v/>
      </c>
      <c r="P367" t="inlineStr">
        <is>
          <t>是</t>
        </is>
      </c>
      <c r="Q367" t="inlineStr">
        <is>
          <t>auto_pipeline;review_png_green</t>
        </is>
      </c>
      <c r="R367" t="inlineStr">
        <is>
          <t>样品51</t>
        </is>
      </c>
    </row>
    <row r="368">
      <c r="A368" t="n">
        <v>367</v>
      </c>
      <c r="B368" t="inlineStr">
        <is>
          <t>51 (6).tif</t>
        </is>
      </c>
      <c r="C368" t="inlineStr">
        <is>
          <t>51(6)-V07</t>
        </is>
      </c>
      <c r="D368" t="n">
        <v>7</v>
      </c>
      <c r="E368" t="inlineStr">
        <is>
          <t>primary</t>
        </is>
      </c>
      <c r="F368" t="n">
        <v>118.0293005671078</v>
      </c>
      <c r="G368">
        <f>2*SQRT(F368/PI())</f>
        <v/>
      </c>
      <c r="H368" t="n">
        <v>45.74112200218698</v>
      </c>
      <c r="I368" t="n">
        <v>726</v>
      </c>
      <c r="J368" t="n">
        <v>626</v>
      </c>
      <c r="K368" t="n">
        <v>115.6687145557656</v>
      </c>
      <c r="L368" t="n">
        <v>120.3898865784499</v>
      </c>
      <c r="M368">
        <f>2*SQRT(K368/PI())</f>
        <v/>
      </c>
      <c r="N368">
        <f>2*SQRT(L368/PI())</f>
        <v/>
      </c>
      <c r="P368" t="inlineStr">
        <is>
          <t>是</t>
        </is>
      </c>
      <c r="Q368" t="inlineStr">
        <is>
          <t>auto_pipeline;review_png_green</t>
        </is>
      </c>
      <c r="R368" t="inlineStr">
        <is>
          <t>样品51</t>
        </is>
      </c>
    </row>
    <row r="369">
      <c r="A369" t="n">
        <v>368</v>
      </c>
      <c r="B369" t="inlineStr">
        <is>
          <t>51 (7).tif</t>
        </is>
      </c>
      <c r="C369" t="inlineStr">
        <is>
          <t>51(7)-V01</t>
        </is>
      </c>
      <c r="D369" t="n">
        <v>1</v>
      </c>
      <c r="E369" t="inlineStr">
        <is>
          <t>primary</t>
        </is>
      </c>
      <c r="F369" t="n">
        <v>608.0576559546314</v>
      </c>
      <c r="G369">
        <f>2*SQRT(F369/PI())</f>
        <v/>
      </c>
      <c r="H369" t="n">
        <v>92.3299602581107</v>
      </c>
      <c r="I369" t="n">
        <v>544</v>
      </c>
      <c r="J369" t="n">
        <v>433</v>
      </c>
      <c r="K369" t="n">
        <v>595.8965028355387</v>
      </c>
      <c r="L369" t="n">
        <v>620.2188090737241</v>
      </c>
      <c r="M369">
        <f>2*SQRT(K369/PI())</f>
        <v/>
      </c>
      <c r="N369">
        <f>2*SQRT(L369/PI())</f>
        <v/>
      </c>
      <c r="P369" t="inlineStr">
        <is>
          <t>是</t>
        </is>
      </c>
      <c r="Q369" t="inlineStr">
        <is>
          <t>auto_pipeline;review_png_green</t>
        </is>
      </c>
      <c r="R369" t="inlineStr">
        <is>
          <t>样品51</t>
        </is>
      </c>
    </row>
    <row r="370">
      <c r="A370" t="n">
        <v>369</v>
      </c>
      <c r="B370" t="inlineStr">
        <is>
          <t>51 (7).tif</t>
        </is>
      </c>
      <c r="C370" t="inlineStr">
        <is>
          <t>51(7)-V02</t>
        </is>
      </c>
      <c r="D370" t="n">
        <v>2</v>
      </c>
      <c r="E370" t="inlineStr">
        <is>
          <t>primary</t>
        </is>
      </c>
      <c r="F370" t="n">
        <v>586.2712665406427</v>
      </c>
      <c r="G370">
        <f>2*SQRT(F370/PI())</f>
        <v/>
      </c>
      <c r="H370" t="n">
        <v>91.10020935535431</v>
      </c>
      <c r="I370" t="n">
        <v>786</v>
      </c>
      <c r="J370" t="n">
        <v>454</v>
      </c>
      <c r="K370" t="n">
        <v>574.5458412098299</v>
      </c>
      <c r="L370" t="n">
        <v>597.9966918714556</v>
      </c>
      <c r="M370">
        <f>2*SQRT(K370/PI())</f>
        <v/>
      </c>
      <c r="N370">
        <f>2*SQRT(L370/PI())</f>
        <v/>
      </c>
      <c r="P370" t="inlineStr">
        <is>
          <t>是</t>
        </is>
      </c>
      <c r="Q370" t="inlineStr">
        <is>
          <t>auto_pipeline;review_png_green</t>
        </is>
      </c>
      <c r="R370" t="inlineStr">
        <is>
          <t>样品51</t>
        </is>
      </c>
    </row>
    <row r="371">
      <c r="A371" t="n">
        <v>370</v>
      </c>
      <c r="B371" t="inlineStr">
        <is>
          <t>51 (7).tif</t>
        </is>
      </c>
      <c r="C371" t="inlineStr">
        <is>
          <t>51(7)-V03</t>
        </is>
      </c>
      <c r="D371" t="n">
        <v>3</v>
      </c>
      <c r="E371" t="inlineStr">
        <is>
          <t>primary</t>
        </is>
      </c>
      <c r="F371" t="n">
        <v>463.9886578449905</v>
      </c>
      <c r="G371">
        <f>2*SQRT(F371/PI())</f>
        <v/>
      </c>
      <c r="H371" t="n">
        <v>80.83646955697432</v>
      </c>
      <c r="I371" t="n">
        <v>429</v>
      </c>
      <c r="J371" t="n">
        <v>335</v>
      </c>
      <c r="K371" t="n">
        <v>454.7088846880907</v>
      </c>
      <c r="L371" t="n">
        <v>473.2684310018903</v>
      </c>
      <c r="M371">
        <f>2*SQRT(K371/PI())</f>
        <v/>
      </c>
      <c r="N371">
        <f>2*SQRT(L371/PI())</f>
        <v/>
      </c>
      <c r="P371" t="inlineStr">
        <is>
          <t>是</t>
        </is>
      </c>
      <c r="Q371" t="inlineStr">
        <is>
          <t>auto_pipeline;review_png_green</t>
        </is>
      </c>
      <c r="R371" t="inlineStr">
        <is>
          <t>样品51</t>
        </is>
      </c>
    </row>
    <row r="372">
      <c r="A372" t="n">
        <v>371</v>
      </c>
      <c r="B372" t="inlineStr">
        <is>
          <t>51 (7).tif</t>
        </is>
      </c>
      <c r="C372" t="inlineStr">
        <is>
          <t>51(7)-V04</t>
        </is>
      </c>
      <c r="D372" t="n">
        <v>4</v>
      </c>
      <c r="E372" t="inlineStr">
        <is>
          <t>primary</t>
        </is>
      </c>
      <c r="F372" t="n">
        <v>195.4158790170132</v>
      </c>
      <c r="G372">
        <f>2*SQRT(F372/PI())</f>
        <v/>
      </c>
      <c r="H372" t="n">
        <v>54.77511089781056</v>
      </c>
      <c r="I372" t="n">
        <v>544</v>
      </c>
      <c r="J372" t="n">
        <v>146</v>
      </c>
      <c r="K372" t="n">
        <v>191.5075614366729</v>
      </c>
      <c r="L372" t="n">
        <v>199.3241965973535</v>
      </c>
      <c r="M372">
        <f>2*SQRT(K372/PI())</f>
        <v/>
      </c>
      <c r="N372">
        <f>2*SQRT(L372/PI())</f>
        <v/>
      </c>
      <c r="P372" t="inlineStr">
        <is>
          <t>是</t>
        </is>
      </c>
      <c r="Q372" t="inlineStr">
        <is>
          <t>auto_pipeline;review_png_green</t>
        </is>
      </c>
      <c r="R372" t="inlineStr">
        <is>
          <t>样品51</t>
        </is>
      </c>
    </row>
    <row r="373">
      <c r="A373" t="n">
        <v>372</v>
      </c>
      <c r="B373" t="inlineStr">
        <is>
          <t>51 (7).tif</t>
        </is>
      </c>
      <c r="C373" t="inlineStr">
        <is>
          <t>51(7)-V05</t>
        </is>
      </c>
      <c r="D373" t="n">
        <v>5</v>
      </c>
      <c r="E373" t="inlineStr">
        <is>
          <t>primary</t>
        </is>
      </c>
      <c r="F373" t="n">
        <v>140.4773156899811</v>
      </c>
      <c r="G373">
        <f>2*SQRT(F373/PI())</f>
        <v/>
      </c>
      <c r="H373" t="n">
        <v>49.4740726377653</v>
      </c>
      <c r="I373" t="n">
        <v>504</v>
      </c>
      <c r="J373" t="n">
        <v>259</v>
      </c>
      <c r="K373" t="n">
        <v>137.6677693761815</v>
      </c>
      <c r="L373" t="n">
        <v>143.2868620037807</v>
      </c>
      <c r="M373">
        <f>2*SQRT(K373/PI())</f>
        <v/>
      </c>
      <c r="N373">
        <f>2*SQRT(L373/PI())</f>
        <v/>
      </c>
      <c r="P373" t="inlineStr">
        <is>
          <t>是</t>
        </is>
      </c>
      <c r="Q373" t="inlineStr">
        <is>
          <t>auto_pipeline;review_png_green</t>
        </is>
      </c>
      <c r="R373" t="inlineStr">
        <is>
          <t>样品51</t>
        </is>
      </c>
    </row>
    <row r="374">
      <c r="A374" t="n">
        <v>373</v>
      </c>
      <c r="B374" t="inlineStr">
        <is>
          <t>51 (7).tif</t>
        </is>
      </c>
      <c r="C374" t="inlineStr">
        <is>
          <t>51(7)-V06</t>
        </is>
      </c>
      <c r="D374" t="n">
        <v>6</v>
      </c>
      <c r="E374" t="inlineStr">
        <is>
          <t>primary</t>
        </is>
      </c>
      <c r="F374" t="n">
        <v>128.6862003780718</v>
      </c>
      <c r="G374">
        <f>2*SQRT(F374/PI())</f>
        <v/>
      </c>
      <c r="H374" t="n">
        <v>51.8243296250053</v>
      </c>
      <c r="I374" t="n">
        <v>203</v>
      </c>
      <c r="J374" t="n">
        <v>421</v>
      </c>
      <c r="K374" t="n">
        <v>126.1124763705104</v>
      </c>
      <c r="L374" t="n">
        <v>131.2599243856333</v>
      </c>
      <c r="M374">
        <f>2*SQRT(K374/PI())</f>
        <v/>
      </c>
      <c r="N374">
        <f>2*SQRT(L374/PI())</f>
        <v/>
      </c>
      <c r="P374" t="inlineStr">
        <is>
          <t>是</t>
        </is>
      </c>
      <c r="Q374" t="inlineStr">
        <is>
          <t>auto_pipeline;review_png_green</t>
        </is>
      </c>
      <c r="R374" t="inlineStr">
        <is>
          <t>样品51</t>
        </is>
      </c>
    </row>
    <row r="375">
      <c r="A375" t="n">
        <v>374</v>
      </c>
      <c r="B375" t="inlineStr">
        <is>
          <t>51 (8).tif</t>
        </is>
      </c>
      <c r="C375" t="inlineStr">
        <is>
          <t>51(8)-V01</t>
        </is>
      </c>
      <c r="D375" t="n">
        <v>1</v>
      </c>
      <c r="E375" t="inlineStr">
        <is>
          <t>primary</t>
        </is>
      </c>
      <c r="F375" t="n">
        <v>935.7750472589792</v>
      </c>
      <c r="G375">
        <f>2*SQRT(F375/PI())</f>
        <v/>
      </c>
      <c r="H375" t="n">
        <v>114.8294110920118</v>
      </c>
      <c r="I375" t="n">
        <v>579</v>
      </c>
      <c r="J375" t="n">
        <v>334</v>
      </c>
      <c r="K375" t="n">
        <v>917.0595463137995</v>
      </c>
      <c r="L375" t="n">
        <v>954.4905482041588</v>
      </c>
      <c r="M375">
        <f>2*SQRT(K375/PI())</f>
        <v/>
      </c>
      <c r="N375">
        <f>2*SQRT(L375/PI())</f>
        <v/>
      </c>
      <c r="P375" t="inlineStr">
        <is>
          <t>是</t>
        </is>
      </c>
      <c r="Q375" t="inlineStr">
        <is>
          <t>auto_pipeline;review_png_green</t>
        </is>
      </c>
      <c r="R375" t="inlineStr">
        <is>
          <t>样品51</t>
        </is>
      </c>
    </row>
    <row r="376">
      <c r="A376" t="n">
        <v>375</v>
      </c>
      <c r="B376" t="inlineStr">
        <is>
          <t>51 (8).tif</t>
        </is>
      </c>
      <c r="C376" t="inlineStr">
        <is>
          <t>51(8)-V02</t>
        </is>
      </c>
      <c r="D376" t="n">
        <v>2</v>
      </c>
      <c r="E376" t="inlineStr">
        <is>
          <t>primary</t>
        </is>
      </c>
      <c r="F376" t="n">
        <v>844.9196597353497</v>
      </c>
      <c r="G376">
        <f>2*SQRT(F376/PI())</f>
        <v/>
      </c>
      <c r="H376" t="n">
        <v>110.2487442026968</v>
      </c>
      <c r="I376" t="n">
        <v>163</v>
      </c>
      <c r="J376" t="n">
        <v>410</v>
      </c>
      <c r="K376" t="n">
        <v>828.0212665406427</v>
      </c>
      <c r="L376" t="n">
        <v>861.8180529300566</v>
      </c>
      <c r="M376">
        <f>2*SQRT(K376/PI())</f>
        <v/>
      </c>
      <c r="N376">
        <f>2*SQRT(L376/PI())</f>
        <v/>
      </c>
      <c r="P376" t="inlineStr">
        <is>
          <t>是</t>
        </is>
      </c>
      <c r="Q376" t="inlineStr">
        <is>
          <t>auto_pipeline;review_png_green</t>
        </is>
      </c>
      <c r="R376" t="inlineStr">
        <is>
          <t>样品51</t>
        </is>
      </c>
    </row>
    <row r="377">
      <c r="A377" t="n">
        <v>376</v>
      </c>
      <c r="B377" t="inlineStr">
        <is>
          <t>51 (8).tif</t>
        </is>
      </c>
      <c r="C377" t="inlineStr">
        <is>
          <t>51(8)-V03</t>
        </is>
      </c>
      <c r="D377" t="n">
        <v>3</v>
      </c>
      <c r="E377" t="inlineStr">
        <is>
          <t>primary</t>
        </is>
      </c>
      <c r="F377" t="n">
        <v>666.0680529300568</v>
      </c>
      <c r="G377">
        <f>2*SQRT(F377/PI())</f>
        <v/>
      </c>
      <c r="H377" t="n">
        <v>96.65593738141267</v>
      </c>
      <c r="I377" t="n">
        <v>400</v>
      </c>
      <c r="J377" t="n">
        <v>376</v>
      </c>
      <c r="K377" t="n">
        <v>652.7466918714556</v>
      </c>
      <c r="L377" t="n">
        <v>679.3894139886579</v>
      </c>
      <c r="M377">
        <f>2*SQRT(K377/PI())</f>
        <v/>
      </c>
      <c r="N377">
        <f>2*SQRT(L377/PI())</f>
        <v/>
      </c>
      <c r="P377" t="inlineStr">
        <is>
          <t>是</t>
        </is>
      </c>
      <c r="Q377" t="inlineStr">
        <is>
          <t>auto_pipeline;review_png_green</t>
        </is>
      </c>
      <c r="R377" t="inlineStr">
        <is>
          <t>样品51</t>
        </is>
      </c>
    </row>
    <row r="378">
      <c r="A378" t="n">
        <v>377</v>
      </c>
      <c r="B378" t="inlineStr">
        <is>
          <t>51 (8).tif</t>
        </is>
      </c>
      <c r="C378" t="inlineStr">
        <is>
          <t>51(8)-V04</t>
        </is>
      </c>
      <c r="D378" t="n">
        <v>4</v>
      </c>
      <c r="E378" t="inlineStr">
        <is>
          <t>primary</t>
        </is>
      </c>
      <c r="F378" t="n">
        <v>461.0822306238185</v>
      </c>
      <c r="G378">
        <f>2*SQRT(F378/PI())</f>
        <v/>
      </c>
      <c r="H378" t="n">
        <v>83.16862647948058</v>
      </c>
      <c r="I378" t="n">
        <v>947</v>
      </c>
      <c r="J378" t="n">
        <v>527</v>
      </c>
      <c r="K378" t="n">
        <v>451.8605860113421</v>
      </c>
      <c r="L378" t="n">
        <v>470.3038752362949</v>
      </c>
      <c r="M378">
        <f>2*SQRT(K378/PI())</f>
        <v/>
      </c>
      <c r="N378">
        <f>2*SQRT(L378/PI())</f>
        <v/>
      </c>
      <c r="P378" t="inlineStr">
        <is>
          <t>是</t>
        </is>
      </c>
      <c r="Q378" t="inlineStr">
        <is>
          <t>auto_pipeline;review_png_green</t>
        </is>
      </c>
      <c r="R378" t="inlineStr">
        <is>
          <t>样品51</t>
        </is>
      </c>
    </row>
    <row r="379">
      <c r="A379" t="n">
        <v>378</v>
      </c>
      <c r="B379" t="inlineStr">
        <is>
          <t>51 (8).tif</t>
        </is>
      </c>
      <c r="C379" t="inlineStr">
        <is>
          <t>51(8)-V05</t>
        </is>
      </c>
      <c r="D379" t="n">
        <v>5</v>
      </c>
      <c r="E379" t="inlineStr">
        <is>
          <t>primary</t>
        </is>
      </c>
      <c r="F379" t="n">
        <v>356.4272211720227</v>
      </c>
      <c r="G379">
        <f>2*SQRT(F379/PI())</f>
        <v/>
      </c>
      <c r="H379" t="n">
        <v>75.40808641392252</v>
      </c>
      <c r="I379" t="n">
        <v>753</v>
      </c>
      <c r="J379" t="n">
        <v>74</v>
      </c>
      <c r="K379" t="n">
        <v>349.2986767485822</v>
      </c>
      <c r="L379" t="n">
        <v>363.5557655954632</v>
      </c>
      <c r="M379">
        <f>2*SQRT(K379/PI())</f>
        <v/>
      </c>
      <c r="N379">
        <f>2*SQRT(L379/PI())</f>
        <v/>
      </c>
      <c r="P379" t="inlineStr">
        <is>
          <t>是</t>
        </is>
      </c>
      <c r="Q379" t="inlineStr">
        <is>
          <t>auto_pipeline;review_png_green</t>
        </is>
      </c>
      <c r="R379" t="inlineStr">
        <is>
          <t>样品51</t>
        </is>
      </c>
    </row>
    <row r="380">
      <c r="A380" t="n">
        <v>379</v>
      </c>
      <c r="B380" t="inlineStr">
        <is>
          <t>51 (8).tif</t>
        </is>
      </c>
      <c r="C380" t="inlineStr">
        <is>
          <t>51(8)-V06</t>
        </is>
      </c>
      <c r="D380" t="n">
        <v>6</v>
      </c>
      <c r="E380" t="inlineStr">
        <is>
          <t>primary</t>
        </is>
      </c>
      <c r="F380" t="n">
        <v>153.9697542533081</v>
      </c>
      <c r="G380">
        <f>2*SQRT(F380/PI())</f>
        <v/>
      </c>
      <c r="H380" t="n">
        <v>47.09821778794993</v>
      </c>
      <c r="I380" t="n">
        <v>281</v>
      </c>
      <c r="J380" t="n">
        <v>117</v>
      </c>
      <c r="K380" t="n">
        <v>150.890359168242</v>
      </c>
      <c r="L380" t="n">
        <v>157.0491493383743</v>
      </c>
      <c r="M380">
        <f>2*SQRT(K380/PI())</f>
        <v/>
      </c>
      <c r="N380">
        <f>2*SQRT(L380/PI())</f>
        <v/>
      </c>
      <c r="P380" t="inlineStr">
        <is>
          <t>是</t>
        </is>
      </c>
      <c r="Q380" t="inlineStr">
        <is>
          <t>auto_pipeline;review_png_green</t>
        </is>
      </c>
      <c r="R380" t="inlineStr">
        <is>
          <t>样品51</t>
        </is>
      </c>
    </row>
    <row r="381">
      <c r="A381" t="n">
        <v>380</v>
      </c>
      <c r="B381" t="inlineStr">
        <is>
          <t>52 (1).tif</t>
        </is>
      </c>
      <c r="C381" t="inlineStr">
        <is>
          <t>52(1)-V01</t>
        </is>
      </c>
      <c r="D381" t="n">
        <v>1</v>
      </c>
      <c r="E381" t="inlineStr">
        <is>
          <t>primary</t>
        </is>
      </c>
      <c r="F381" t="n">
        <v>591.4933837429112</v>
      </c>
      <c r="G381">
        <f>2*SQRT(F381/PI())</f>
        <v/>
      </c>
      <c r="H381" t="n">
        <v>91.58773992372595</v>
      </c>
      <c r="I381" t="n">
        <v>460</v>
      </c>
      <c r="J381" t="n">
        <v>392</v>
      </c>
      <c r="K381" t="n">
        <v>579.663516068053</v>
      </c>
      <c r="L381" t="n">
        <v>603.3232514177694</v>
      </c>
      <c r="M381">
        <f>2*SQRT(K381/PI())</f>
        <v/>
      </c>
      <c r="N381">
        <f>2*SQRT(L381/PI())</f>
        <v/>
      </c>
      <c r="P381" t="inlineStr">
        <is>
          <t>是</t>
        </is>
      </c>
      <c r="Q381" t="inlineStr">
        <is>
          <t>auto_pipeline;review_png_green</t>
        </is>
      </c>
      <c r="R381" t="inlineStr">
        <is>
          <t>样品52</t>
        </is>
      </c>
    </row>
    <row r="382">
      <c r="A382" t="n">
        <v>381</v>
      </c>
      <c r="B382" t="inlineStr">
        <is>
          <t>52 (1).tif</t>
        </is>
      </c>
      <c r="C382" t="inlineStr">
        <is>
          <t>52(1)-V02</t>
        </is>
      </c>
      <c r="D382" t="n">
        <v>2</v>
      </c>
      <c r="E382" t="inlineStr">
        <is>
          <t>primary</t>
        </is>
      </c>
      <c r="F382" t="n">
        <v>389.1776937618147</v>
      </c>
      <c r="G382">
        <f>2*SQRT(F382/PI())</f>
        <v/>
      </c>
      <c r="H382" t="n">
        <v>75.51358233327451</v>
      </c>
      <c r="I382" t="n">
        <v>276</v>
      </c>
      <c r="J382" t="n">
        <v>496</v>
      </c>
      <c r="K382" t="n">
        <v>381.3941398865784</v>
      </c>
      <c r="L382" t="n">
        <v>396.961247637051</v>
      </c>
      <c r="M382">
        <f>2*SQRT(K382/PI())</f>
        <v/>
      </c>
      <c r="N382">
        <f>2*SQRT(L382/PI())</f>
        <v/>
      </c>
      <c r="P382" t="inlineStr">
        <is>
          <t>是</t>
        </is>
      </c>
      <c r="Q382" t="inlineStr">
        <is>
          <t>auto_pipeline;review_png_green</t>
        </is>
      </c>
      <c r="R382" t="inlineStr">
        <is>
          <t>样品52</t>
        </is>
      </c>
    </row>
    <row r="383">
      <c r="A383" t="n">
        <v>382</v>
      </c>
      <c r="B383" t="inlineStr">
        <is>
          <t>52 (1).tif</t>
        </is>
      </c>
      <c r="C383" t="inlineStr">
        <is>
          <t>52(1)-V03</t>
        </is>
      </c>
      <c r="D383" t="n">
        <v>3</v>
      </c>
      <c r="E383" t="inlineStr">
        <is>
          <t>primary</t>
        </is>
      </c>
      <c r="F383" t="n">
        <v>339.8393194706994</v>
      </c>
      <c r="G383">
        <f>2*SQRT(F383/PI())</f>
        <v/>
      </c>
      <c r="H383" t="n">
        <v>69.83050942420959</v>
      </c>
      <c r="I383" t="n">
        <v>599</v>
      </c>
      <c r="J383" t="n">
        <v>333</v>
      </c>
      <c r="K383" t="n">
        <v>333.0425330812855</v>
      </c>
      <c r="L383" t="n">
        <v>346.6361058601134</v>
      </c>
      <c r="M383">
        <f>2*SQRT(K383/PI())</f>
        <v/>
      </c>
      <c r="N383">
        <f>2*SQRT(L383/PI())</f>
        <v/>
      </c>
      <c r="P383" t="inlineStr">
        <is>
          <t>是</t>
        </is>
      </c>
      <c r="Q383" t="inlineStr">
        <is>
          <t>auto_pipeline;review_png_green</t>
        </is>
      </c>
      <c r="R383" t="inlineStr">
        <is>
          <t>样品52</t>
        </is>
      </c>
    </row>
    <row r="384">
      <c r="A384" t="n">
        <v>383</v>
      </c>
      <c r="B384" t="inlineStr">
        <is>
          <t>52 (1).tif</t>
        </is>
      </c>
      <c r="C384" t="inlineStr">
        <is>
          <t>52(1)-V04</t>
        </is>
      </c>
      <c r="D384" t="n">
        <v>4</v>
      </c>
      <c r="E384" t="inlineStr">
        <is>
          <t>primary</t>
        </is>
      </c>
      <c r="F384" t="n">
        <v>109.9007561436673</v>
      </c>
      <c r="G384">
        <f>2*SQRT(F384/PI())</f>
        <v/>
      </c>
      <c r="H384" t="n">
        <v>43.28162019667418</v>
      </c>
      <c r="I384" t="n">
        <v>187</v>
      </c>
      <c r="J384" t="n">
        <v>615</v>
      </c>
      <c r="K384" t="n">
        <v>107.702741020794</v>
      </c>
      <c r="L384" t="n">
        <v>112.0987712665406</v>
      </c>
      <c r="M384">
        <f>2*SQRT(K384/PI())</f>
        <v/>
      </c>
      <c r="N384">
        <f>2*SQRT(L384/PI())</f>
        <v/>
      </c>
      <c r="P384" t="inlineStr">
        <is>
          <t>是</t>
        </is>
      </c>
      <c r="Q384" t="inlineStr">
        <is>
          <t>auto_pipeline;review_png_green</t>
        </is>
      </c>
      <c r="R384" t="inlineStr">
        <is>
          <t>样品52</t>
        </is>
      </c>
    </row>
    <row r="385">
      <c r="A385" t="n">
        <v>384</v>
      </c>
      <c r="B385" t="inlineStr">
        <is>
          <t>52 (2).tif</t>
        </is>
      </c>
      <c r="C385" t="inlineStr">
        <is>
          <t>52(2)-V01</t>
        </is>
      </c>
      <c r="D385" t="n">
        <v>1</v>
      </c>
      <c r="E385" t="inlineStr">
        <is>
          <t>primary</t>
        </is>
      </c>
      <c r="F385" t="n">
        <v>514.9574669187145</v>
      </c>
      <c r="G385">
        <f>2*SQRT(F385/PI())</f>
        <v/>
      </c>
      <c r="H385" t="n">
        <v>86.39219758303268</v>
      </c>
      <c r="I385" t="n">
        <v>89</v>
      </c>
      <c r="J385" t="n">
        <v>137</v>
      </c>
      <c r="K385" t="n">
        <v>504.6583175803402</v>
      </c>
      <c r="L385" t="n">
        <v>525.2566162570888</v>
      </c>
      <c r="M385">
        <f>2*SQRT(K385/PI())</f>
        <v/>
      </c>
      <c r="N385">
        <f>2*SQRT(L385/PI())</f>
        <v/>
      </c>
      <c r="P385" t="inlineStr">
        <is>
          <t>是</t>
        </is>
      </c>
      <c r="Q385" t="inlineStr">
        <is>
          <t>auto_pipeline;review_png_green</t>
        </is>
      </c>
      <c r="R385" t="inlineStr">
        <is>
          <t>样品52</t>
        </is>
      </c>
    </row>
    <row r="386">
      <c r="A386" t="n">
        <v>385</v>
      </c>
      <c r="B386" t="inlineStr">
        <is>
          <t>52 (2).tif</t>
        </is>
      </c>
      <c r="C386" t="inlineStr">
        <is>
          <t>52(2)-V02</t>
        </is>
      </c>
      <c r="D386" t="n">
        <v>2</v>
      </c>
      <c r="E386" t="inlineStr">
        <is>
          <t>primary</t>
        </is>
      </c>
      <c r="F386" t="n">
        <v>506.0018903591683</v>
      </c>
      <c r="G386">
        <f>2*SQRT(F386/PI())</f>
        <v/>
      </c>
      <c r="H386" t="n">
        <v>84.42022634589154</v>
      </c>
      <c r="I386" t="n">
        <v>429</v>
      </c>
      <c r="J386" t="n">
        <v>385</v>
      </c>
      <c r="K386" t="n">
        <v>495.8818525519849</v>
      </c>
      <c r="L386" t="n">
        <v>516.1219281663516</v>
      </c>
      <c r="M386">
        <f>2*SQRT(K386/PI())</f>
        <v/>
      </c>
      <c r="N386">
        <f>2*SQRT(L386/PI())</f>
        <v/>
      </c>
      <c r="O386" t="inlineStr">
        <is>
          <t>52(2)-P01</t>
        </is>
      </c>
      <c r="P386" t="inlineStr">
        <is>
          <t>是</t>
        </is>
      </c>
      <c r="Q386" t="inlineStr">
        <is>
          <t>auto_pipeline;review_png_green</t>
        </is>
      </c>
      <c r="R386" t="inlineStr">
        <is>
          <t>样品52</t>
        </is>
      </c>
    </row>
    <row r="387">
      <c r="A387" t="n">
        <v>386</v>
      </c>
      <c r="B387" t="inlineStr">
        <is>
          <t>52 (2).tif</t>
        </is>
      </c>
      <c r="C387" t="inlineStr">
        <is>
          <t>52(2)-V03</t>
        </is>
      </c>
      <c r="D387" t="n">
        <v>3</v>
      </c>
      <c r="E387" t="inlineStr">
        <is>
          <t>primary</t>
        </is>
      </c>
      <c r="F387" t="n">
        <v>286.7438563327032</v>
      </c>
      <c r="G387">
        <f>2*SQRT(F387/PI())</f>
        <v/>
      </c>
      <c r="H387" t="n">
        <v>65.14434661554253</v>
      </c>
      <c r="I387" t="n">
        <v>537</v>
      </c>
      <c r="J387" t="n">
        <v>302</v>
      </c>
      <c r="K387" t="n">
        <v>281.0089792060492</v>
      </c>
      <c r="L387" t="n">
        <v>292.4787334593573</v>
      </c>
      <c r="M387">
        <f>2*SQRT(K387/PI())</f>
        <v/>
      </c>
      <c r="N387">
        <f>2*SQRT(L387/PI())</f>
        <v/>
      </c>
      <c r="O387" t="inlineStr">
        <is>
          <t>52(2)-P01</t>
        </is>
      </c>
      <c r="P387" t="inlineStr">
        <is>
          <t>是</t>
        </is>
      </c>
      <c r="Q387" t="inlineStr">
        <is>
          <t>auto_pipeline;review_png_green</t>
        </is>
      </c>
      <c r="R387" t="inlineStr">
        <is>
          <t>样品52</t>
        </is>
      </c>
    </row>
    <row r="388">
      <c r="A388" t="n">
        <v>387</v>
      </c>
      <c r="B388" t="inlineStr">
        <is>
          <t>52 (2).tif</t>
        </is>
      </c>
      <c r="C388" t="inlineStr">
        <is>
          <t>52(2)-V04</t>
        </is>
      </c>
      <c r="D388" t="n">
        <v>4</v>
      </c>
      <c r="E388" t="inlineStr">
        <is>
          <t>primary</t>
        </is>
      </c>
      <c r="F388" t="n">
        <v>112.9725897920605</v>
      </c>
      <c r="G388">
        <f>2*SQRT(F388/PI())</f>
        <v/>
      </c>
      <c r="H388" t="n">
        <v>40.92761431051337</v>
      </c>
      <c r="I388" t="n">
        <v>922</v>
      </c>
      <c r="J388" t="n">
        <v>606</v>
      </c>
      <c r="K388" t="n">
        <v>110.7131379962193</v>
      </c>
      <c r="L388" t="n">
        <v>115.2320415879017</v>
      </c>
      <c r="M388">
        <f>2*SQRT(K388/PI())</f>
        <v/>
      </c>
      <c r="N388">
        <f>2*SQRT(L388/PI())</f>
        <v/>
      </c>
      <c r="P388" t="inlineStr">
        <is>
          <t>是</t>
        </is>
      </c>
      <c r="Q388" t="inlineStr">
        <is>
          <t>auto_pipeline;review_png_green</t>
        </is>
      </c>
      <c r="R388" t="inlineStr">
        <is>
          <t>样品52</t>
        </is>
      </c>
    </row>
    <row r="389">
      <c r="A389" t="n">
        <v>388</v>
      </c>
      <c r="B389" t="inlineStr">
        <is>
          <t>52 (3).tif</t>
        </is>
      </c>
      <c r="C389" t="inlineStr">
        <is>
          <t>52(3)-V01</t>
        </is>
      </c>
      <c r="D389" t="n">
        <v>1</v>
      </c>
      <c r="E389" t="inlineStr">
        <is>
          <t>primary</t>
        </is>
      </c>
      <c r="F389" t="n">
        <v>684.5463137996219</v>
      </c>
      <c r="G389">
        <f>2*SQRT(F389/PI())</f>
        <v/>
      </c>
      <c r="H389" t="n">
        <v>98.14037805018218</v>
      </c>
      <c r="I389" t="n">
        <v>499</v>
      </c>
      <c r="J389" t="n">
        <v>265</v>
      </c>
      <c r="K389" t="n">
        <v>670.8553875236295</v>
      </c>
      <c r="L389" t="n">
        <v>698.2372400756143</v>
      </c>
      <c r="M389">
        <f>2*SQRT(K389/PI())</f>
        <v/>
      </c>
      <c r="N389">
        <f>2*SQRT(L389/PI())</f>
        <v/>
      </c>
      <c r="O389" t="inlineStr">
        <is>
          <t>52(3)-P01</t>
        </is>
      </c>
      <c r="P389" t="inlineStr">
        <is>
          <t>是</t>
        </is>
      </c>
      <c r="Q389" t="inlineStr">
        <is>
          <t>auto_pipeline;review_png_green</t>
        </is>
      </c>
      <c r="R389" t="inlineStr">
        <is>
          <t>样品52</t>
        </is>
      </c>
    </row>
    <row r="390">
      <c r="A390" t="n">
        <v>389</v>
      </c>
      <c r="B390" t="inlineStr">
        <is>
          <t>52 (3).tif</t>
        </is>
      </c>
      <c r="C390" t="inlineStr">
        <is>
          <t>52(3)-V02</t>
        </is>
      </c>
      <c r="D390" t="n">
        <v>2</v>
      </c>
      <c r="E390" t="inlineStr">
        <is>
          <t>primary</t>
        </is>
      </c>
      <c r="F390" t="n">
        <v>440.9262759924385</v>
      </c>
      <c r="G390">
        <f>2*SQRT(F390/PI())</f>
        <v/>
      </c>
      <c r="H390" t="n">
        <v>78.73715343682662</v>
      </c>
      <c r="I390" t="n">
        <v>469</v>
      </c>
      <c r="J390" t="n">
        <v>403</v>
      </c>
      <c r="K390" t="n">
        <v>432.1077504725898</v>
      </c>
      <c r="L390" t="n">
        <v>449.7448015122873</v>
      </c>
      <c r="M390">
        <f>2*SQRT(K390/PI())</f>
        <v/>
      </c>
      <c r="N390">
        <f>2*SQRT(L390/PI())</f>
        <v/>
      </c>
      <c r="O390" t="inlineStr">
        <is>
          <t>52(3)-P01</t>
        </is>
      </c>
      <c r="P390" t="inlineStr">
        <is>
          <t>是</t>
        </is>
      </c>
      <c r="Q390" t="inlineStr">
        <is>
          <t>auto_pipeline;review_png_green</t>
        </is>
      </c>
      <c r="R390" t="inlineStr">
        <is>
          <t>样品52</t>
        </is>
      </c>
    </row>
    <row r="391">
      <c r="A391" t="n">
        <v>390</v>
      </c>
      <c r="B391" t="inlineStr">
        <is>
          <t>52 (3).tif</t>
        </is>
      </c>
      <c r="C391" t="inlineStr">
        <is>
          <t>52(3)-V03</t>
        </is>
      </c>
      <c r="D391" t="n">
        <v>3</v>
      </c>
      <c r="E391" t="inlineStr">
        <is>
          <t>primary</t>
        </is>
      </c>
      <c r="F391" t="n">
        <v>236.1531190926276</v>
      </c>
      <c r="G391">
        <f>2*SQRT(F391/PI())</f>
        <v/>
      </c>
      <c r="H391" t="n">
        <v>61.79343062898387</v>
      </c>
      <c r="I391" t="n">
        <v>885</v>
      </c>
      <c r="J391" t="n">
        <v>480</v>
      </c>
      <c r="K391" t="n">
        <v>231.4300567107751</v>
      </c>
      <c r="L391" t="n">
        <v>240.8761814744801</v>
      </c>
      <c r="M391">
        <f>2*SQRT(K391/PI())</f>
        <v/>
      </c>
      <c r="N391">
        <f>2*SQRT(L391/PI())</f>
        <v/>
      </c>
      <c r="P391" t="inlineStr">
        <is>
          <t>是</t>
        </is>
      </c>
      <c r="Q391" t="inlineStr">
        <is>
          <t>auto_pipeline;review_png_green</t>
        </is>
      </c>
      <c r="R391" t="inlineStr">
        <is>
          <t>样品52</t>
        </is>
      </c>
    </row>
    <row r="392">
      <c r="A392" t="n">
        <v>391</v>
      </c>
      <c r="B392" t="inlineStr">
        <is>
          <t>52 (3).tif</t>
        </is>
      </c>
      <c r="C392" t="inlineStr">
        <is>
          <t>52(3)-V04</t>
        </is>
      </c>
      <c r="D392" t="n">
        <v>4</v>
      </c>
      <c r="E392" t="inlineStr">
        <is>
          <t>primary</t>
        </is>
      </c>
      <c r="F392" t="n">
        <v>127.0321361058601</v>
      </c>
      <c r="G392">
        <f>2*SQRT(F392/PI())</f>
        <v/>
      </c>
      <c r="H392" t="n">
        <v>48.22247277135434</v>
      </c>
      <c r="I392" t="n">
        <v>256</v>
      </c>
      <c r="J392" t="n">
        <v>355</v>
      </c>
      <c r="K392" t="n">
        <v>124.4914933837429</v>
      </c>
      <c r="L392" t="n">
        <v>129.5727788279773</v>
      </c>
      <c r="M392">
        <f>2*SQRT(K392/PI())</f>
        <v/>
      </c>
      <c r="N392">
        <f>2*SQRT(L392/PI())</f>
        <v/>
      </c>
      <c r="P392" t="inlineStr">
        <is>
          <t>是</t>
        </is>
      </c>
      <c r="Q392" t="inlineStr">
        <is>
          <t>auto_pipeline;review_png_green</t>
        </is>
      </c>
      <c r="R392" t="inlineStr">
        <is>
          <t>样品52</t>
        </is>
      </c>
    </row>
    <row r="393">
      <c r="A393" t="n">
        <v>392</v>
      </c>
      <c r="B393" t="inlineStr">
        <is>
          <t>52 (4).tif</t>
        </is>
      </c>
      <c r="C393" t="inlineStr">
        <is>
          <t>52(4)-V01</t>
        </is>
      </c>
      <c r="D393" t="n">
        <v>1</v>
      </c>
      <c r="E393" t="inlineStr">
        <is>
          <t>primary</t>
        </is>
      </c>
      <c r="F393" t="n">
        <v>646.3137996219282</v>
      </c>
      <c r="G393">
        <f>2*SQRT(F393/PI())</f>
        <v/>
      </c>
      <c r="H393" t="n">
        <v>95.17149671264316</v>
      </c>
      <c r="I393" t="n">
        <v>468</v>
      </c>
      <c r="J393" t="n">
        <v>134</v>
      </c>
      <c r="K393" t="n">
        <v>633.3875236294896</v>
      </c>
      <c r="L393" t="n">
        <v>659.2400756143668</v>
      </c>
      <c r="M393">
        <f>2*SQRT(K393/PI())</f>
        <v/>
      </c>
      <c r="N393">
        <f>2*SQRT(L393/PI())</f>
        <v/>
      </c>
      <c r="P393" t="inlineStr">
        <is>
          <t>是</t>
        </is>
      </c>
      <c r="Q393" t="inlineStr">
        <is>
          <t>auto_pipeline;review_png_green</t>
        </is>
      </c>
      <c r="R393" t="inlineStr">
        <is>
          <t>样品52</t>
        </is>
      </c>
    </row>
    <row r="394">
      <c r="A394" t="n">
        <v>393</v>
      </c>
      <c r="B394" t="inlineStr">
        <is>
          <t>52 (4).tif</t>
        </is>
      </c>
      <c r="C394" t="inlineStr">
        <is>
          <t>52(4)-V02</t>
        </is>
      </c>
      <c r="D394" t="n">
        <v>2</v>
      </c>
      <c r="E394" t="inlineStr">
        <is>
          <t>primary</t>
        </is>
      </c>
      <c r="F394" t="n">
        <v>579.2533081285444</v>
      </c>
      <c r="G394">
        <f>2*SQRT(F394/PI())</f>
        <v/>
      </c>
      <c r="H394" t="n">
        <v>90.10329925495645</v>
      </c>
      <c r="I394" t="n">
        <v>538</v>
      </c>
      <c r="J394" t="n">
        <v>324</v>
      </c>
      <c r="K394" t="n">
        <v>567.6682419659735</v>
      </c>
      <c r="L394" t="n">
        <v>590.8383742911153</v>
      </c>
      <c r="M394">
        <f>2*SQRT(K394/PI())</f>
        <v/>
      </c>
      <c r="N394">
        <f>2*SQRT(L394/PI())</f>
        <v/>
      </c>
      <c r="O394" t="inlineStr">
        <is>
          <t>52(4)-P01</t>
        </is>
      </c>
      <c r="P394" t="inlineStr">
        <is>
          <t>是</t>
        </is>
      </c>
      <c r="Q394" t="inlineStr">
        <is>
          <t>auto_pipeline;review_png_green</t>
        </is>
      </c>
      <c r="R394" t="inlineStr">
        <is>
          <t>样品52</t>
        </is>
      </c>
    </row>
    <row r="395">
      <c r="A395" t="n">
        <v>394</v>
      </c>
      <c r="B395" t="inlineStr">
        <is>
          <t>52 (4).tif</t>
        </is>
      </c>
      <c r="C395" t="inlineStr">
        <is>
          <t>52(4)-V03</t>
        </is>
      </c>
      <c r="D395" t="n">
        <v>3</v>
      </c>
      <c r="E395" t="inlineStr">
        <is>
          <t>primary</t>
        </is>
      </c>
      <c r="F395" t="n">
        <v>537.3818525519849</v>
      </c>
      <c r="G395">
        <f>2*SQRT(F395/PI())</f>
        <v/>
      </c>
      <c r="H395" t="n">
        <v>87.38910768343054</v>
      </c>
      <c r="I395" t="n">
        <v>552</v>
      </c>
      <c r="J395" t="n">
        <v>470</v>
      </c>
      <c r="K395" t="n">
        <v>526.6342155009452</v>
      </c>
      <c r="L395" t="n">
        <v>548.1294896030247</v>
      </c>
      <c r="M395">
        <f>2*SQRT(K395/PI())</f>
        <v/>
      </c>
      <c r="N395">
        <f>2*SQRT(L395/PI())</f>
        <v/>
      </c>
      <c r="O395" t="inlineStr">
        <is>
          <t>52(4)-P01</t>
        </is>
      </c>
      <c r="P395" t="inlineStr">
        <is>
          <t>是</t>
        </is>
      </c>
      <c r="Q395" t="inlineStr">
        <is>
          <t>auto_pipeline;review_png_green</t>
        </is>
      </c>
      <c r="R395" t="inlineStr">
        <is>
          <t>样品52</t>
        </is>
      </c>
    </row>
    <row r="396">
      <c r="A396" t="n">
        <v>395</v>
      </c>
      <c r="B396" t="inlineStr">
        <is>
          <t>52 (4).tif</t>
        </is>
      </c>
      <c r="C396" t="inlineStr">
        <is>
          <t>52(4)-V04</t>
        </is>
      </c>
      <c r="D396" t="n">
        <v>4</v>
      </c>
      <c r="E396" t="inlineStr">
        <is>
          <t>primary</t>
        </is>
      </c>
      <c r="F396" t="n">
        <v>186.3894139886579</v>
      </c>
      <c r="G396">
        <f>2*SQRT(F396/PI())</f>
        <v/>
      </c>
      <c r="H396" t="n">
        <v>51.29685002824534</v>
      </c>
      <c r="I396" t="n">
        <v>117</v>
      </c>
      <c r="J396" t="n">
        <v>163</v>
      </c>
      <c r="K396" t="n">
        <v>182.6616257088847</v>
      </c>
      <c r="L396" t="n">
        <v>190.117202268431</v>
      </c>
      <c r="M396">
        <f>2*SQRT(K396/PI())</f>
        <v/>
      </c>
      <c r="N396">
        <f>2*SQRT(L396/PI())</f>
        <v/>
      </c>
      <c r="P396" t="inlineStr">
        <is>
          <t>是</t>
        </is>
      </c>
      <c r="Q396" t="inlineStr">
        <is>
          <t>auto_pipeline;review_png_green</t>
        </is>
      </c>
      <c r="R396" t="inlineStr">
        <is>
          <t>样品52</t>
        </is>
      </c>
    </row>
    <row r="397">
      <c r="A397" t="n">
        <v>396</v>
      </c>
      <c r="B397" t="inlineStr">
        <is>
          <t>52 (4).tif</t>
        </is>
      </c>
      <c r="C397" t="inlineStr">
        <is>
          <t>52(4)-V05</t>
        </is>
      </c>
      <c r="D397" t="n">
        <v>5</v>
      </c>
      <c r="E397" t="inlineStr">
        <is>
          <t>primary</t>
        </is>
      </c>
      <c r="F397" t="n">
        <v>124.9291115311909</v>
      </c>
      <c r="G397">
        <f>2*SQRT(F397/PI())</f>
        <v/>
      </c>
      <c r="H397" t="n">
        <v>47.69124427567358</v>
      </c>
      <c r="I397" t="n">
        <v>620</v>
      </c>
      <c r="J397" t="n">
        <v>278</v>
      </c>
      <c r="K397" t="n">
        <v>122.4305293005671</v>
      </c>
      <c r="L397" t="n">
        <v>127.4276937618148</v>
      </c>
      <c r="M397">
        <f>2*SQRT(K397/PI())</f>
        <v/>
      </c>
      <c r="N397">
        <f>2*SQRT(L397/PI())</f>
        <v/>
      </c>
      <c r="P397" t="inlineStr">
        <is>
          <t>是</t>
        </is>
      </c>
      <c r="Q397" t="inlineStr">
        <is>
          <t>auto_pipeline;review_png_green</t>
        </is>
      </c>
      <c r="R397" t="inlineStr">
        <is>
          <t>样品52</t>
        </is>
      </c>
    </row>
    <row r="398">
      <c r="A398" t="n">
        <v>397</v>
      </c>
      <c r="B398" t="inlineStr">
        <is>
          <t>52 (5).tif</t>
        </is>
      </c>
      <c r="C398" t="inlineStr">
        <is>
          <t>52(5)-V01</t>
        </is>
      </c>
      <c r="D398" t="n">
        <v>1</v>
      </c>
      <c r="E398" t="inlineStr">
        <is>
          <t>primary</t>
        </is>
      </c>
      <c r="F398" t="n">
        <v>597.0935727788279</v>
      </c>
      <c r="G398">
        <f>2*SQRT(F398/PI())</f>
        <v/>
      </c>
      <c r="H398" t="n">
        <v>91.4603950407194</v>
      </c>
      <c r="I398" t="n">
        <v>568</v>
      </c>
      <c r="J398" t="n">
        <v>411</v>
      </c>
      <c r="K398" t="n">
        <v>585.1517013232514</v>
      </c>
      <c r="L398" t="n">
        <v>609.0354442344045</v>
      </c>
      <c r="M398">
        <f>2*SQRT(K398/PI())</f>
        <v/>
      </c>
      <c r="N398">
        <f>2*SQRT(L398/PI())</f>
        <v/>
      </c>
      <c r="P398" t="inlineStr">
        <is>
          <t>是</t>
        </is>
      </c>
      <c r="Q398" t="inlineStr">
        <is>
          <t>auto_pipeline;review_png_green</t>
        </is>
      </c>
      <c r="R398" t="inlineStr">
        <is>
          <t>样品52</t>
        </is>
      </c>
    </row>
    <row r="399">
      <c r="A399" t="n">
        <v>398</v>
      </c>
      <c r="B399" t="inlineStr">
        <is>
          <t>52 (5).tif</t>
        </is>
      </c>
      <c r="C399" t="inlineStr">
        <is>
          <t>52(5)-V02</t>
        </is>
      </c>
      <c r="D399" t="n">
        <v>2</v>
      </c>
      <c r="E399" t="inlineStr">
        <is>
          <t>primary</t>
        </is>
      </c>
      <c r="F399" t="n">
        <v>542.7693761814745</v>
      </c>
      <c r="G399">
        <f>2*SQRT(F399/PI())</f>
        <v/>
      </c>
      <c r="H399" t="n">
        <v>87.38910768343054</v>
      </c>
      <c r="I399" t="n">
        <v>432</v>
      </c>
      <c r="J399" t="n">
        <v>322</v>
      </c>
      <c r="K399" t="n">
        <v>531.913988657845</v>
      </c>
      <c r="L399" t="n">
        <v>553.624763705104</v>
      </c>
      <c r="M399">
        <f>2*SQRT(K399/PI())</f>
        <v/>
      </c>
      <c r="N399">
        <f>2*SQRT(L399/PI())</f>
        <v/>
      </c>
      <c r="P399" t="inlineStr">
        <is>
          <t>是</t>
        </is>
      </c>
      <c r="Q399" t="inlineStr">
        <is>
          <t>auto_pipeline;review_png_green</t>
        </is>
      </c>
      <c r="R399" t="inlineStr">
        <is>
          <t>样品52</t>
        </is>
      </c>
    </row>
    <row r="400">
      <c r="A400" t="n">
        <v>399</v>
      </c>
      <c r="B400" t="inlineStr">
        <is>
          <t>52 (5).tif</t>
        </is>
      </c>
      <c r="C400" t="inlineStr">
        <is>
          <t>52(5)-V03</t>
        </is>
      </c>
      <c r="D400" t="n">
        <v>3</v>
      </c>
      <c r="E400" t="inlineStr">
        <is>
          <t>primary</t>
        </is>
      </c>
      <c r="F400" t="n">
        <v>189.7920604914934</v>
      </c>
      <c r="G400">
        <f>2*SQRT(F400/PI())</f>
        <v/>
      </c>
      <c r="H400" t="n">
        <v>51.91172547962354</v>
      </c>
      <c r="I400" t="n">
        <v>977</v>
      </c>
      <c r="J400" t="n">
        <v>465</v>
      </c>
      <c r="K400" t="n">
        <v>185.9962192816635</v>
      </c>
      <c r="L400" t="n">
        <v>193.5879017013232</v>
      </c>
      <c r="M400">
        <f>2*SQRT(K400/PI())</f>
        <v/>
      </c>
      <c r="N400">
        <f>2*SQRT(L400/PI())</f>
        <v/>
      </c>
      <c r="P400" t="inlineStr">
        <is>
          <t>是</t>
        </is>
      </c>
      <c r="Q400" t="inlineStr">
        <is>
          <t>auto_pipeline;review_png_green</t>
        </is>
      </c>
      <c r="R400" t="inlineStr">
        <is>
          <t>样品52</t>
        </is>
      </c>
    </row>
    <row r="401">
      <c r="A401" t="n">
        <v>400</v>
      </c>
      <c r="B401" t="inlineStr">
        <is>
          <t>52 (5).tif</t>
        </is>
      </c>
      <c r="C401" t="inlineStr">
        <is>
          <t>52(5)-V04</t>
        </is>
      </c>
      <c r="D401" t="n">
        <v>4</v>
      </c>
      <c r="E401" t="inlineStr">
        <is>
          <t>primary</t>
        </is>
      </c>
      <c r="F401" t="n">
        <v>124.9054820415879</v>
      </c>
      <c r="G401">
        <f>2*SQRT(F401/PI())</f>
        <v/>
      </c>
      <c r="H401" t="n">
        <v>43.15427531366763</v>
      </c>
      <c r="I401" t="n">
        <v>672</v>
      </c>
      <c r="J401" t="n">
        <v>455</v>
      </c>
      <c r="K401" t="n">
        <v>122.4073724007561</v>
      </c>
      <c r="L401" t="n">
        <v>127.4035916824197</v>
      </c>
      <c r="M401">
        <f>2*SQRT(K401/PI())</f>
        <v/>
      </c>
      <c r="N401">
        <f>2*SQRT(L401/PI())</f>
        <v/>
      </c>
      <c r="P401" t="inlineStr">
        <is>
          <t>是</t>
        </is>
      </c>
      <c r="Q401" t="inlineStr">
        <is>
          <t>auto_pipeline;review_png_green</t>
        </is>
      </c>
      <c r="R401" t="inlineStr">
        <is>
          <t>样品52</t>
        </is>
      </c>
    </row>
    <row r="402">
      <c r="A402" t="n">
        <v>401</v>
      </c>
      <c r="B402" t="inlineStr">
        <is>
          <t>52 (6).tif</t>
        </is>
      </c>
      <c r="C402" t="inlineStr">
        <is>
          <t>52(6)-V01</t>
        </is>
      </c>
      <c r="D402" t="n">
        <v>1</v>
      </c>
      <c r="E402" t="inlineStr">
        <is>
          <t>primary</t>
        </is>
      </c>
      <c r="F402" t="n">
        <v>645.8884688090737</v>
      </c>
      <c r="G402">
        <f>2*SQRT(F402/PI())</f>
        <v/>
      </c>
      <c r="H402" t="n">
        <v>96.29575169604757</v>
      </c>
      <c r="I402" t="n">
        <v>461</v>
      </c>
      <c r="J402" t="n">
        <v>321</v>
      </c>
      <c r="K402" t="n">
        <v>632.9706994328923</v>
      </c>
      <c r="L402" t="n">
        <v>658.8062381852552</v>
      </c>
      <c r="M402">
        <f>2*SQRT(K402/PI())</f>
        <v/>
      </c>
      <c r="N402">
        <f>2*SQRT(L402/PI())</f>
        <v/>
      </c>
      <c r="O402" t="inlineStr">
        <is>
          <t>52(6)-P01</t>
        </is>
      </c>
      <c r="P402" t="inlineStr">
        <is>
          <t>是</t>
        </is>
      </c>
      <c r="Q402" t="inlineStr">
        <is>
          <t>auto_pipeline;review_png_green</t>
        </is>
      </c>
      <c r="R402" t="inlineStr">
        <is>
          <t>样品52</t>
        </is>
      </c>
    </row>
    <row r="403">
      <c r="A403" t="n">
        <v>402</v>
      </c>
      <c r="B403" t="inlineStr">
        <is>
          <t>52 (6).tif</t>
        </is>
      </c>
      <c r="C403" t="inlineStr">
        <is>
          <t>52(6)-V02</t>
        </is>
      </c>
      <c r="D403" t="n">
        <v>2</v>
      </c>
      <c r="E403" t="inlineStr">
        <is>
          <t>primary</t>
        </is>
      </c>
      <c r="F403" t="n">
        <v>488.8468809073724</v>
      </c>
      <c r="G403">
        <f>2*SQRT(F403/PI())</f>
        <v/>
      </c>
      <c r="H403" t="n">
        <v>82.93578567712203</v>
      </c>
      <c r="I403" t="n">
        <v>566</v>
      </c>
      <c r="J403" t="n">
        <v>394</v>
      </c>
      <c r="K403" t="n">
        <v>479.069943289225</v>
      </c>
      <c r="L403" t="n">
        <v>498.6238185255198</v>
      </c>
      <c r="M403">
        <f>2*SQRT(K403/PI())</f>
        <v/>
      </c>
      <c r="N403">
        <f>2*SQRT(L403/PI())</f>
        <v/>
      </c>
      <c r="O403" t="inlineStr">
        <is>
          <t>52(6)-P01</t>
        </is>
      </c>
      <c r="P403" t="inlineStr">
        <is>
          <t>是</t>
        </is>
      </c>
      <c r="Q403" t="inlineStr">
        <is>
          <t>auto_pipeline;review_png_green</t>
        </is>
      </c>
      <c r="R403" t="inlineStr">
        <is>
          <t>样品52</t>
        </is>
      </c>
    </row>
    <row r="404">
      <c r="A404" t="n">
        <v>403</v>
      </c>
      <c r="B404" t="inlineStr">
        <is>
          <t>52 (6).tif</t>
        </is>
      </c>
      <c r="C404" t="inlineStr">
        <is>
          <t>52(6)-V03</t>
        </is>
      </c>
      <c r="D404" t="n">
        <v>3</v>
      </c>
      <c r="E404" t="inlineStr">
        <is>
          <t>primary</t>
        </is>
      </c>
      <c r="F404" t="n">
        <v>484.8062381852552</v>
      </c>
      <c r="G404">
        <f>2*SQRT(F404/PI())</f>
        <v/>
      </c>
      <c r="H404" t="n">
        <v>87.6656464130982</v>
      </c>
      <c r="I404" t="n">
        <v>908</v>
      </c>
      <c r="J404" t="n">
        <v>586</v>
      </c>
      <c r="K404" t="n">
        <v>475.1101134215501</v>
      </c>
      <c r="L404" t="n">
        <v>494.5023629489603</v>
      </c>
      <c r="M404">
        <f>2*SQRT(K404/PI())</f>
        <v/>
      </c>
      <c r="N404">
        <f>2*SQRT(L404/PI())</f>
        <v/>
      </c>
      <c r="P404" t="inlineStr">
        <is>
          <t>是</t>
        </is>
      </c>
      <c r="Q404" t="inlineStr">
        <is>
          <t>auto_pipeline;review_png_green</t>
        </is>
      </c>
      <c r="R404" t="inlineStr">
        <is>
          <t>样品52</t>
        </is>
      </c>
    </row>
    <row r="405">
      <c r="A405" t="n">
        <v>404</v>
      </c>
      <c r="B405" t="inlineStr">
        <is>
          <t>52 (6).tif</t>
        </is>
      </c>
      <c r="C405" t="inlineStr">
        <is>
          <t>52(6)-V04</t>
        </is>
      </c>
      <c r="D405" t="n">
        <v>4</v>
      </c>
      <c r="E405" t="inlineStr">
        <is>
          <t>primary</t>
        </is>
      </c>
      <c r="F405" t="n">
        <v>415.5718336483932</v>
      </c>
      <c r="G405">
        <f>2*SQRT(F405/PI())</f>
        <v/>
      </c>
      <c r="H405" t="n">
        <v>77.38005765106367</v>
      </c>
      <c r="I405" t="n">
        <v>81</v>
      </c>
      <c r="J405" t="n">
        <v>501</v>
      </c>
      <c r="K405" t="n">
        <v>407.2603969754253</v>
      </c>
      <c r="L405" t="n">
        <v>423.8832703213611</v>
      </c>
      <c r="M405">
        <f>2*SQRT(K405/PI())</f>
        <v/>
      </c>
      <c r="N405">
        <f>2*SQRT(L405/PI())</f>
        <v/>
      </c>
      <c r="P405" t="inlineStr">
        <is>
          <t>是</t>
        </is>
      </c>
      <c r="Q405" t="inlineStr">
        <is>
          <t>auto_pipeline;review_png_green</t>
        </is>
      </c>
      <c r="R405" t="inlineStr">
        <is>
          <t>样品52</t>
        </is>
      </c>
    </row>
    <row r="406">
      <c r="A406" t="n">
        <v>405</v>
      </c>
      <c r="B406" t="inlineStr">
        <is>
          <t>52 (7).tif</t>
        </is>
      </c>
      <c r="C406" t="inlineStr">
        <is>
          <t>52(7)-V01</t>
        </is>
      </c>
      <c r="D406" t="n">
        <v>1</v>
      </c>
      <c r="E406" t="inlineStr">
        <is>
          <t>primary</t>
        </is>
      </c>
      <c r="F406" t="n">
        <v>674.3856332703214</v>
      </c>
      <c r="G406">
        <f>2*SQRT(F406/PI())</f>
        <v/>
      </c>
      <c r="H406" t="n">
        <v>97.52550259880397</v>
      </c>
      <c r="I406" t="n">
        <v>569</v>
      </c>
      <c r="J406" t="n">
        <v>319</v>
      </c>
      <c r="K406" t="n">
        <v>660.8979206049149</v>
      </c>
      <c r="L406" t="n">
        <v>687.8733459357278</v>
      </c>
      <c r="M406">
        <f>2*SQRT(K406/PI())</f>
        <v/>
      </c>
      <c r="N406">
        <f>2*SQRT(L406/PI())</f>
        <v/>
      </c>
      <c r="P406" t="inlineStr">
        <is>
          <t>是</t>
        </is>
      </c>
      <c r="Q406" t="inlineStr">
        <is>
          <t>auto_pipeline;review_png_green</t>
        </is>
      </c>
      <c r="R406" t="inlineStr">
        <is>
          <t>样品52</t>
        </is>
      </c>
    </row>
    <row r="407">
      <c r="A407" t="n">
        <v>406</v>
      </c>
      <c r="B407" t="inlineStr">
        <is>
          <t>52 (7).tif</t>
        </is>
      </c>
      <c r="C407" t="inlineStr">
        <is>
          <t>52(7)-V02</t>
        </is>
      </c>
      <c r="D407" t="n">
        <v>2</v>
      </c>
      <c r="E407" t="inlineStr">
        <is>
          <t>primary</t>
        </is>
      </c>
      <c r="F407" t="n">
        <v>507.4196597353497</v>
      </c>
      <c r="G407">
        <f>2*SQRT(F407/PI())</f>
        <v/>
      </c>
      <c r="H407" t="n">
        <v>84.42022634589154</v>
      </c>
      <c r="I407" t="n">
        <v>414</v>
      </c>
      <c r="J407" t="n">
        <v>304</v>
      </c>
      <c r="K407" t="n">
        <v>497.2712665406427</v>
      </c>
      <c r="L407" t="n">
        <v>517.5680529300568</v>
      </c>
      <c r="M407">
        <f>2*SQRT(K407/PI())</f>
        <v/>
      </c>
      <c r="N407">
        <f>2*SQRT(L407/PI())</f>
        <v/>
      </c>
      <c r="P407" t="inlineStr">
        <is>
          <t>是</t>
        </is>
      </c>
      <c r="Q407" t="inlineStr">
        <is>
          <t>auto_pipeline;review_png_green</t>
        </is>
      </c>
      <c r="R407" t="inlineStr">
        <is>
          <t>样品52</t>
        </is>
      </c>
    </row>
    <row r="408">
      <c r="A408" t="n">
        <v>407</v>
      </c>
      <c r="B408" t="inlineStr">
        <is>
          <t>52 (7).tif</t>
        </is>
      </c>
      <c r="C408" t="inlineStr">
        <is>
          <t>52(7)-V03</t>
        </is>
      </c>
      <c r="D408" t="n">
        <v>3</v>
      </c>
      <c r="E408" t="inlineStr">
        <is>
          <t>primary</t>
        </is>
      </c>
      <c r="F408" t="n">
        <v>427.2448015122873</v>
      </c>
      <c r="G408">
        <f>2*SQRT(F408/PI())</f>
        <v/>
      </c>
      <c r="H408" t="n">
        <v>78.35511878780696</v>
      </c>
      <c r="I408" t="n">
        <v>780</v>
      </c>
      <c r="J408" t="n">
        <v>565</v>
      </c>
      <c r="K408" t="n">
        <v>418.6999054820416</v>
      </c>
      <c r="L408" t="n">
        <v>435.7896975425331</v>
      </c>
      <c r="M408">
        <f>2*SQRT(K408/PI())</f>
        <v/>
      </c>
      <c r="N408">
        <f>2*SQRT(L408/PI())</f>
        <v/>
      </c>
      <c r="P408" t="inlineStr">
        <is>
          <t>是</t>
        </is>
      </c>
      <c r="Q408" t="inlineStr">
        <is>
          <t>auto_pipeline;review_png_green</t>
        </is>
      </c>
      <c r="R408" t="inlineStr">
        <is>
          <t>样品52</t>
        </is>
      </c>
    </row>
    <row r="409">
      <c r="A409" t="n">
        <v>408</v>
      </c>
      <c r="B409" t="inlineStr">
        <is>
          <t>52 (7).tif</t>
        </is>
      </c>
      <c r="C409" t="inlineStr">
        <is>
          <t>52(7)-V04</t>
        </is>
      </c>
      <c r="D409" t="n">
        <v>4</v>
      </c>
      <c r="E409" t="inlineStr">
        <is>
          <t>primary</t>
        </is>
      </c>
      <c r="F409" t="n">
        <v>124.6928166351607</v>
      </c>
      <c r="G409">
        <f>2*SQRT(F409/PI())</f>
        <v/>
      </c>
      <c r="H409" t="n">
        <v>45.38093631682189</v>
      </c>
      <c r="I409" t="n">
        <v>444</v>
      </c>
      <c r="J409" t="n">
        <v>390</v>
      </c>
      <c r="K409" t="n">
        <v>122.1989603024575</v>
      </c>
      <c r="L409" t="n">
        <v>127.1866729678639</v>
      </c>
      <c r="M409">
        <f>2*SQRT(K409/PI())</f>
        <v/>
      </c>
      <c r="N409">
        <f>2*SQRT(L409/PI())</f>
        <v/>
      </c>
      <c r="P409" t="inlineStr">
        <is>
          <t>是</t>
        </is>
      </c>
      <c r="Q409" t="inlineStr">
        <is>
          <t>auto_pipeline;review_png_green</t>
        </is>
      </c>
      <c r="R409" t="inlineStr">
        <is>
          <t>样品52</t>
        </is>
      </c>
    </row>
    <row r="410">
      <c r="A410" t="n">
        <v>409</v>
      </c>
      <c r="B410" t="inlineStr">
        <is>
          <t>52 (8).tif</t>
        </is>
      </c>
      <c r="C410" t="inlineStr">
        <is>
          <t>52(8)-V01</t>
        </is>
      </c>
      <c r="D410" t="n">
        <v>1</v>
      </c>
      <c r="E410" t="inlineStr">
        <is>
          <t>primary</t>
        </is>
      </c>
      <c r="F410" t="n">
        <v>590.5482041587902</v>
      </c>
      <c r="G410">
        <f>2*SQRT(F410/PI())</f>
        <v/>
      </c>
      <c r="H410" t="n">
        <v>91.84242968973906</v>
      </c>
      <c r="I410" t="n">
        <v>452</v>
      </c>
      <c r="J410" t="n">
        <v>391</v>
      </c>
      <c r="K410" t="n">
        <v>578.7372400756144</v>
      </c>
      <c r="L410" t="n">
        <v>602.359168241966</v>
      </c>
      <c r="M410">
        <f>2*SQRT(K410/PI())</f>
        <v/>
      </c>
      <c r="N410">
        <f>2*SQRT(L410/PI())</f>
        <v/>
      </c>
      <c r="O410" t="inlineStr">
        <is>
          <t>52(8)-P01</t>
        </is>
      </c>
      <c r="P410" t="inlineStr">
        <is>
          <t>是</t>
        </is>
      </c>
      <c r="Q410" t="inlineStr">
        <is>
          <t>auto_pipeline;review_png_green</t>
        </is>
      </c>
      <c r="R410" t="inlineStr">
        <is>
          <t>样品52</t>
        </is>
      </c>
    </row>
    <row r="411">
      <c r="A411" t="n">
        <v>410</v>
      </c>
      <c r="B411" t="inlineStr">
        <is>
          <t>52 (8).tif</t>
        </is>
      </c>
      <c r="C411" t="inlineStr">
        <is>
          <t>52(8)-V02</t>
        </is>
      </c>
      <c r="D411" t="n">
        <v>2</v>
      </c>
      <c r="E411" t="inlineStr">
        <is>
          <t>primary</t>
        </is>
      </c>
      <c r="F411" t="n">
        <v>581.8525519848771</v>
      </c>
      <c r="G411">
        <f>2*SQRT(F411/PI())</f>
        <v/>
      </c>
      <c r="H411" t="n">
        <v>90.97286447234775</v>
      </c>
      <c r="I411" t="n">
        <v>574</v>
      </c>
      <c r="J411" t="n">
        <v>405</v>
      </c>
      <c r="K411" t="n">
        <v>570.2155009451795</v>
      </c>
      <c r="L411" t="n">
        <v>593.4896030245746</v>
      </c>
      <c r="M411">
        <f>2*SQRT(K411/PI())</f>
        <v/>
      </c>
      <c r="N411">
        <f>2*SQRT(L411/PI())</f>
        <v/>
      </c>
      <c r="O411" t="inlineStr">
        <is>
          <t>52(8)-P01</t>
        </is>
      </c>
      <c r="P411" t="inlineStr">
        <is>
          <t>是</t>
        </is>
      </c>
      <c r="Q411" t="inlineStr">
        <is>
          <t>auto_pipeline;review_png_green</t>
        </is>
      </c>
      <c r="R411" t="inlineStr">
        <is>
          <t>样品52</t>
        </is>
      </c>
    </row>
    <row r="412">
      <c r="A412" t="n">
        <v>411</v>
      </c>
      <c r="B412" t="inlineStr">
        <is>
          <t>52 (8).tif</t>
        </is>
      </c>
      <c r="C412" t="inlineStr">
        <is>
          <t>52(8)-V03</t>
        </is>
      </c>
      <c r="D412" t="n">
        <v>3</v>
      </c>
      <c r="E412" t="inlineStr">
        <is>
          <t>primary</t>
        </is>
      </c>
      <c r="F412" t="n">
        <v>452.6937618147448</v>
      </c>
      <c r="G412">
        <f>2*SQRT(F412/PI())</f>
        <v/>
      </c>
      <c r="H412" t="n">
        <v>80.58177979096122</v>
      </c>
      <c r="I412" t="n">
        <v>956</v>
      </c>
      <c r="J412" t="n">
        <v>208</v>
      </c>
      <c r="K412" t="n">
        <v>443.6398865784499</v>
      </c>
      <c r="L412" t="n">
        <v>461.7476370510397</v>
      </c>
      <c r="M412">
        <f>2*SQRT(K412/PI())</f>
        <v/>
      </c>
      <c r="N412">
        <f>2*SQRT(L412/PI())</f>
        <v/>
      </c>
      <c r="P412" t="inlineStr">
        <is>
          <t>是</t>
        </is>
      </c>
      <c r="Q412" t="inlineStr">
        <is>
          <t>auto_pipeline;review_png_green</t>
        </is>
      </c>
      <c r="R412" t="inlineStr">
        <is>
          <t>样品52</t>
        </is>
      </c>
    </row>
    <row r="413">
      <c r="A413" t="n">
        <v>412</v>
      </c>
      <c r="B413" t="inlineStr">
        <is>
          <t>53 (1).tif</t>
        </is>
      </c>
      <c r="C413" t="inlineStr">
        <is>
          <t>53(1)-V01</t>
        </is>
      </c>
      <c r="D413" t="n">
        <v>1</v>
      </c>
      <c r="E413" t="inlineStr">
        <is>
          <t>primary</t>
        </is>
      </c>
      <c r="F413" t="n">
        <v>639.1540642722117</v>
      </c>
      <c r="G413">
        <f>2*SQRT(F413/PI())</f>
        <v/>
      </c>
      <c r="H413" t="n">
        <v>95.29884159564972</v>
      </c>
      <c r="I413" t="n">
        <v>533</v>
      </c>
      <c r="J413" t="n">
        <v>423</v>
      </c>
      <c r="K413" t="n">
        <v>626.3709829867674</v>
      </c>
      <c r="L413" t="n">
        <v>651.937145557656</v>
      </c>
      <c r="M413">
        <f>2*SQRT(K413/PI())</f>
        <v/>
      </c>
      <c r="N413">
        <f>2*SQRT(L413/PI())</f>
        <v/>
      </c>
      <c r="O413" t="inlineStr">
        <is>
          <t>53(1)-P01</t>
        </is>
      </c>
      <c r="P413" t="inlineStr">
        <is>
          <t>是</t>
        </is>
      </c>
      <c r="Q413" t="inlineStr">
        <is>
          <t>auto_pipeline;review_png_green</t>
        </is>
      </c>
      <c r="R413" t="inlineStr">
        <is>
          <t>样品53</t>
        </is>
      </c>
    </row>
    <row r="414">
      <c r="A414" t="n">
        <v>413</v>
      </c>
      <c r="B414" t="inlineStr">
        <is>
          <t>53 (1).tif</t>
        </is>
      </c>
      <c r="C414" t="inlineStr">
        <is>
          <t>53(1)-V02</t>
        </is>
      </c>
      <c r="D414" t="n">
        <v>2</v>
      </c>
      <c r="E414" t="inlineStr">
        <is>
          <t>primary</t>
        </is>
      </c>
      <c r="F414" t="n">
        <v>551.9612476370511</v>
      </c>
      <c r="G414">
        <f>2*SQRT(F414/PI())</f>
        <v/>
      </c>
      <c r="H414" t="n">
        <v>87.87663825180219</v>
      </c>
      <c r="I414" t="n">
        <v>443</v>
      </c>
      <c r="J414" t="n">
        <v>288</v>
      </c>
      <c r="K414" t="n">
        <v>540.92202268431</v>
      </c>
      <c r="L414" t="n">
        <v>563.0004725897921</v>
      </c>
      <c r="M414">
        <f>2*SQRT(K414/PI())</f>
        <v/>
      </c>
      <c r="N414">
        <f>2*SQRT(L414/PI())</f>
        <v/>
      </c>
      <c r="O414" t="inlineStr">
        <is>
          <t>53(1)-P01</t>
        </is>
      </c>
      <c r="P414" t="inlineStr">
        <is>
          <t>是</t>
        </is>
      </c>
      <c r="Q414" t="inlineStr">
        <is>
          <t>auto_pipeline;review_png_green</t>
        </is>
      </c>
      <c r="R414" t="inlineStr">
        <is>
          <t>样品53</t>
        </is>
      </c>
    </row>
    <row r="415">
      <c r="A415" t="n">
        <v>414</v>
      </c>
      <c r="B415" t="inlineStr">
        <is>
          <t>53 (1).tif</t>
        </is>
      </c>
      <c r="C415" t="inlineStr">
        <is>
          <t>53(1)-V03</t>
        </is>
      </c>
      <c r="D415" t="n">
        <v>3</v>
      </c>
      <c r="E415" t="inlineStr">
        <is>
          <t>primary</t>
        </is>
      </c>
      <c r="F415" t="n">
        <v>548.7948960302457</v>
      </c>
      <c r="G415">
        <f>2*SQRT(F415/PI())</f>
        <v/>
      </c>
      <c r="H415" t="n">
        <v>87.87663825180219</v>
      </c>
      <c r="I415" t="n">
        <v>101</v>
      </c>
      <c r="J415" t="n">
        <v>563</v>
      </c>
      <c r="K415" t="n">
        <v>537.8189981096408</v>
      </c>
      <c r="L415" t="n">
        <v>559.7707939508506</v>
      </c>
      <c r="M415">
        <f>2*SQRT(K415/PI())</f>
        <v/>
      </c>
      <c r="N415">
        <f>2*SQRT(L415/PI())</f>
        <v/>
      </c>
      <c r="P415" t="inlineStr">
        <is>
          <t>是</t>
        </is>
      </c>
      <c r="Q415" t="inlineStr">
        <is>
          <t>auto_pipeline;review_png_green</t>
        </is>
      </c>
      <c r="R415" t="inlineStr">
        <is>
          <t>样品53</t>
        </is>
      </c>
    </row>
    <row r="416">
      <c r="A416" t="n">
        <v>415</v>
      </c>
      <c r="B416" t="inlineStr">
        <is>
          <t>53 (1).tif</t>
        </is>
      </c>
      <c r="C416" t="inlineStr">
        <is>
          <t>53(1)-V04</t>
        </is>
      </c>
      <c r="D416" t="n">
        <v>4</v>
      </c>
      <c r="E416" t="inlineStr">
        <is>
          <t>primary</t>
        </is>
      </c>
      <c r="F416" t="n">
        <v>241.8714555765596</v>
      </c>
      <c r="G416">
        <f>2*SQRT(F416/PI())</f>
        <v/>
      </c>
      <c r="H416" t="n">
        <v>58.46436360607976</v>
      </c>
      <c r="I416" t="n">
        <v>926</v>
      </c>
      <c r="J416" t="n">
        <v>165</v>
      </c>
      <c r="K416" t="n">
        <v>237.0340264650283</v>
      </c>
      <c r="L416" t="n">
        <v>246.7088846880908</v>
      </c>
      <c r="M416">
        <f>2*SQRT(K416/PI())</f>
        <v/>
      </c>
      <c r="N416">
        <f>2*SQRT(L416/PI())</f>
        <v/>
      </c>
      <c r="P416" t="inlineStr">
        <is>
          <t>是</t>
        </is>
      </c>
      <c r="Q416" t="inlineStr">
        <is>
          <t>auto_pipeline;review_png_green</t>
        </is>
      </c>
      <c r="R416" t="inlineStr">
        <is>
          <t>样品53</t>
        </is>
      </c>
    </row>
    <row r="417">
      <c r="A417" t="n">
        <v>416</v>
      </c>
      <c r="B417" t="inlineStr">
        <is>
          <t>53 (2).tif</t>
        </is>
      </c>
      <c r="C417" t="inlineStr">
        <is>
          <t>53(2)-V01</t>
        </is>
      </c>
      <c r="D417" t="n">
        <v>1</v>
      </c>
      <c r="E417" t="inlineStr">
        <is>
          <t>primary</t>
        </is>
      </c>
      <c r="F417" t="n">
        <v>714.9102079395085</v>
      </c>
      <c r="G417">
        <f>2*SQRT(F417/PI())</f>
        <v/>
      </c>
      <c r="H417" t="n">
        <v>100.3670390533364</v>
      </c>
      <c r="I417" t="n">
        <v>365</v>
      </c>
      <c r="J417" t="n">
        <v>182</v>
      </c>
      <c r="K417" t="n">
        <v>700.6120037807183</v>
      </c>
      <c r="L417" t="n">
        <v>729.2084120982987</v>
      </c>
      <c r="M417">
        <f>2*SQRT(K417/PI())</f>
        <v/>
      </c>
      <c r="N417">
        <f>2*SQRT(L417/PI())</f>
        <v/>
      </c>
      <c r="P417" t="inlineStr">
        <is>
          <t>是</t>
        </is>
      </c>
      <c r="Q417" t="inlineStr">
        <is>
          <t>auto_pipeline;review_png_green</t>
        </is>
      </c>
      <c r="R417" t="inlineStr">
        <is>
          <t>样品53</t>
        </is>
      </c>
    </row>
    <row r="418">
      <c r="A418" t="n">
        <v>417</v>
      </c>
      <c r="B418" t="inlineStr">
        <is>
          <t>53 (2).tif</t>
        </is>
      </c>
      <c r="C418" t="inlineStr">
        <is>
          <t>53(2)-V02</t>
        </is>
      </c>
      <c r="D418" t="n">
        <v>2</v>
      </c>
      <c r="E418" t="inlineStr">
        <is>
          <t>primary</t>
        </is>
      </c>
      <c r="F418" t="n">
        <v>578.9697542533081</v>
      </c>
      <c r="G418">
        <f>2*SQRT(F418/PI())</f>
        <v/>
      </c>
      <c r="H418" t="n">
        <v>89.84860948894335</v>
      </c>
      <c r="I418" t="n">
        <v>585</v>
      </c>
      <c r="J418" t="n">
        <v>362</v>
      </c>
      <c r="K418" t="n">
        <v>567.390359168242</v>
      </c>
      <c r="L418" t="n">
        <v>590.5491493383743</v>
      </c>
      <c r="M418">
        <f>2*SQRT(K418/PI())</f>
        <v/>
      </c>
      <c r="N418">
        <f>2*SQRT(L418/PI())</f>
        <v/>
      </c>
      <c r="P418" t="inlineStr">
        <is>
          <t>是</t>
        </is>
      </c>
      <c r="Q418" t="inlineStr">
        <is>
          <t>auto_pipeline;review_png_green</t>
        </is>
      </c>
      <c r="R418" t="inlineStr">
        <is>
          <t>样品53</t>
        </is>
      </c>
    </row>
    <row r="419">
      <c r="A419" t="n">
        <v>418</v>
      </c>
      <c r="B419" t="inlineStr">
        <is>
          <t>53 (2).tif</t>
        </is>
      </c>
      <c r="C419" t="inlineStr">
        <is>
          <t>53(2)-V03</t>
        </is>
      </c>
      <c r="D419" t="n">
        <v>3</v>
      </c>
      <c r="E419" t="inlineStr">
        <is>
          <t>primary</t>
        </is>
      </c>
      <c r="F419" t="n">
        <v>488.7523629489603</v>
      </c>
      <c r="G419">
        <f>2*SQRT(F419/PI())</f>
        <v/>
      </c>
      <c r="H419" t="n">
        <v>83.19047544313513</v>
      </c>
      <c r="I419" t="n">
        <v>803</v>
      </c>
      <c r="J419" t="n">
        <v>398</v>
      </c>
      <c r="K419" t="n">
        <v>478.9773156899811</v>
      </c>
      <c r="L419" t="n">
        <v>498.5274102079395</v>
      </c>
      <c r="M419">
        <f>2*SQRT(K419/PI())</f>
        <v/>
      </c>
      <c r="N419">
        <f>2*SQRT(L419/PI())</f>
        <v/>
      </c>
      <c r="P419" t="inlineStr">
        <is>
          <t>是</t>
        </is>
      </c>
      <c r="Q419" t="inlineStr">
        <is>
          <t>auto_pipeline;review_png_green</t>
        </is>
      </c>
      <c r="R419" t="inlineStr">
        <is>
          <t>样品53</t>
        </is>
      </c>
    </row>
    <row r="420">
      <c r="A420" t="n">
        <v>419</v>
      </c>
      <c r="B420" t="inlineStr">
        <is>
          <t>53 (2).tif</t>
        </is>
      </c>
      <c r="C420" t="inlineStr">
        <is>
          <t>53(2)-V04</t>
        </is>
      </c>
      <c r="D420" t="n">
        <v>4</v>
      </c>
      <c r="E420" t="inlineStr">
        <is>
          <t>primary</t>
        </is>
      </c>
      <c r="F420" t="n">
        <v>401.2051039697542</v>
      </c>
      <c r="G420">
        <f>2*SQRT(F420/PI())</f>
        <v/>
      </c>
      <c r="H420" t="n">
        <v>75.28074153091596</v>
      </c>
      <c r="I420" t="n">
        <v>442</v>
      </c>
      <c r="J420" t="n">
        <v>382</v>
      </c>
      <c r="K420" t="n">
        <v>393.1810018903591</v>
      </c>
      <c r="L420" t="n">
        <v>409.2292060491494</v>
      </c>
      <c r="M420">
        <f>2*SQRT(K420/PI())</f>
        <v/>
      </c>
      <c r="N420">
        <f>2*SQRT(L420/PI())</f>
        <v/>
      </c>
      <c r="P420" t="inlineStr">
        <is>
          <t>是</t>
        </is>
      </c>
      <c r="Q420" t="inlineStr">
        <is>
          <t>auto_pipeline;review_png_green</t>
        </is>
      </c>
      <c r="R420" t="inlineStr">
        <is>
          <t>样品53</t>
        </is>
      </c>
    </row>
    <row r="421">
      <c r="A421" t="n">
        <v>420</v>
      </c>
      <c r="B421" t="inlineStr">
        <is>
          <t>53 (2).tif</t>
        </is>
      </c>
      <c r="C421" t="inlineStr">
        <is>
          <t>53(2)-V05</t>
        </is>
      </c>
      <c r="D421" t="n">
        <v>5</v>
      </c>
      <c r="E421" t="inlineStr">
        <is>
          <t>primary</t>
        </is>
      </c>
      <c r="F421" t="n">
        <v>361.4130434782609</v>
      </c>
      <c r="G421">
        <f>2*SQRT(F421/PI())</f>
        <v/>
      </c>
      <c r="H421" t="n">
        <v>72.67204587874205</v>
      </c>
      <c r="I421" t="n">
        <v>89</v>
      </c>
      <c r="J421" t="n">
        <v>554</v>
      </c>
      <c r="K421" t="n">
        <v>354.1847826086956</v>
      </c>
      <c r="L421" t="n">
        <v>368.6413043478261</v>
      </c>
      <c r="M421">
        <f>2*SQRT(K421/PI())</f>
        <v/>
      </c>
      <c r="N421">
        <f>2*SQRT(L421/PI())</f>
        <v/>
      </c>
      <c r="P421" t="inlineStr">
        <is>
          <t>是</t>
        </is>
      </c>
      <c r="Q421" t="inlineStr">
        <is>
          <t>auto_pipeline;review_png_green</t>
        </is>
      </c>
      <c r="R421" t="inlineStr">
        <is>
          <t>样品53</t>
        </is>
      </c>
    </row>
    <row r="422">
      <c r="A422" t="n">
        <v>421</v>
      </c>
      <c r="B422" t="inlineStr">
        <is>
          <t>53 (2).tif</t>
        </is>
      </c>
      <c r="C422" t="inlineStr">
        <is>
          <t>53(2)-V06</t>
        </is>
      </c>
      <c r="D422" t="n">
        <v>6</v>
      </c>
      <c r="E422" t="inlineStr">
        <is>
          <t>primary</t>
        </is>
      </c>
      <c r="F422" t="n">
        <v>111.9092627599244</v>
      </c>
      <c r="G422">
        <f>2*SQRT(F422/PI())</f>
        <v/>
      </c>
      <c r="H422" t="n">
        <v>41.77533056425012</v>
      </c>
      <c r="I422" t="n">
        <v>892</v>
      </c>
      <c r="J422" t="n">
        <v>239</v>
      </c>
      <c r="K422" t="n">
        <v>109.6710775047259</v>
      </c>
      <c r="L422" t="n">
        <v>114.1474480151229</v>
      </c>
      <c r="M422">
        <f>2*SQRT(K422/PI())</f>
        <v/>
      </c>
      <c r="N422">
        <f>2*SQRT(L422/PI())</f>
        <v/>
      </c>
      <c r="P422" t="inlineStr">
        <is>
          <t>是</t>
        </is>
      </c>
      <c r="Q422" t="inlineStr">
        <is>
          <t>auto_pipeline;review_png_green</t>
        </is>
      </c>
      <c r="R422" t="inlineStr">
        <is>
          <t>样品53</t>
        </is>
      </c>
    </row>
    <row r="423">
      <c r="A423" t="n">
        <v>422</v>
      </c>
      <c r="B423" t="inlineStr">
        <is>
          <t>53 (3).tif</t>
        </is>
      </c>
      <c r="C423" t="inlineStr">
        <is>
          <t>53(3)-V01</t>
        </is>
      </c>
      <c r="D423" t="n">
        <v>1</v>
      </c>
      <c r="E423" t="inlineStr">
        <is>
          <t>primary</t>
        </is>
      </c>
      <c r="F423" t="n">
        <v>767.6984877126654</v>
      </c>
      <c r="G423">
        <f>2*SQRT(F423/PI())</f>
        <v/>
      </c>
      <c r="H423" t="n">
        <v>103.6961060762405</v>
      </c>
      <c r="I423" t="n">
        <v>433</v>
      </c>
      <c r="J423" t="n">
        <v>370</v>
      </c>
      <c r="K423" t="n">
        <v>752.3445179584121</v>
      </c>
      <c r="L423" t="n">
        <v>783.0524574669187</v>
      </c>
      <c r="M423">
        <f>2*SQRT(K423/PI())</f>
        <v/>
      </c>
      <c r="N423">
        <f>2*SQRT(L423/PI())</f>
        <v/>
      </c>
      <c r="O423" t="inlineStr">
        <is>
          <t>53(3)-P01</t>
        </is>
      </c>
      <c r="P423" t="inlineStr">
        <is>
          <t>是</t>
        </is>
      </c>
      <c r="Q423" t="inlineStr">
        <is>
          <t>auto_pipeline;review_png_green</t>
        </is>
      </c>
      <c r="R423" t="inlineStr">
        <is>
          <t>样品53</t>
        </is>
      </c>
    </row>
    <row r="424">
      <c r="A424" t="n">
        <v>423</v>
      </c>
      <c r="B424" t="inlineStr">
        <is>
          <t>53 (3).tif</t>
        </is>
      </c>
      <c r="C424" t="inlineStr">
        <is>
          <t>53(3)-V02</t>
        </is>
      </c>
      <c r="D424" t="n">
        <v>2</v>
      </c>
      <c r="E424" t="inlineStr">
        <is>
          <t>primary</t>
        </is>
      </c>
      <c r="F424" t="n">
        <v>512.8071833648394</v>
      </c>
      <c r="G424">
        <f>2*SQRT(F424/PI())</f>
        <v/>
      </c>
      <c r="H424" t="n">
        <v>85.28979156328283</v>
      </c>
      <c r="I424" t="n">
        <v>572</v>
      </c>
      <c r="J424" t="n">
        <v>392</v>
      </c>
      <c r="K424" t="n">
        <v>502.5510396975426</v>
      </c>
      <c r="L424" t="n">
        <v>523.0633270321362</v>
      </c>
      <c r="M424">
        <f>2*SQRT(K424/PI())</f>
        <v/>
      </c>
      <c r="N424">
        <f>2*SQRT(L424/PI())</f>
        <v/>
      </c>
      <c r="O424" t="inlineStr">
        <is>
          <t>53(3)-P01</t>
        </is>
      </c>
      <c r="P424" t="inlineStr">
        <is>
          <t>是</t>
        </is>
      </c>
      <c r="Q424" t="inlineStr">
        <is>
          <t>auto_pipeline;review_png_green</t>
        </is>
      </c>
      <c r="R424" t="inlineStr">
        <is>
          <t>样品53</t>
        </is>
      </c>
    </row>
    <row r="425">
      <c r="A425" t="n">
        <v>424</v>
      </c>
      <c r="B425" t="inlineStr">
        <is>
          <t>53 (3).tif</t>
        </is>
      </c>
      <c r="C425" t="inlineStr">
        <is>
          <t>53(3)-V03</t>
        </is>
      </c>
      <c r="D425" t="n">
        <v>3</v>
      </c>
      <c r="E425" t="inlineStr">
        <is>
          <t>primary</t>
        </is>
      </c>
      <c r="F425" t="n">
        <v>390.9735349716446</v>
      </c>
      <c r="G425">
        <f>2*SQRT(F425/PI())</f>
        <v/>
      </c>
      <c r="H425" t="n">
        <v>74.28383143051811</v>
      </c>
      <c r="I425" t="n">
        <v>706</v>
      </c>
      <c r="J425" t="n">
        <v>387</v>
      </c>
      <c r="K425" t="n">
        <v>383.1540642722117</v>
      </c>
      <c r="L425" t="n">
        <v>398.7930056710775</v>
      </c>
      <c r="M425">
        <f>2*SQRT(K425/PI())</f>
        <v/>
      </c>
      <c r="N425">
        <f>2*SQRT(L425/PI())</f>
        <v/>
      </c>
      <c r="P425" t="inlineStr">
        <is>
          <t>是</t>
        </is>
      </c>
      <c r="Q425" t="inlineStr">
        <is>
          <t>auto_pipeline;review_png_green</t>
        </is>
      </c>
      <c r="R425" t="inlineStr">
        <is>
          <t>样品53</t>
        </is>
      </c>
    </row>
    <row r="426">
      <c r="A426" t="n">
        <v>425</v>
      </c>
      <c r="B426" t="inlineStr">
        <is>
          <t>53 (3).tif</t>
        </is>
      </c>
      <c r="C426" t="inlineStr">
        <is>
          <t>53(3)-V04</t>
        </is>
      </c>
      <c r="D426" t="n">
        <v>4</v>
      </c>
      <c r="E426" t="inlineStr">
        <is>
          <t>primary</t>
        </is>
      </c>
      <c r="F426" t="n">
        <v>341.4933837429111</v>
      </c>
      <c r="G426">
        <f>2*SQRT(F426/PI())</f>
        <v/>
      </c>
      <c r="H426" t="n">
        <v>73.37056828581768</v>
      </c>
      <c r="I426" t="n">
        <v>61</v>
      </c>
      <c r="J426" t="n">
        <v>372</v>
      </c>
      <c r="K426" t="n">
        <v>334.6635160680529</v>
      </c>
      <c r="L426" t="n">
        <v>348.3232514177694</v>
      </c>
      <c r="M426">
        <f>2*SQRT(K426/PI())</f>
        <v/>
      </c>
      <c r="N426">
        <f>2*SQRT(L426/PI())</f>
        <v/>
      </c>
      <c r="P426" t="inlineStr">
        <is>
          <t>是</t>
        </is>
      </c>
      <c r="Q426" t="inlineStr">
        <is>
          <t>auto_pipeline;review_png_green</t>
        </is>
      </c>
      <c r="R426" t="inlineStr">
        <is>
          <t>样品53</t>
        </is>
      </c>
    </row>
    <row r="427">
      <c r="A427" t="n">
        <v>426</v>
      </c>
      <c r="B427" t="inlineStr">
        <is>
          <t>53 (4).tif</t>
        </is>
      </c>
      <c r="C427" t="inlineStr">
        <is>
          <t>53(4)-V01</t>
        </is>
      </c>
      <c r="D427" t="n">
        <v>1</v>
      </c>
      <c r="E427" t="inlineStr">
        <is>
          <t>primary</t>
        </is>
      </c>
      <c r="F427" t="n">
        <v>878.1190926275992</v>
      </c>
      <c r="G427">
        <f>2*SQRT(F427/PI())</f>
        <v/>
      </c>
      <c r="H427" t="n">
        <v>112.1152195204859</v>
      </c>
      <c r="I427" t="n">
        <v>427</v>
      </c>
      <c r="J427" t="n">
        <v>360</v>
      </c>
      <c r="K427" t="n">
        <v>860.5567107750472</v>
      </c>
      <c r="L427" t="n">
        <v>895.6814744801512</v>
      </c>
      <c r="M427">
        <f>2*SQRT(K427/PI())</f>
        <v/>
      </c>
      <c r="N427">
        <f>2*SQRT(L427/PI())</f>
        <v/>
      </c>
      <c r="P427" t="inlineStr">
        <is>
          <t>是</t>
        </is>
      </c>
      <c r="Q427" t="inlineStr">
        <is>
          <t>auto_pipeline;review_png_green</t>
        </is>
      </c>
      <c r="R427" t="inlineStr">
        <is>
          <t>样品53</t>
        </is>
      </c>
    </row>
    <row r="428">
      <c r="A428" t="n">
        <v>427</v>
      </c>
      <c r="B428" t="inlineStr">
        <is>
          <t>53 (4).tif</t>
        </is>
      </c>
      <c r="C428" t="inlineStr">
        <is>
          <t>53(4)-V02</t>
        </is>
      </c>
      <c r="D428" t="n">
        <v>2</v>
      </c>
      <c r="E428" t="inlineStr">
        <is>
          <t>primary</t>
        </is>
      </c>
      <c r="F428" t="n">
        <v>567.6039697542533</v>
      </c>
      <c r="G428">
        <f>2*SQRT(F428/PI())</f>
        <v/>
      </c>
      <c r="H428" t="n">
        <v>89.9759543719499</v>
      </c>
      <c r="I428" t="n">
        <v>103</v>
      </c>
      <c r="J428" t="n">
        <v>325</v>
      </c>
      <c r="K428" t="n">
        <v>556.2518903591682</v>
      </c>
      <c r="L428" t="n">
        <v>578.9560491493384</v>
      </c>
      <c r="M428">
        <f>2*SQRT(K428/PI())</f>
        <v/>
      </c>
      <c r="N428">
        <f>2*SQRT(L428/PI())</f>
        <v/>
      </c>
      <c r="P428" t="inlineStr">
        <is>
          <t>是</t>
        </is>
      </c>
      <c r="Q428" t="inlineStr">
        <is>
          <t>auto_pipeline;review_png_green</t>
        </is>
      </c>
      <c r="R428" t="inlineStr">
        <is>
          <t>样品53</t>
        </is>
      </c>
    </row>
    <row r="429">
      <c r="A429" t="n">
        <v>428</v>
      </c>
      <c r="B429" t="inlineStr">
        <is>
          <t>53 (4).tif</t>
        </is>
      </c>
      <c r="C429" t="inlineStr">
        <is>
          <t>53(4)-V03</t>
        </is>
      </c>
      <c r="D429" t="n">
        <v>3</v>
      </c>
      <c r="E429" t="inlineStr">
        <is>
          <t>primary</t>
        </is>
      </c>
      <c r="F429" t="n">
        <v>341.0916824196597</v>
      </c>
      <c r="G429">
        <f>2*SQRT(F429/PI())</f>
        <v/>
      </c>
      <c r="H429" t="n">
        <v>69.34297885583794</v>
      </c>
      <c r="I429" t="n">
        <v>824</v>
      </c>
      <c r="J429" t="n">
        <v>568</v>
      </c>
      <c r="K429" t="n">
        <v>334.2698487712665</v>
      </c>
      <c r="L429" t="n">
        <v>347.9135160680529</v>
      </c>
      <c r="M429">
        <f>2*SQRT(K429/PI())</f>
        <v/>
      </c>
      <c r="N429">
        <f>2*SQRT(L429/PI())</f>
        <v/>
      </c>
      <c r="P429" t="inlineStr">
        <is>
          <t>是</t>
        </is>
      </c>
      <c r="Q429" t="inlineStr">
        <is>
          <t>auto_pipeline;review_png_green</t>
        </is>
      </c>
      <c r="R429" t="inlineStr">
        <is>
          <t>样品53</t>
        </is>
      </c>
    </row>
    <row r="430">
      <c r="A430" t="n">
        <v>429</v>
      </c>
      <c r="B430" t="inlineStr">
        <is>
          <t>53 (5).tif</t>
        </is>
      </c>
      <c r="C430" t="inlineStr">
        <is>
          <t>53(5)-V01</t>
        </is>
      </c>
      <c r="D430" t="n">
        <v>1</v>
      </c>
      <c r="E430" t="inlineStr">
        <is>
          <t>primary</t>
        </is>
      </c>
      <c r="F430" t="n">
        <v>952.859168241966</v>
      </c>
      <c r="G430">
        <f>2*SQRT(F430/PI())</f>
        <v/>
      </c>
      <c r="H430" t="n">
        <v>116.1865068777748</v>
      </c>
      <c r="I430" t="n">
        <v>586</v>
      </c>
      <c r="J430" t="n">
        <v>398</v>
      </c>
      <c r="K430" t="n">
        <v>933.8019848771266</v>
      </c>
      <c r="L430" t="n">
        <v>971.9163516068054</v>
      </c>
      <c r="M430">
        <f>2*SQRT(K430/PI())</f>
        <v/>
      </c>
      <c r="N430">
        <f>2*SQRT(L430/PI())</f>
        <v/>
      </c>
      <c r="P430" t="inlineStr">
        <is>
          <t>是</t>
        </is>
      </c>
      <c r="Q430" t="inlineStr">
        <is>
          <t>auto_pipeline;review_png_green</t>
        </is>
      </c>
      <c r="R430" t="inlineStr">
        <is>
          <t>样品53</t>
        </is>
      </c>
    </row>
    <row r="431">
      <c r="A431" t="n">
        <v>430</v>
      </c>
      <c r="B431" t="inlineStr">
        <is>
          <t>53 (5).tif</t>
        </is>
      </c>
      <c r="C431" t="inlineStr">
        <is>
          <t>53(5)-V02</t>
        </is>
      </c>
      <c r="D431" t="n">
        <v>2</v>
      </c>
      <c r="E431" t="inlineStr">
        <is>
          <t>primary</t>
        </is>
      </c>
      <c r="F431" t="n">
        <v>795.1559546313799</v>
      </c>
      <c r="G431">
        <f>2*SQRT(F431/PI())</f>
        <v/>
      </c>
      <c r="H431" t="n">
        <v>106.0501119624013</v>
      </c>
      <c r="I431" t="n">
        <v>421</v>
      </c>
      <c r="J431" t="n">
        <v>313</v>
      </c>
      <c r="K431" t="n">
        <v>779.2528355387523</v>
      </c>
      <c r="L431" t="n">
        <v>811.0590737240076</v>
      </c>
      <c r="M431">
        <f>2*SQRT(K431/PI())</f>
        <v/>
      </c>
      <c r="N431">
        <f>2*SQRT(L431/PI())</f>
        <v/>
      </c>
      <c r="P431" t="inlineStr">
        <is>
          <t>是</t>
        </is>
      </c>
      <c r="Q431" t="inlineStr">
        <is>
          <t>auto_pipeline;review_png_green</t>
        </is>
      </c>
      <c r="R431" t="inlineStr">
        <is>
          <t>样品53</t>
        </is>
      </c>
    </row>
    <row r="432">
      <c r="A432" t="n">
        <v>431</v>
      </c>
      <c r="B432" t="inlineStr">
        <is>
          <t>53 (5).tif</t>
        </is>
      </c>
      <c r="C432" t="inlineStr">
        <is>
          <t>53(5)-V03</t>
        </is>
      </c>
      <c r="D432" t="n">
        <v>3</v>
      </c>
      <c r="E432" t="inlineStr">
        <is>
          <t>primary</t>
        </is>
      </c>
      <c r="F432" t="n">
        <v>174.4328922495274</v>
      </c>
      <c r="G432">
        <f>2*SQRT(F432/PI())</f>
        <v/>
      </c>
      <c r="H432" t="n">
        <v>53.96734367246213</v>
      </c>
      <c r="I432" t="n">
        <v>923</v>
      </c>
      <c r="J432" t="n">
        <v>552</v>
      </c>
      <c r="K432" t="n">
        <v>170.9442344045369</v>
      </c>
      <c r="L432" t="n">
        <v>177.921550094518</v>
      </c>
      <c r="M432">
        <f>2*SQRT(K432/PI())</f>
        <v/>
      </c>
      <c r="N432">
        <f>2*SQRT(L432/PI())</f>
        <v/>
      </c>
      <c r="P432" t="inlineStr">
        <is>
          <t>是</t>
        </is>
      </c>
      <c r="Q432" t="inlineStr">
        <is>
          <t>auto_pipeline;review_png_green</t>
        </is>
      </c>
      <c r="R432" t="inlineStr">
        <is>
          <t>样品53</t>
        </is>
      </c>
    </row>
    <row r="433">
      <c r="A433" t="n">
        <v>432</v>
      </c>
      <c r="B433" t="inlineStr">
        <is>
          <t>53 (6).tif</t>
        </is>
      </c>
      <c r="C433" t="inlineStr">
        <is>
          <t>53(6)-V01</t>
        </is>
      </c>
      <c r="D433" t="n">
        <v>1</v>
      </c>
      <c r="E433" t="inlineStr">
        <is>
          <t>primary</t>
        </is>
      </c>
      <c r="F433" t="n">
        <v>959.2391304347826</v>
      </c>
      <c r="G433">
        <f>2*SQRT(F433/PI())</f>
        <v/>
      </c>
      <c r="H433" t="n">
        <v>116.1865068777748</v>
      </c>
      <c r="I433" t="n">
        <v>525</v>
      </c>
      <c r="J433" t="n">
        <v>448</v>
      </c>
      <c r="K433" t="n">
        <v>940.054347826087</v>
      </c>
      <c r="L433" t="n">
        <v>978.4239130434783</v>
      </c>
      <c r="M433">
        <f>2*SQRT(K433/PI())</f>
        <v/>
      </c>
      <c r="N433">
        <f>2*SQRT(L433/PI())</f>
        <v/>
      </c>
      <c r="O433" t="inlineStr">
        <is>
          <t>53(6)-P01</t>
        </is>
      </c>
      <c r="P433" t="inlineStr">
        <is>
          <t>是</t>
        </is>
      </c>
      <c r="Q433" t="inlineStr">
        <is>
          <t>auto_pipeline;review_png_green</t>
        </is>
      </c>
      <c r="R433" t="inlineStr">
        <is>
          <t>样品53</t>
        </is>
      </c>
    </row>
    <row r="434">
      <c r="A434" t="n">
        <v>433</v>
      </c>
      <c r="B434" t="inlineStr">
        <is>
          <t>53 (6).tif</t>
        </is>
      </c>
      <c r="C434" t="inlineStr">
        <is>
          <t>53(6)-V02</t>
        </is>
      </c>
      <c r="D434" t="n">
        <v>2</v>
      </c>
      <c r="E434" t="inlineStr">
        <is>
          <t>primary</t>
        </is>
      </c>
      <c r="F434" t="n">
        <v>773.9603024574669</v>
      </c>
      <c r="G434">
        <f>2*SQRT(F434/PI())</f>
        <v/>
      </c>
      <c r="H434" t="n">
        <v>104.6930161766384</v>
      </c>
      <c r="I434" t="n">
        <v>208</v>
      </c>
      <c r="J434" t="n">
        <v>300</v>
      </c>
      <c r="K434" t="n">
        <v>758.4810964083176</v>
      </c>
      <c r="L434" t="n">
        <v>789.4395085066162</v>
      </c>
      <c r="M434">
        <f>2*SQRT(K434/PI())</f>
        <v/>
      </c>
      <c r="N434">
        <f>2*SQRT(L434/PI())</f>
        <v/>
      </c>
      <c r="P434" t="inlineStr">
        <is>
          <t>是</t>
        </is>
      </c>
      <c r="Q434" t="inlineStr">
        <is>
          <t>auto_pipeline;review_png_green</t>
        </is>
      </c>
      <c r="R434" t="inlineStr">
        <is>
          <t>样品53</t>
        </is>
      </c>
    </row>
    <row r="435">
      <c r="A435" t="n">
        <v>434</v>
      </c>
      <c r="B435" t="inlineStr">
        <is>
          <t>53 (6).tif</t>
        </is>
      </c>
      <c r="C435" t="inlineStr">
        <is>
          <t>53(6)-V03</t>
        </is>
      </c>
      <c r="D435" t="n">
        <v>3</v>
      </c>
      <c r="E435" t="inlineStr">
        <is>
          <t>primary</t>
        </is>
      </c>
      <c r="F435" t="n">
        <v>542.367674858223</v>
      </c>
      <c r="G435">
        <f>2*SQRT(F435/PI())</f>
        <v/>
      </c>
      <c r="H435" t="n">
        <v>87.5164525664371</v>
      </c>
      <c r="I435" t="n">
        <v>230</v>
      </c>
      <c r="J435" t="n">
        <v>569</v>
      </c>
      <c r="K435" t="n">
        <v>531.5203213610586</v>
      </c>
      <c r="L435" t="n">
        <v>553.2150283553875</v>
      </c>
      <c r="M435">
        <f>2*SQRT(K435/PI())</f>
        <v/>
      </c>
      <c r="N435">
        <f>2*SQRT(L435/PI())</f>
        <v/>
      </c>
      <c r="P435" t="inlineStr">
        <is>
          <t>是</t>
        </is>
      </c>
      <c r="Q435" t="inlineStr">
        <is>
          <t>auto_pipeline;review_png_green</t>
        </is>
      </c>
      <c r="R435" t="inlineStr">
        <is>
          <t>样品53</t>
        </is>
      </c>
    </row>
    <row r="436">
      <c r="A436" t="n">
        <v>435</v>
      </c>
      <c r="B436" t="inlineStr">
        <is>
          <t>53 (6).tif</t>
        </is>
      </c>
      <c r="C436" t="inlineStr">
        <is>
          <t>53(6)-V04</t>
        </is>
      </c>
      <c r="D436" t="n">
        <v>4</v>
      </c>
      <c r="E436" t="inlineStr">
        <is>
          <t>primary</t>
        </is>
      </c>
      <c r="F436" t="n">
        <v>506.0018903591683</v>
      </c>
      <c r="G436">
        <f>2*SQRT(F436/PI())</f>
        <v/>
      </c>
      <c r="H436" t="n">
        <v>84.42022634589154</v>
      </c>
      <c r="I436" t="n">
        <v>890</v>
      </c>
      <c r="J436" t="n">
        <v>105</v>
      </c>
      <c r="K436" t="n">
        <v>495.8818525519849</v>
      </c>
      <c r="L436" t="n">
        <v>516.1219281663516</v>
      </c>
      <c r="M436">
        <f>2*SQRT(K436/PI())</f>
        <v/>
      </c>
      <c r="N436">
        <f>2*SQRT(L436/PI())</f>
        <v/>
      </c>
      <c r="P436" t="inlineStr">
        <is>
          <t>是</t>
        </is>
      </c>
      <c r="Q436" t="inlineStr">
        <is>
          <t>auto_pipeline;review_png_green</t>
        </is>
      </c>
      <c r="R436" t="inlineStr">
        <is>
          <t>样品53</t>
        </is>
      </c>
    </row>
    <row r="437">
      <c r="A437" t="n">
        <v>436</v>
      </c>
      <c r="B437" t="inlineStr">
        <is>
          <t>53 (6).tif</t>
        </is>
      </c>
      <c r="C437" t="inlineStr">
        <is>
          <t>53(6)-V05</t>
        </is>
      </c>
      <c r="D437" t="n">
        <v>5</v>
      </c>
      <c r="E437" t="inlineStr">
        <is>
          <t>primary</t>
        </is>
      </c>
      <c r="F437" t="n">
        <v>488.9886578449905</v>
      </c>
      <c r="G437">
        <f>2*SQRT(F437/PI())</f>
        <v/>
      </c>
      <c r="H437" t="n">
        <v>83.19047544313513</v>
      </c>
      <c r="I437" t="n">
        <v>506</v>
      </c>
      <c r="J437" t="n">
        <v>291</v>
      </c>
      <c r="K437" t="n">
        <v>479.2088846880907</v>
      </c>
      <c r="L437" t="n">
        <v>498.7684310018903</v>
      </c>
      <c r="M437">
        <f>2*SQRT(K437/PI())</f>
        <v/>
      </c>
      <c r="N437">
        <f>2*SQRT(L437/PI())</f>
        <v/>
      </c>
      <c r="O437" t="inlineStr">
        <is>
          <t>53(6)-P01</t>
        </is>
      </c>
      <c r="P437" t="inlineStr">
        <is>
          <t>是</t>
        </is>
      </c>
      <c r="Q437" t="inlineStr">
        <is>
          <t>auto_pipeline;review_png_green</t>
        </is>
      </c>
      <c r="R437" t="inlineStr">
        <is>
          <t>样品53</t>
        </is>
      </c>
    </row>
    <row r="438">
      <c r="A438" t="n">
        <v>437</v>
      </c>
      <c r="B438" t="inlineStr">
        <is>
          <t>53 (6).tif</t>
        </is>
      </c>
      <c r="C438" t="inlineStr">
        <is>
          <t>53(6)-V06</t>
        </is>
      </c>
      <c r="D438" t="n">
        <v>6</v>
      </c>
      <c r="E438" t="inlineStr">
        <is>
          <t>primary</t>
        </is>
      </c>
      <c r="F438" t="n">
        <v>184.0973534971644</v>
      </c>
      <c r="G438">
        <f>2*SQRT(F438/PI())</f>
        <v/>
      </c>
      <c r="H438" t="n">
        <v>51.4241949112519</v>
      </c>
      <c r="I438" t="n">
        <v>85</v>
      </c>
      <c r="J438" t="n">
        <v>340</v>
      </c>
      <c r="K438" t="n">
        <v>180.4154064272211</v>
      </c>
      <c r="L438" t="n">
        <v>187.7793005671078</v>
      </c>
      <c r="M438">
        <f>2*SQRT(K438/PI())</f>
        <v/>
      </c>
      <c r="N438">
        <f>2*SQRT(L438/PI())</f>
        <v/>
      </c>
      <c r="P438" t="inlineStr">
        <is>
          <t>是</t>
        </is>
      </c>
      <c r="Q438" t="inlineStr">
        <is>
          <t>auto_pipeline;review_png_green</t>
        </is>
      </c>
      <c r="R438" t="inlineStr">
        <is>
          <t>样品53</t>
        </is>
      </c>
    </row>
    <row r="439">
      <c r="A439" t="n">
        <v>438</v>
      </c>
      <c r="B439" t="inlineStr">
        <is>
          <t>53 (6).tif</t>
        </is>
      </c>
      <c r="C439" t="inlineStr">
        <is>
          <t>53(6)-V07</t>
        </is>
      </c>
      <c r="D439" t="n">
        <v>7</v>
      </c>
      <c r="E439" t="inlineStr">
        <is>
          <t>primary</t>
        </is>
      </c>
      <c r="F439" t="n">
        <v>177.6937618147448</v>
      </c>
      <c r="G439">
        <f>2*SQRT(F439/PI())</f>
        <v/>
      </c>
      <c r="H439" t="n">
        <v>63.25977123301962</v>
      </c>
      <c r="I439" t="n">
        <v>747</v>
      </c>
      <c r="J439" t="n">
        <v>261</v>
      </c>
      <c r="K439" t="n">
        <v>174.1398865784499</v>
      </c>
      <c r="L439" t="n">
        <v>181.2476370510397</v>
      </c>
      <c r="M439">
        <f>2*SQRT(K439/PI())</f>
        <v/>
      </c>
      <c r="N439">
        <f>2*SQRT(L439/PI())</f>
        <v/>
      </c>
      <c r="P439" t="inlineStr">
        <is>
          <t>是</t>
        </is>
      </c>
      <c r="Q439" t="inlineStr">
        <is>
          <t>auto_pipeline;review_png_green</t>
        </is>
      </c>
      <c r="R439" t="inlineStr">
        <is>
          <t>样品53</t>
        </is>
      </c>
    </row>
    <row r="440">
      <c r="A440" t="n">
        <v>439</v>
      </c>
      <c r="B440" t="inlineStr">
        <is>
          <t>53 (7).tif</t>
        </is>
      </c>
      <c r="C440" t="inlineStr">
        <is>
          <t>53(7)-V01</t>
        </is>
      </c>
      <c r="D440" t="n">
        <v>1</v>
      </c>
      <c r="E440" t="inlineStr">
        <is>
          <t>primary</t>
        </is>
      </c>
      <c r="F440" t="n">
        <v>634.1682419659735</v>
      </c>
      <c r="G440">
        <f>2*SQRT(F440/PI())</f>
        <v/>
      </c>
      <c r="H440" t="n">
        <v>95.42618647865626</v>
      </c>
      <c r="I440" t="n">
        <v>481</v>
      </c>
      <c r="J440" t="n">
        <v>436</v>
      </c>
      <c r="K440" t="n">
        <v>621.4848771266541</v>
      </c>
      <c r="L440" t="n">
        <v>646.8516068052929</v>
      </c>
      <c r="M440">
        <f>2*SQRT(K440/PI())</f>
        <v/>
      </c>
      <c r="N440">
        <f>2*SQRT(L440/PI())</f>
        <v/>
      </c>
      <c r="P440" t="inlineStr">
        <is>
          <t>是</t>
        </is>
      </c>
      <c r="Q440" t="inlineStr">
        <is>
          <t>auto_pipeline;review_png_green</t>
        </is>
      </c>
      <c r="R440" t="inlineStr">
        <is>
          <t>样品53</t>
        </is>
      </c>
    </row>
    <row r="441">
      <c r="A441" t="n">
        <v>440</v>
      </c>
      <c r="B441" t="inlineStr">
        <is>
          <t>53 (7).tif</t>
        </is>
      </c>
      <c r="C441" t="inlineStr">
        <is>
          <t>53(7)-V02</t>
        </is>
      </c>
      <c r="D441" t="n">
        <v>2</v>
      </c>
      <c r="E441" t="inlineStr">
        <is>
          <t>primary</t>
        </is>
      </c>
      <c r="F441" t="n">
        <v>495.6758034026465</v>
      </c>
      <c r="G441">
        <f>2*SQRT(F441/PI())</f>
        <v/>
      </c>
      <c r="H441" t="n">
        <v>86.13750781701958</v>
      </c>
      <c r="I441" t="n">
        <v>176</v>
      </c>
      <c r="J441" t="n">
        <v>350</v>
      </c>
      <c r="K441" t="n">
        <v>485.7622873345936</v>
      </c>
      <c r="L441" t="n">
        <v>505.5893194706995</v>
      </c>
      <c r="M441">
        <f>2*SQRT(K441/PI())</f>
        <v/>
      </c>
      <c r="N441">
        <f>2*SQRT(L441/PI())</f>
        <v/>
      </c>
      <c r="P441" t="inlineStr">
        <is>
          <t>是</t>
        </is>
      </c>
      <c r="Q441" t="inlineStr">
        <is>
          <t>auto_pipeline;review_png_green</t>
        </is>
      </c>
      <c r="R441" t="inlineStr">
        <is>
          <t>样品53</t>
        </is>
      </c>
    </row>
    <row r="442">
      <c r="A442" t="n">
        <v>441</v>
      </c>
      <c r="B442" t="inlineStr">
        <is>
          <t>53 (7).tif</t>
        </is>
      </c>
      <c r="C442" t="inlineStr">
        <is>
          <t>53(7)-V03</t>
        </is>
      </c>
      <c r="D442" t="n">
        <v>3</v>
      </c>
      <c r="E442" t="inlineStr">
        <is>
          <t>primary</t>
        </is>
      </c>
      <c r="F442" t="n">
        <v>445.0614366729679</v>
      </c>
      <c r="G442">
        <f>2*SQRT(F442/PI())</f>
        <v/>
      </c>
      <c r="H442" t="n">
        <v>84.5912691562072</v>
      </c>
      <c r="I442" t="n">
        <v>100</v>
      </c>
      <c r="J442" t="n">
        <v>523</v>
      </c>
      <c r="K442" t="n">
        <v>436.1602079395085</v>
      </c>
      <c r="L442" t="n">
        <v>453.9626654064273</v>
      </c>
      <c r="M442">
        <f>2*SQRT(K442/PI())</f>
        <v/>
      </c>
      <c r="N442">
        <f>2*SQRT(L442/PI())</f>
        <v/>
      </c>
      <c r="P442" t="inlineStr">
        <is>
          <t>是</t>
        </is>
      </c>
      <c r="Q442" t="inlineStr">
        <is>
          <t>auto_pipeline;review_png_green</t>
        </is>
      </c>
      <c r="R442" t="inlineStr">
        <is>
          <t>样品53</t>
        </is>
      </c>
    </row>
    <row r="443">
      <c r="A443" t="n">
        <v>442</v>
      </c>
      <c r="B443" t="inlineStr">
        <is>
          <t>53 (7).tif</t>
        </is>
      </c>
      <c r="C443" t="inlineStr">
        <is>
          <t>53(7)-V04</t>
        </is>
      </c>
      <c r="D443" t="n">
        <v>4</v>
      </c>
      <c r="E443" t="inlineStr">
        <is>
          <t>primary</t>
        </is>
      </c>
      <c r="F443" t="n">
        <v>423.4877126654064</v>
      </c>
      <c r="G443">
        <f>2*SQRT(F443/PI())</f>
        <v/>
      </c>
      <c r="H443" t="n">
        <v>84.61311811986177</v>
      </c>
      <c r="I443" t="n">
        <v>954</v>
      </c>
      <c r="J443" t="n">
        <v>301</v>
      </c>
      <c r="K443" t="n">
        <v>415.0179584120983</v>
      </c>
      <c r="L443" t="n">
        <v>431.9574669187145</v>
      </c>
      <c r="M443">
        <f>2*SQRT(K443/PI())</f>
        <v/>
      </c>
      <c r="N443">
        <f>2*SQRT(L443/PI())</f>
        <v/>
      </c>
      <c r="P443" t="inlineStr">
        <is>
          <t>是</t>
        </is>
      </c>
      <c r="Q443" t="inlineStr">
        <is>
          <t>auto_pipeline;review_png_green</t>
        </is>
      </c>
      <c r="R443" t="inlineStr">
        <is>
          <t>样品53</t>
        </is>
      </c>
    </row>
    <row r="444">
      <c r="A444" t="n">
        <v>443</v>
      </c>
      <c r="B444" t="inlineStr">
        <is>
          <t>53 (7).tif</t>
        </is>
      </c>
      <c r="C444" t="inlineStr">
        <is>
          <t>53(7)-V05</t>
        </is>
      </c>
      <c r="D444" t="n">
        <v>5</v>
      </c>
      <c r="E444" t="inlineStr">
        <is>
          <t>primary</t>
        </is>
      </c>
      <c r="F444" t="n">
        <v>370.5103969754254</v>
      </c>
      <c r="G444">
        <f>2*SQRT(F444/PI())</f>
        <v/>
      </c>
      <c r="H444" t="n">
        <v>72.1845153103704</v>
      </c>
      <c r="I444" t="n">
        <v>527</v>
      </c>
      <c r="J444" t="n">
        <v>319</v>
      </c>
      <c r="K444" t="n">
        <v>363.1001890359169</v>
      </c>
      <c r="L444" t="n">
        <v>377.9206049149338</v>
      </c>
      <c r="M444">
        <f>2*SQRT(K444/PI())</f>
        <v/>
      </c>
      <c r="N444">
        <f>2*SQRT(L444/PI())</f>
        <v/>
      </c>
      <c r="O444" t="inlineStr">
        <is>
          <t>53(7)-P01</t>
        </is>
      </c>
      <c r="P444" t="inlineStr">
        <is>
          <t>是</t>
        </is>
      </c>
      <c r="Q444" t="inlineStr">
        <is>
          <t>auto_pipeline;review_png_green</t>
        </is>
      </c>
      <c r="R444" t="inlineStr">
        <is>
          <t>样品53</t>
        </is>
      </c>
    </row>
    <row r="445">
      <c r="A445" t="n">
        <v>444</v>
      </c>
      <c r="B445" t="inlineStr">
        <is>
          <t>53 (7).tif</t>
        </is>
      </c>
      <c r="C445" t="inlineStr">
        <is>
          <t>53(7)-V06</t>
        </is>
      </c>
      <c r="D445" t="n">
        <v>6</v>
      </c>
      <c r="E445" t="inlineStr">
        <is>
          <t>primary</t>
        </is>
      </c>
      <c r="F445" t="n">
        <v>334.593572778828</v>
      </c>
      <c r="G445">
        <f>2*SQRT(F445/PI())</f>
        <v/>
      </c>
      <c r="H445" t="n">
        <v>69.7250135048576</v>
      </c>
      <c r="I445" t="n">
        <v>822</v>
      </c>
      <c r="J445" t="n">
        <v>487</v>
      </c>
      <c r="K445" t="n">
        <v>327.9017013232514</v>
      </c>
      <c r="L445" t="n">
        <v>341.2854442344046</v>
      </c>
      <c r="M445">
        <f>2*SQRT(K445/PI())</f>
        <v/>
      </c>
      <c r="N445">
        <f>2*SQRT(L445/PI())</f>
        <v/>
      </c>
      <c r="P445" t="inlineStr">
        <is>
          <t>是</t>
        </is>
      </c>
      <c r="Q445" t="inlineStr">
        <is>
          <t>auto_pipeline;review_png_green</t>
        </is>
      </c>
      <c r="R445" t="inlineStr">
        <is>
          <t>样品53</t>
        </is>
      </c>
    </row>
    <row r="446">
      <c r="A446" t="n">
        <v>445</v>
      </c>
      <c r="B446" t="inlineStr">
        <is>
          <t>53 (7).tif</t>
        </is>
      </c>
      <c r="C446" t="inlineStr">
        <is>
          <t>53(7)-V07</t>
        </is>
      </c>
      <c r="D446" t="n">
        <v>7</v>
      </c>
      <c r="E446" t="inlineStr">
        <is>
          <t>primary</t>
        </is>
      </c>
      <c r="F446" t="n">
        <v>188.9413988657845</v>
      </c>
      <c r="G446">
        <f>2*SQRT(F446/PI())</f>
        <v/>
      </c>
      <c r="H446" t="n">
        <v>55.34628842187964</v>
      </c>
      <c r="I446" t="n">
        <v>471</v>
      </c>
      <c r="J446" t="n">
        <v>257</v>
      </c>
      <c r="K446" t="n">
        <v>185.1625708884688</v>
      </c>
      <c r="L446" t="n">
        <v>192.7202268431002</v>
      </c>
      <c r="M446">
        <f>2*SQRT(K446/PI())</f>
        <v/>
      </c>
      <c r="N446">
        <f>2*SQRT(L446/PI())</f>
        <v/>
      </c>
      <c r="O446" t="inlineStr">
        <is>
          <t>53(7)-P01</t>
        </is>
      </c>
      <c r="P446" t="inlineStr">
        <is>
          <t>是</t>
        </is>
      </c>
      <c r="Q446" t="inlineStr">
        <is>
          <t>auto_pipeline;review_png_green</t>
        </is>
      </c>
      <c r="R446" t="inlineStr">
        <is>
          <t>样品53</t>
        </is>
      </c>
    </row>
    <row r="447">
      <c r="A447" t="n">
        <v>446</v>
      </c>
      <c r="B447" t="inlineStr">
        <is>
          <t>53 (8).tif</t>
        </is>
      </c>
      <c r="C447" t="inlineStr">
        <is>
          <t>53(8)-V01</t>
        </is>
      </c>
      <c r="D447" t="n">
        <v>1</v>
      </c>
      <c r="E447" t="inlineStr">
        <is>
          <t>primary</t>
        </is>
      </c>
      <c r="F447" t="n">
        <v>761.5311909262759</v>
      </c>
      <c r="G447">
        <f>2*SQRT(F447/PI())</f>
        <v/>
      </c>
      <c r="H447" t="n">
        <v>104.3328304912733</v>
      </c>
      <c r="I447" t="n">
        <v>472</v>
      </c>
      <c r="J447" t="n">
        <v>451</v>
      </c>
      <c r="K447" t="n">
        <v>746.3005671077505</v>
      </c>
      <c r="L447" t="n">
        <v>776.7618147448014</v>
      </c>
      <c r="M447">
        <f>2*SQRT(K447/PI())</f>
        <v/>
      </c>
      <c r="N447">
        <f>2*SQRT(L447/PI())</f>
        <v/>
      </c>
      <c r="O447" t="inlineStr">
        <is>
          <t>53(8)-P01</t>
        </is>
      </c>
      <c r="P447" t="inlineStr">
        <is>
          <t>是</t>
        </is>
      </c>
      <c r="Q447" t="inlineStr">
        <is>
          <t>auto_pipeline;review_png_green</t>
        </is>
      </c>
      <c r="R447" t="inlineStr">
        <is>
          <t>样品53</t>
        </is>
      </c>
    </row>
    <row r="448">
      <c r="A448" t="n">
        <v>447</v>
      </c>
      <c r="B448" t="inlineStr">
        <is>
          <t>53 (8).tif</t>
        </is>
      </c>
      <c r="C448" t="inlineStr">
        <is>
          <t>53(8)-V02</t>
        </is>
      </c>
      <c r="D448" t="n">
        <v>2</v>
      </c>
      <c r="E448" t="inlineStr">
        <is>
          <t>primary</t>
        </is>
      </c>
      <c r="F448" t="n">
        <v>646.7391304347826</v>
      </c>
      <c r="G448">
        <f>2*SQRT(F448/PI())</f>
        <v/>
      </c>
      <c r="H448" t="n">
        <v>95.42618647865626</v>
      </c>
      <c r="I448" t="n">
        <v>769</v>
      </c>
      <c r="J448" t="n">
        <v>616</v>
      </c>
      <c r="K448" t="n">
        <v>633.804347826087</v>
      </c>
      <c r="L448" t="n">
        <v>659.6739130434783</v>
      </c>
      <c r="M448">
        <f>2*SQRT(K448/PI())</f>
        <v/>
      </c>
      <c r="N448">
        <f>2*SQRT(L448/PI())</f>
        <v/>
      </c>
      <c r="P448" t="inlineStr">
        <is>
          <t>是</t>
        </is>
      </c>
      <c r="Q448" t="inlineStr">
        <is>
          <t>auto_pipeline;review_png_green</t>
        </is>
      </c>
      <c r="R448" t="inlineStr">
        <is>
          <t>样品53</t>
        </is>
      </c>
    </row>
    <row r="449">
      <c r="A449" t="n">
        <v>448</v>
      </c>
      <c r="B449" t="inlineStr">
        <is>
          <t>53 (8).tif</t>
        </is>
      </c>
      <c r="C449" t="inlineStr">
        <is>
          <t>53(8)-V03</t>
        </is>
      </c>
      <c r="D449" t="n">
        <v>3</v>
      </c>
      <c r="E449" t="inlineStr">
        <is>
          <t>primary</t>
        </is>
      </c>
      <c r="F449" t="n">
        <v>626.2051039697543</v>
      </c>
      <c r="G449">
        <f>2*SQRT(F449/PI())</f>
        <v/>
      </c>
      <c r="H449" t="n">
        <v>94.93865591028462</v>
      </c>
      <c r="I449" t="n">
        <v>504</v>
      </c>
      <c r="J449" t="n">
        <v>317</v>
      </c>
      <c r="K449" t="n">
        <v>613.6810018903592</v>
      </c>
      <c r="L449" t="n">
        <v>638.7292060491494</v>
      </c>
      <c r="M449">
        <f>2*SQRT(K449/PI())</f>
        <v/>
      </c>
      <c r="N449">
        <f>2*SQRT(L449/PI())</f>
        <v/>
      </c>
      <c r="O449" t="inlineStr">
        <is>
          <t>53(8)-P01</t>
        </is>
      </c>
      <c r="P449" t="inlineStr">
        <is>
          <t>是</t>
        </is>
      </c>
      <c r="Q449" t="inlineStr">
        <is>
          <t>auto_pipeline;review_png_green</t>
        </is>
      </c>
      <c r="R449" t="inlineStr">
        <is>
          <t>样品53</t>
        </is>
      </c>
    </row>
    <row r="450">
      <c r="A450" t="n">
        <v>449</v>
      </c>
      <c r="B450" t="inlineStr">
        <is>
          <t>53 (8).tif</t>
        </is>
      </c>
      <c r="C450" t="inlineStr">
        <is>
          <t>53(8)-V04</t>
        </is>
      </c>
      <c r="D450" t="n">
        <v>4</v>
      </c>
      <c r="E450" t="inlineStr">
        <is>
          <t>primary</t>
        </is>
      </c>
      <c r="F450" t="n">
        <v>537.6654064272212</v>
      </c>
      <c r="G450">
        <f>2*SQRT(F450/PI())</f>
        <v/>
      </c>
      <c r="H450" t="n">
        <v>87.74929336879565</v>
      </c>
      <c r="I450" t="n">
        <v>133</v>
      </c>
      <c r="J450" t="n">
        <v>213</v>
      </c>
      <c r="K450" t="n">
        <v>526.9120982986768</v>
      </c>
      <c r="L450" t="n">
        <v>548.4187145557656</v>
      </c>
      <c r="M450">
        <f>2*SQRT(K450/PI())</f>
        <v/>
      </c>
      <c r="N450">
        <f>2*SQRT(L450/PI())</f>
        <v/>
      </c>
      <c r="P450" t="inlineStr">
        <is>
          <t>是</t>
        </is>
      </c>
      <c r="Q450" t="inlineStr">
        <is>
          <t>auto_pipeline;review_png_green</t>
        </is>
      </c>
      <c r="R450" t="inlineStr">
        <is>
          <t>样品53</t>
        </is>
      </c>
    </row>
    <row r="451">
      <c r="A451" t="n">
        <v>450</v>
      </c>
      <c r="B451" t="inlineStr">
        <is>
          <t>53 (8).tif</t>
        </is>
      </c>
      <c r="C451" t="inlineStr">
        <is>
          <t>53(8)-V05</t>
        </is>
      </c>
      <c r="D451" t="n">
        <v>5</v>
      </c>
      <c r="E451" t="inlineStr">
        <is>
          <t>primary</t>
        </is>
      </c>
      <c r="F451" t="n">
        <v>121.5500945179584</v>
      </c>
      <c r="G451">
        <f>2*SQRT(F451/PI())</f>
        <v/>
      </c>
      <c r="H451" t="n">
        <v>44.23483236976292</v>
      </c>
      <c r="I451" t="n">
        <v>891</v>
      </c>
      <c r="J451" t="n">
        <v>504</v>
      </c>
      <c r="K451" t="n">
        <v>119.1190926275992</v>
      </c>
      <c r="L451" t="n">
        <v>123.9810964083176</v>
      </c>
      <c r="M451">
        <f>2*SQRT(K451/PI())</f>
        <v/>
      </c>
      <c r="N451">
        <f>2*SQRT(L451/PI())</f>
        <v/>
      </c>
      <c r="P451" t="inlineStr">
        <is>
          <t>是</t>
        </is>
      </c>
      <c r="Q451" t="inlineStr">
        <is>
          <t>auto_pipeline;review_png_green</t>
        </is>
      </c>
      <c r="R451" t="inlineStr">
        <is>
          <t>样品53</t>
        </is>
      </c>
    </row>
    <row r="452">
      <c r="A452" t="n">
        <v>451</v>
      </c>
      <c r="B452" t="inlineStr">
        <is>
          <t>53 (8).tif</t>
        </is>
      </c>
      <c r="C452" t="inlineStr">
        <is>
          <t>53(8)-V06</t>
        </is>
      </c>
      <c r="D452" t="n">
        <v>6</v>
      </c>
      <c r="E452" t="inlineStr">
        <is>
          <t>primary</t>
        </is>
      </c>
      <c r="F452" t="n">
        <v>113.1379962192817</v>
      </c>
      <c r="G452">
        <f>2*SQRT(F452/PI())</f>
        <v/>
      </c>
      <c r="H452" t="n">
        <v>43.91834461170694</v>
      </c>
      <c r="I452" t="n">
        <v>100</v>
      </c>
      <c r="J452" t="n">
        <v>86</v>
      </c>
      <c r="K452" t="n">
        <v>110.875236294896</v>
      </c>
      <c r="L452" t="n">
        <v>115.4007561436673</v>
      </c>
      <c r="M452">
        <f>2*SQRT(K452/PI())</f>
        <v/>
      </c>
      <c r="N452">
        <f>2*SQRT(L452/PI())</f>
        <v/>
      </c>
      <c r="P452" t="inlineStr">
        <is>
          <t>是</t>
        </is>
      </c>
      <c r="Q452" t="inlineStr">
        <is>
          <t>auto_pipeline;review_png_green</t>
        </is>
      </c>
      <c r="R452" t="inlineStr">
        <is>
          <t>样品53</t>
        </is>
      </c>
    </row>
    <row r="453">
      <c r="A453" t="n">
        <v>452</v>
      </c>
      <c r="B453" t="inlineStr">
        <is>
          <t>54 (1).tif</t>
        </is>
      </c>
      <c r="C453" t="inlineStr">
        <is>
          <t>54(1)-V01</t>
        </is>
      </c>
      <c r="D453" t="n">
        <v>1</v>
      </c>
      <c r="E453" t="inlineStr">
        <is>
          <t>primary</t>
        </is>
      </c>
      <c r="F453" t="n">
        <v>625.8270321361059</v>
      </c>
      <c r="G453">
        <f>2*SQRT(F453/PI())</f>
        <v/>
      </c>
      <c r="H453" t="n">
        <v>93.81440092688021</v>
      </c>
      <c r="I453" t="n">
        <v>866</v>
      </c>
      <c r="J453" t="n">
        <v>557</v>
      </c>
      <c r="K453" t="n">
        <v>613.3104914933838</v>
      </c>
      <c r="L453" t="n">
        <v>638.343572778828</v>
      </c>
      <c r="M453">
        <f>2*SQRT(K453/PI())</f>
        <v/>
      </c>
      <c r="N453">
        <f>2*SQRT(L453/PI())</f>
        <v/>
      </c>
      <c r="O453" t="inlineStr">
        <is>
          <t>54(1)-P01</t>
        </is>
      </c>
      <c r="P453" t="inlineStr">
        <is>
          <t>是</t>
        </is>
      </c>
      <c r="Q453" t="inlineStr">
        <is>
          <t>auto_pipeline;review_png_green</t>
        </is>
      </c>
      <c r="R453" t="inlineStr">
        <is>
          <t>样品54</t>
        </is>
      </c>
    </row>
    <row r="454">
      <c r="A454" t="n">
        <v>453</v>
      </c>
      <c r="B454" t="inlineStr">
        <is>
          <t>54 (1).tif</t>
        </is>
      </c>
      <c r="C454" t="inlineStr">
        <is>
          <t>54(1)-V02</t>
        </is>
      </c>
      <c r="D454" t="n">
        <v>2</v>
      </c>
      <c r="E454" t="inlineStr">
        <is>
          <t>primary</t>
        </is>
      </c>
      <c r="F454" t="n">
        <v>564.5085066162571</v>
      </c>
      <c r="G454">
        <f>2*SQRT(F454/PI())</f>
        <v/>
      </c>
      <c r="H454" t="n">
        <v>91.69323584307794</v>
      </c>
      <c r="I454" t="n">
        <v>481</v>
      </c>
      <c r="J454" t="n">
        <v>101</v>
      </c>
      <c r="K454" t="n">
        <v>553.218336483932</v>
      </c>
      <c r="L454" t="n">
        <v>575.7986767485822</v>
      </c>
      <c r="M454">
        <f>2*SQRT(K454/PI())</f>
        <v/>
      </c>
      <c r="N454">
        <f>2*SQRT(L454/PI())</f>
        <v/>
      </c>
      <c r="P454" t="inlineStr">
        <is>
          <t>是</t>
        </is>
      </c>
      <c r="Q454" t="inlineStr">
        <is>
          <t>auto_pipeline;review_png_green</t>
        </is>
      </c>
      <c r="R454" t="inlineStr">
        <is>
          <t>样品54</t>
        </is>
      </c>
    </row>
    <row r="455">
      <c r="A455" t="n">
        <v>454</v>
      </c>
      <c r="B455" t="inlineStr">
        <is>
          <t>54 (1).tif</t>
        </is>
      </c>
      <c r="C455" t="inlineStr">
        <is>
          <t>54(1)-V03</t>
        </is>
      </c>
      <c r="D455" t="n">
        <v>3</v>
      </c>
      <c r="E455" t="inlineStr">
        <is>
          <t>primary</t>
        </is>
      </c>
      <c r="F455" t="n">
        <v>525</v>
      </c>
      <c r="G455">
        <f>2*SQRT(F455/PI())</f>
        <v/>
      </c>
      <c r="H455" t="n">
        <v>85.90466701466104</v>
      </c>
      <c r="I455" t="n">
        <v>743</v>
      </c>
      <c r="J455" t="n">
        <v>512</v>
      </c>
      <c r="K455" t="n">
        <v>514.5</v>
      </c>
      <c r="L455" t="n">
        <v>535.5</v>
      </c>
      <c r="M455">
        <f>2*SQRT(K455/PI())</f>
        <v/>
      </c>
      <c r="N455">
        <f>2*SQRT(L455/PI())</f>
        <v/>
      </c>
      <c r="O455" t="inlineStr">
        <is>
          <t>54(1)-P01</t>
        </is>
      </c>
      <c r="P455" t="inlineStr">
        <is>
          <t>是</t>
        </is>
      </c>
      <c r="Q455" t="inlineStr">
        <is>
          <t>auto_pipeline;review_png_green</t>
        </is>
      </c>
      <c r="R455" t="inlineStr">
        <is>
          <t>样品54</t>
        </is>
      </c>
    </row>
    <row r="456">
      <c r="A456" t="n">
        <v>455</v>
      </c>
      <c r="B456" t="inlineStr">
        <is>
          <t>54 (1).tif</t>
        </is>
      </c>
      <c r="C456" t="inlineStr">
        <is>
          <t>54(1)-V04</t>
        </is>
      </c>
      <c r="D456" t="n">
        <v>4</v>
      </c>
      <c r="E456" t="inlineStr">
        <is>
          <t>primary</t>
        </is>
      </c>
      <c r="F456" t="n">
        <v>465.0283553875236</v>
      </c>
      <c r="G456">
        <f>2*SQRT(F456/PI())</f>
        <v/>
      </c>
      <c r="H456" t="n">
        <v>80.83646955697432</v>
      </c>
      <c r="I456" t="n">
        <v>552</v>
      </c>
      <c r="J456" t="n">
        <v>324</v>
      </c>
      <c r="K456" t="n">
        <v>455.7277882797732</v>
      </c>
      <c r="L456" t="n">
        <v>474.3289224952741</v>
      </c>
      <c r="M456">
        <f>2*SQRT(K456/PI())</f>
        <v/>
      </c>
      <c r="N456">
        <f>2*SQRT(L456/PI())</f>
        <v/>
      </c>
      <c r="P456" t="inlineStr">
        <is>
          <t>是</t>
        </is>
      </c>
      <c r="Q456" t="inlineStr">
        <is>
          <t>auto_pipeline;review_png_green</t>
        </is>
      </c>
      <c r="R456" t="inlineStr">
        <is>
          <t>样品54</t>
        </is>
      </c>
    </row>
    <row r="457">
      <c r="A457" t="n">
        <v>456</v>
      </c>
      <c r="B457" t="inlineStr">
        <is>
          <t>54 (1).tif</t>
        </is>
      </c>
      <c r="C457" t="inlineStr">
        <is>
          <t>54(1)-V05</t>
        </is>
      </c>
      <c r="D457" t="n">
        <v>5</v>
      </c>
      <c r="E457" t="inlineStr">
        <is>
          <t>primary</t>
        </is>
      </c>
      <c r="F457" t="n">
        <v>438.7759924385633</v>
      </c>
      <c r="G457">
        <f>2*SQRT(F457/PI())</f>
        <v/>
      </c>
      <c r="H457" t="n">
        <v>87.30546072773311</v>
      </c>
      <c r="I457" t="n">
        <v>936</v>
      </c>
      <c r="J457" t="n">
        <v>387</v>
      </c>
      <c r="K457" t="n">
        <v>430.000472589792</v>
      </c>
      <c r="L457" t="n">
        <v>447.5515122873346</v>
      </c>
      <c r="M457">
        <f>2*SQRT(K457/PI())</f>
        <v/>
      </c>
      <c r="N457">
        <f>2*SQRT(L457/PI())</f>
        <v/>
      </c>
      <c r="P457" t="inlineStr">
        <is>
          <t>是</t>
        </is>
      </c>
      <c r="Q457" t="inlineStr">
        <is>
          <t>auto_pipeline;review_png_green</t>
        </is>
      </c>
      <c r="R457" t="inlineStr">
        <is>
          <t>样品54</t>
        </is>
      </c>
    </row>
    <row r="458">
      <c r="A458" t="n">
        <v>457</v>
      </c>
      <c r="B458" t="inlineStr">
        <is>
          <t>54 (1).tif</t>
        </is>
      </c>
      <c r="C458" t="inlineStr">
        <is>
          <t>54(1)-V06</t>
        </is>
      </c>
      <c r="D458" t="n">
        <v>6</v>
      </c>
      <c r="E458" t="inlineStr">
        <is>
          <t>primary</t>
        </is>
      </c>
      <c r="F458" t="n">
        <v>395.9829867674858</v>
      </c>
      <c r="G458">
        <f>2*SQRT(F458/PI())</f>
        <v/>
      </c>
      <c r="H458" t="n">
        <v>77.103518921396</v>
      </c>
      <c r="I458" t="n">
        <v>816</v>
      </c>
      <c r="J458" t="n">
        <v>262</v>
      </c>
      <c r="K458" t="n">
        <v>388.0633270321361</v>
      </c>
      <c r="L458" t="n">
        <v>403.9026465028356</v>
      </c>
      <c r="M458">
        <f>2*SQRT(K458/PI())</f>
        <v/>
      </c>
      <c r="N458">
        <f>2*SQRT(L458/PI())</f>
        <v/>
      </c>
      <c r="P458" t="inlineStr">
        <is>
          <t>是</t>
        </is>
      </c>
      <c r="Q458" t="inlineStr">
        <is>
          <t>auto_pipeline;review_png_green</t>
        </is>
      </c>
      <c r="R458" t="inlineStr">
        <is>
          <t>样品54</t>
        </is>
      </c>
    </row>
    <row r="459">
      <c r="A459" t="n">
        <v>458</v>
      </c>
      <c r="B459" t="inlineStr">
        <is>
          <t>54 (1).tif</t>
        </is>
      </c>
      <c r="C459" t="inlineStr">
        <is>
          <t>54(1)-V07</t>
        </is>
      </c>
      <c r="D459" t="n">
        <v>7</v>
      </c>
      <c r="E459" t="inlineStr">
        <is>
          <t>primary</t>
        </is>
      </c>
      <c r="F459" t="n">
        <v>362.3582230623819</v>
      </c>
      <c r="G459">
        <f>2*SQRT(F459/PI())</f>
        <v/>
      </c>
      <c r="H459" t="n">
        <v>71.44229497598565</v>
      </c>
      <c r="I459" t="n">
        <v>237</v>
      </c>
      <c r="J459" t="n">
        <v>547</v>
      </c>
      <c r="K459" t="n">
        <v>355.1110586011342</v>
      </c>
      <c r="L459" t="n">
        <v>369.6053875236295</v>
      </c>
      <c r="M459">
        <f>2*SQRT(K459/PI())</f>
        <v/>
      </c>
      <c r="N459">
        <f>2*SQRT(L459/PI())</f>
        <v/>
      </c>
      <c r="P459" t="inlineStr">
        <is>
          <t>是</t>
        </is>
      </c>
      <c r="Q459" t="inlineStr">
        <is>
          <t>auto_pipeline;review_png_green</t>
        </is>
      </c>
      <c r="R459" t="inlineStr">
        <is>
          <t>样品54</t>
        </is>
      </c>
    </row>
    <row r="460">
      <c r="A460" t="n">
        <v>459</v>
      </c>
      <c r="B460" t="inlineStr">
        <is>
          <t>54 (1).tif</t>
        </is>
      </c>
      <c r="C460" t="inlineStr">
        <is>
          <t>54(1)-V08</t>
        </is>
      </c>
      <c r="D460" t="n">
        <v>8</v>
      </c>
      <c r="E460" t="inlineStr">
        <is>
          <t>primary</t>
        </is>
      </c>
      <c r="F460" t="n">
        <v>352.7410207939508</v>
      </c>
      <c r="G460">
        <f>2*SQRT(F460/PI())</f>
        <v/>
      </c>
      <c r="H460" t="n">
        <v>70.95476440761401</v>
      </c>
      <c r="I460" t="n">
        <v>462</v>
      </c>
      <c r="J460" t="n">
        <v>433</v>
      </c>
      <c r="K460" t="n">
        <v>345.6862003780718</v>
      </c>
      <c r="L460" t="n">
        <v>359.7958412098299</v>
      </c>
      <c r="M460">
        <f>2*SQRT(K460/PI())</f>
        <v/>
      </c>
      <c r="N460">
        <f>2*SQRT(L460/PI())</f>
        <v/>
      </c>
      <c r="P460" t="inlineStr">
        <is>
          <t>是</t>
        </is>
      </c>
      <c r="Q460" t="inlineStr">
        <is>
          <t>auto_pipeline;review_png_green</t>
        </is>
      </c>
      <c r="R460" t="inlineStr">
        <is>
          <t>样品54</t>
        </is>
      </c>
    </row>
    <row r="461">
      <c r="A461" t="n">
        <v>460</v>
      </c>
      <c r="B461" t="inlineStr">
        <is>
          <t>54 (1).tif</t>
        </is>
      </c>
      <c r="C461" t="inlineStr">
        <is>
          <t>54(1)-V09</t>
        </is>
      </c>
      <c r="D461" t="n">
        <v>9</v>
      </c>
      <c r="E461" t="inlineStr">
        <is>
          <t>primary</t>
        </is>
      </c>
      <c r="F461" t="n">
        <v>26.22873345935728</v>
      </c>
      <c r="G461">
        <f>2*SQRT(F461/PI())</f>
        <v/>
      </c>
      <c r="H461" t="n">
        <v>25.04259959511135</v>
      </c>
      <c r="I461" t="n">
        <v>932</v>
      </c>
      <c r="J461" t="n">
        <v>446</v>
      </c>
      <c r="K461" t="n">
        <v>25.70415879017013</v>
      </c>
      <c r="L461" t="n">
        <v>26.75330812854443</v>
      </c>
      <c r="M461">
        <f>2*SQRT(K461/PI())</f>
        <v/>
      </c>
      <c r="N461">
        <f>2*SQRT(L461/PI())</f>
        <v/>
      </c>
      <c r="P461" t="inlineStr">
        <is>
          <t>是</t>
        </is>
      </c>
      <c r="Q461" t="inlineStr">
        <is>
          <t>auto_pipeline;review_png_green</t>
        </is>
      </c>
      <c r="R461" t="inlineStr">
        <is>
          <t>样品54</t>
        </is>
      </c>
    </row>
    <row r="462">
      <c r="A462" t="n">
        <v>461</v>
      </c>
      <c r="B462" t="inlineStr">
        <is>
          <t>54 (2).tif</t>
        </is>
      </c>
      <c r="C462" t="inlineStr">
        <is>
          <t>54(2)-V01</t>
        </is>
      </c>
      <c r="D462" t="n">
        <v>1</v>
      </c>
      <c r="E462" t="inlineStr">
        <is>
          <t>primary</t>
        </is>
      </c>
      <c r="F462" t="n">
        <v>586.8620037807183</v>
      </c>
      <c r="G462">
        <f>2*SQRT(F462/PI())</f>
        <v/>
      </c>
      <c r="H462" t="n">
        <v>90.97286447234775</v>
      </c>
      <c r="I462" t="n">
        <v>439</v>
      </c>
      <c r="J462" t="n">
        <v>430</v>
      </c>
      <c r="K462" t="n">
        <v>575.1247637051039</v>
      </c>
      <c r="L462" t="n">
        <v>598.5992438563327</v>
      </c>
      <c r="M462">
        <f>2*SQRT(K462/PI())</f>
        <v/>
      </c>
      <c r="N462">
        <f>2*SQRT(L462/PI())</f>
        <v/>
      </c>
      <c r="P462" t="inlineStr">
        <is>
          <t>是</t>
        </is>
      </c>
      <c r="Q462" t="inlineStr">
        <is>
          <t>auto_pipeline;review_png_green</t>
        </is>
      </c>
      <c r="R462" t="inlineStr">
        <is>
          <t>样品54</t>
        </is>
      </c>
    </row>
    <row r="463">
      <c r="A463" t="n">
        <v>462</v>
      </c>
      <c r="B463" t="inlineStr">
        <is>
          <t>54 (2).tif</t>
        </is>
      </c>
      <c r="C463" t="inlineStr">
        <is>
          <t>54(2)-V02</t>
        </is>
      </c>
      <c r="D463" t="n">
        <v>2</v>
      </c>
      <c r="E463" t="inlineStr">
        <is>
          <t>primary</t>
        </is>
      </c>
      <c r="F463" t="n">
        <v>556.687145557656</v>
      </c>
      <c r="G463">
        <f>2*SQRT(F463/PI())</f>
        <v/>
      </c>
      <c r="H463" t="n">
        <v>91.10020935535431</v>
      </c>
      <c r="I463" t="n">
        <v>478</v>
      </c>
      <c r="J463" t="n">
        <v>286</v>
      </c>
      <c r="K463" t="n">
        <v>545.5534026465028</v>
      </c>
      <c r="L463" t="n">
        <v>567.8208884688091</v>
      </c>
      <c r="M463">
        <f>2*SQRT(K463/PI())</f>
        <v/>
      </c>
      <c r="N463">
        <f>2*SQRT(L463/PI())</f>
        <v/>
      </c>
      <c r="P463" t="inlineStr">
        <is>
          <t>是</t>
        </is>
      </c>
      <c r="Q463" t="inlineStr">
        <is>
          <t>auto_pipeline;review_png_green</t>
        </is>
      </c>
      <c r="R463" t="inlineStr">
        <is>
          <t>样品54</t>
        </is>
      </c>
    </row>
    <row r="464">
      <c r="A464" t="n">
        <v>463</v>
      </c>
      <c r="B464" t="inlineStr">
        <is>
          <t>54 (3).tif</t>
        </is>
      </c>
      <c r="C464" t="inlineStr">
        <is>
          <t>54(3)-V01</t>
        </is>
      </c>
      <c r="D464" t="n">
        <v>1</v>
      </c>
      <c r="E464" t="inlineStr">
        <is>
          <t>primary</t>
        </is>
      </c>
      <c r="F464" t="n">
        <v>923.2986767485822</v>
      </c>
      <c r="G464">
        <f>2*SQRT(F464/PI())</f>
        <v/>
      </c>
      <c r="H464" t="n">
        <v>115.9536660754162</v>
      </c>
      <c r="I464" t="n">
        <v>451</v>
      </c>
      <c r="J464" t="n">
        <v>429</v>
      </c>
      <c r="K464" t="n">
        <v>904.8327032136106</v>
      </c>
      <c r="L464" t="n">
        <v>941.7646502835539</v>
      </c>
      <c r="M464">
        <f>2*SQRT(K464/PI())</f>
        <v/>
      </c>
      <c r="N464">
        <f>2*SQRT(L464/PI())</f>
        <v/>
      </c>
      <c r="O464" t="inlineStr">
        <is>
          <t>54(3)-P01</t>
        </is>
      </c>
      <c r="P464" t="inlineStr">
        <is>
          <t>是</t>
        </is>
      </c>
      <c r="Q464" t="inlineStr">
        <is>
          <t>auto_pipeline;review_png_green</t>
        </is>
      </c>
      <c r="R464" t="inlineStr">
        <is>
          <t>样品54</t>
        </is>
      </c>
    </row>
    <row r="465">
      <c r="A465" t="n">
        <v>464</v>
      </c>
      <c r="B465" t="inlineStr">
        <is>
          <t>54 (3).tif</t>
        </is>
      </c>
      <c r="C465" t="inlineStr">
        <is>
          <t>54(3)-V02</t>
        </is>
      </c>
      <c r="D465" t="n">
        <v>2</v>
      </c>
      <c r="E465" t="inlineStr">
        <is>
          <t>primary</t>
        </is>
      </c>
      <c r="F465" t="n">
        <v>785.3733459357278</v>
      </c>
      <c r="G465">
        <f>2*SQRT(F465/PI())</f>
        <v/>
      </c>
      <c r="H465" t="n">
        <v>105.5407324303751</v>
      </c>
      <c r="I465" t="n">
        <v>507</v>
      </c>
      <c r="J465" t="n">
        <v>269</v>
      </c>
      <c r="K465" t="n">
        <v>769.6658790170133</v>
      </c>
      <c r="L465" t="n">
        <v>801.0808128544423</v>
      </c>
      <c r="M465">
        <f>2*SQRT(K465/PI())</f>
        <v/>
      </c>
      <c r="N465">
        <f>2*SQRT(L465/PI())</f>
        <v/>
      </c>
      <c r="O465" t="inlineStr">
        <is>
          <t>54(3)-P01</t>
        </is>
      </c>
      <c r="P465" t="inlineStr">
        <is>
          <t>是</t>
        </is>
      </c>
      <c r="Q465" t="inlineStr">
        <is>
          <t>auto_pipeline;review_png_green</t>
        </is>
      </c>
      <c r="R465" t="inlineStr">
        <is>
          <t>样品54</t>
        </is>
      </c>
    </row>
    <row r="466">
      <c r="A466" t="n">
        <v>465</v>
      </c>
      <c r="B466" t="inlineStr">
        <is>
          <t>54 (3).tif</t>
        </is>
      </c>
      <c r="C466" t="inlineStr">
        <is>
          <t>54(3)-V03</t>
        </is>
      </c>
      <c r="D466" t="n">
        <v>3</v>
      </c>
      <c r="E466" t="inlineStr">
        <is>
          <t>primary</t>
        </is>
      </c>
      <c r="F466" t="n">
        <v>294.1398865784499</v>
      </c>
      <c r="G466">
        <f>2*SQRT(F466/PI())</f>
        <v/>
      </c>
      <c r="H466" t="n">
        <v>66.35224855464438</v>
      </c>
      <c r="I466" t="n">
        <v>385</v>
      </c>
      <c r="J466" t="n">
        <v>374</v>
      </c>
      <c r="K466" t="n">
        <v>288.2570888468809</v>
      </c>
      <c r="L466" t="n">
        <v>300.0226843100189</v>
      </c>
      <c r="M466">
        <f>2*SQRT(K466/PI())</f>
        <v/>
      </c>
      <c r="N466">
        <f>2*SQRT(L466/PI())</f>
        <v/>
      </c>
      <c r="P466" t="inlineStr">
        <is>
          <t>是</t>
        </is>
      </c>
      <c r="Q466" t="inlineStr">
        <is>
          <t>auto_pipeline;review_png_green</t>
        </is>
      </c>
      <c r="R466" t="inlineStr">
        <is>
          <t>样品54</t>
        </is>
      </c>
    </row>
    <row r="467">
      <c r="A467" t="n">
        <v>466</v>
      </c>
      <c r="B467" t="inlineStr">
        <is>
          <t>54 (3).tif</t>
        </is>
      </c>
      <c r="C467" t="inlineStr">
        <is>
          <t>54(3)-V04</t>
        </is>
      </c>
      <c r="D467" t="n">
        <v>4</v>
      </c>
      <c r="E467" t="inlineStr">
        <is>
          <t>primary</t>
        </is>
      </c>
      <c r="F467" t="n">
        <v>148.0151228733459</v>
      </c>
      <c r="G467">
        <f>2*SQRT(F467/PI())</f>
        <v/>
      </c>
      <c r="H467" t="n">
        <v>47.35290755396304</v>
      </c>
      <c r="I467" t="n">
        <v>784</v>
      </c>
      <c r="J467" t="n">
        <v>565</v>
      </c>
      <c r="K467" t="n">
        <v>145.054820415879</v>
      </c>
      <c r="L467" t="n">
        <v>150.9754253308129</v>
      </c>
      <c r="M467">
        <f>2*SQRT(K467/PI())</f>
        <v/>
      </c>
      <c r="N467">
        <f>2*SQRT(L467/PI())</f>
        <v/>
      </c>
      <c r="P467" t="inlineStr">
        <is>
          <t>是</t>
        </is>
      </c>
      <c r="Q467" t="inlineStr">
        <is>
          <t>auto_pipeline;review_png_green</t>
        </is>
      </c>
      <c r="R467" t="inlineStr">
        <is>
          <t>样品54</t>
        </is>
      </c>
    </row>
    <row r="468">
      <c r="A468" t="n">
        <v>467</v>
      </c>
      <c r="B468" t="inlineStr">
        <is>
          <t>54 (4).tif</t>
        </is>
      </c>
      <c r="C468" t="inlineStr">
        <is>
          <t>54(4)-V01</t>
        </is>
      </c>
      <c r="D468" t="n">
        <v>1</v>
      </c>
      <c r="E468" t="inlineStr">
        <is>
          <t>primary</t>
        </is>
      </c>
      <c r="F468" t="n">
        <v>749.5037807183365</v>
      </c>
      <c r="G468">
        <f>2*SQRT(F468/PI())</f>
        <v/>
      </c>
      <c r="H468" t="n">
        <v>103.4414163102274</v>
      </c>
      <c r="I468" t="n">
        <v>925</v>
      </c>
      <c r="J468" t="n">
        <v>122</v>
      </c>
      <c r="K468" t="n">
        <v>734.5137051039698</v>
      </c>
      <c r="L468" t="n">
        <v>764.4938563327033</v>
      </c>
      <c r="M468">
        <f>2*SQRT(K468/PI())</f>
        <v/>
      </c>
      <c r="N468">
        <f>2*SQRT(L468/PI())</f>
        <v/>
      </c>
      <c r="P468" t="inlineStr">
        <is>
          <t>是</t>
        </is>
      </c>
      <c r="Q468" t="inlineStr">
        <is>
          <t>auto_pipeline;review_png_green</t>
        </is>
      </c>
      <c r="R468" t="inlineStr">
        <is>
          <t>样品54</t>
        </is>
      </c>
    </row>
    <row r="469">
      <c r="A469" t="n">
        <v>468</v>
      </c>
      <c r="B469" t="inlineStr">
        <is>
          <t>54 (4).tif</t>
        </is>
      </c>
      <c r="C469" t="inlineStr">
        <is>
          <t>54(4)-V02</t>
        </is>
      </c>
      <c r="D469" t="n">
        <v>2</v>
      </c>
      <c r="E469" t="inlineStr">
        <is>
          <t>primary</t>
        </is>
      </c>
      <c r="F469" t="n">
        <v>541.7060491493384</v>
      </c>
      <c r="G469">
        <f>2*SQRT(F469/PI())</f>
        <v/>
      </c>
      <c r="H469" t="n">
        <v>87.26176280042399</v>
      </c>
      <c r="I469" t="n">
        <v>516</v>
      </c>
      <c r="J469" t="n">
        <v>309</v>
      </c>
      <c r="K469" t="n">
        <v>530.8719281663516</v>
      </c>
      <c r="L469" t="n">
        <v>552.5401701323251</v>
      </c>
      <c r="M469">
        <f>2*SQRT(K469/PI())</f>
        <v/>
      </c>
      <c r="N469">
        <f>2*SQRT(L469/PI())</f>
        <v/>
      </c>
      <c r="P469" t="inlineStr">
        <is>
          <t>是</t>
        </is>
      </c>
      <c r="Q469" t="inlineStr">
        <is>
          <t>auto_pipeline;review_png_green</t>
        </is>
      </c>
      <c r="R469" t="inlineStr">
        <is>
          <t>样品54</t>
        </is>
      </c>
    </row>
    <row r="470">
      <c r="A470" t="n">
        <v>469</v>
      </c>
      <c r="B470" t="inlineStr">
        <is>
          <t>54 (4).tif</t>
        </is>
      </c>
      <c r="C470" t="inlineStr">
        <is>
          <t>54(4)-V03</t>
        </is>
      </c>
      <c r="D470" t="n">
        <v>3</v>
      </c>
      <c r="E470" t="inlineStr">
        <is>
          <t>primary</t>
        </is>
      </c>
      <c r="F470" t="n">
        <v>541.4933837429112</v>
      </c>
      <c r="G470">
        <f>2*SQRT(F470/PI())</f>
        <v/>
      </c>
      <c r="H470" t="n">
        <v>87.13441791741744</v>
      </c>
      <c r="I470" t="n">
        <v>418</v>
      </c>
      <c r="J470" t="n">
        <v>420</v>
      </c>
      <c r="K470" t="n">
        <v>530.663516068053</v>
      </c>
      <c r="L470" t="n">
        <v>552.3232514177694</v>
      </c>
      <c r="M470">
        <f>2*SQRT(K470/PI())</f>
        <v/>
      </c>
      <c r="N470">
        <f>2*SQRT(L470/PI())</f>
        <v/>
      </c>
      <c r="P470" t="inlineStr">
        <is>
          <t>是</t>
        </is>
      </c>
      <c r="Q470" t="inlineStr">
        <is>
          <t>auto_pipeline;review_png_green</t>
        </is>
      </c>
      <c r="R470" t="inlineStr">
        <is>
          <t>样品54</t>
        </is>
      </c>
    </row>
    <row r="471">
      <c r="A471" t="n">
        <v>470</v>
      </c>
      <c r="B471" t="inlineStr">
        <is>
          <t>54 (4).tif</t>
        </is>
      </c>
      <c r="C471" t="inlineStr">
        <is>
          <t>54(4)-V04</t>
        </is>
      </c>
      <c r="D471" t="n">
        <v>4</v>
      </c>
      <c r="E471" t="inlineStr">
        <is>
          <t>primary</t>
        </is>
      </c>
      <c r="F471" t="n">
        <v>390.9499054820416</v>
      </c>
      <c r="G471">
        <f>2*SQRT(F471/PI())</f>
        <v/>
      </c>
      <c r="H471" t="n">
        <v>74.77136199888976</v>
      </c>
      <c r="I471" t="n">
        <v>291</v>
      </c>
      <c r="J471" t="n">
        <v>555</v>
      </c>
      <c r="K471" t="n">
        <v>383.1309073724007</v>
      </c>
      <c r="L471" t="n">
        <v>398.7689035916824</v>
      </c>
      <c r="M471">
        <f>2*SQRT(K471/PI())</f>
        <v/>
      </c>
      <c r="N471">
        <f>2*SQRT(L471/PI())</f>
        <v/>
      </c>
      <c r="P471" t="inlineStr">
        <is>
          <t>是</t>
        </is>
      </c>
      <c r="Q471" t="inlineStr">
        <is>
          <t>auto_pipeline;review_png_green</t>
        </is>
      </c>
      <c r="R471" t="inlineStr">
        <is>
          <t>样品54</t>
        </is>
      </c>
    </row>
    <row r="472">
      <c r="A472" t="n">
        <v>471</v>
      </c>
      <c r="B472" t="inlineStr">
        <is>
          <t>54 (4).tif</t>
        </is>
      </c>
      <c r="C472" t="inlineStr">
        <is>
          <t>54(4)-V05</t>
        </is>
      </c>
      <c r="D472" t="n">
        <v>5</v>
      </c>
      <c r="E472" t="inlineStr">
        <is>
          <t>primary</t>
        </is>
      </c>
      <c r="F472" t="n">
        <v>382.2306238185255</v>
      </c>
      <c r="G472">
        <f>2*SQRT(F472/PI())</f>
        <v/>
      </c>
      <c r="H472" t="n">
        <v>73.7744518984919</v>
      </c>
      <c r="I472" t="n">
        <v>781</v>
      </c>
      <c r="J472" t="n">
        <v>551</v>
      </c>
      <c r="K472" t="n">
        <v>374.586011342155</v>
      </c>
      <c r="L472" t="n">
        <v>389.8752362948961</v>
      </c>
      <c r="M472">
        <f>2*SQRT(K472/PI())</f>
        <v/>
      </c>
      <c r="N472">
        <f>2*SQRT(L472/PI())</f>
        <v/>
      </c>
      <c r="P472" t="inlineStr">
        <is>
          <t>是</t>
        </is>
      </c>
      <c r="Q472" t="inlineStr">
        <is>
          <t>auto_pipeline;review_png_green</t>
        </is>
      </c>
      <c r="R472" t="inlineStr">
        <is>
          <t>样品54</t>
        </is>
      </c>
    </row>
    <row r="473">
      <c r="A473" t="n">
        <v>472</v>
      </c>
      <c r="B473" t="inlineStr">
        <is>
          <t>54 (4).tif</t>
        </is>
      </c>
      <c r="C473" t="inlineStr">
        <is>
          <t>54(4)-V06</t>
        </is>
      </c>
      <c r="D473" t="n">
        <v>6</v>
      </c>
      <c r="E473" t="inlineStr">
        <is>
          <t>primary</t>
        </is>
      </c>
      <c r="F473" t="n">
        <v>290.9026465028355</v>
      </c>
      <c r="G473">
        <f>2*SQRT(F473/PI())</f>
        <v/>
      </c>
      <c r="H473" t="n">
        <v>64.52947116416433</v>
      </c>
      <c r="I473" t="n">
        <v>715</v>
      </c>
      <c r="J473" t="n">
        <v>320</v>
      </c>
      <c r="K473" t="n">
        <v>285.0845935727788</v>
      </c>
      <c r="L473" t="n">
        <v>296.7206994328922</v>
      </c>
      <c r="M473">
        <f>2*SQRT(K473/PI())</f>
        <v/>
      </c>
      <c r="N473">
        <f>2*SQRT(L473/PI())</f>
        <v/>
      </c>
      <c r="P473" t="inlineStr">
        <is>
          <t>是</t>
        </is>
      </c>
      <c r="Q473" t="inlineStr">
        <is>
          <t>auto_pipeline;review_png_green</t>
        </is>
      </c>
      <c r="R473" t="inlineStr">
        <is>
          <t>样品54</t>
        </is>
      </c>
    </row>
    <row r="474">
      <c r="A474" t="n">
        <v>473</v>
      </c>
      <c r="B474" t="inlineStr">
        <is>
          <t>54 (5).tif</t>
        </is>
      </c>
      <c r="C474" t="inlineStr">
        <is>
          <t>54(5)-V01</t>
        </is>
      </c>
      <c r="D474" t="n">
        <v>1</v>
      </c>
      <c r="E474" t="inlineStr">
        <is>
          <t>primary</t>
        </is>
      </c>
      <c r="F474" t="n">
        <v>896.0538752362949</v>
      </c>
      <c r="G474">
        <f>2*SQRT(F474/PI())</f>
        <v/>
      </c>
      <c r="H474" t="n">
        <v>112.8574398548707</v>
      </c>
      <c r="I474" t="n">
        <v>129</v>
      </c>
      <c r="J474" t="n">
        <v>234</v>
      </c>
      <c r="K474" t="n">
        <v>878.132797731569</v>
      </c>
      <c r="L474" t="n">
        <v>913.9749527410207</v>
      </c>
      <c r="M474">
        <f>2*SQRT(K474/PI())</f>
        <v/>
      </c>
      <c r="N474">
        <f>2*SQRT(L474/PI())</f>
        <v/>
      </c>
      <c r="P474" t="inlineStr">
        <is>
          <t>是</t>
        </is>
      </c>
      <c r="Q474" t="inlineStr">
        <is>
          <t>auto_pipeline;review_png_green</t>
        </is>
      </c>
      <c r="R474" t="inlineStr">
        <is>
          <t>样品54</t>
        </is>
      </c>
    </row>
    <row r="475">
      <c r="A475" t="n">
        <v>474</v>
      </c>
      <c r="B475" t="inlineStr">
        <is>
          <t>54 (5).tif</t>
        </is>
      </c>
      <c r="C475" t="inlineStr">
        <is>
          <t>54(5)-V02</t>
        </is>
      </c>
      <c r="D475" t="n">
        <v>2</v>
      </c>
      <c r="E475" t="inlineStr">
        <is>
          <t>primary</t>
        </is>
      </c>
      <c r="F475" t="n">
        <v>811.2948960302457</v>
      </c>
      <c r="G475">
        <f>2*SQRT(F475/PI())</f>
        <v/>
      </c>
      <c r="H475" t="n">
        <v>106.7923322967861</v>
      </c>
      <c r="I475" t="n">
        <v>401</v>
      </c>
      <c r="J475" t="n">
        <v>369</v>
      </c>
      <c r="K475" t="n">
        <v>795.0689981096408</v>
      </c>
      <c r="L475" t="n">
        <v>827.5207939508506</v>
      </c>
      <c r="M475">
        <f>2*SQRT(K475/PI())</f>
        <v/>
      </c>
      <c r="N475">
        <f>2*SQRT(L475/PI())</f>
        <v/>
      </c>
      <c r="P475" t="inlineStr">
        <is>
          <t>是</t>
        </is>
      </c>
      <c r="Q475" t="inlineStr">
        <is>
          <t>auto_pipeline;review_png_green</t>
        </is>
      </c>
      <c r="R475" t="inlineStr">
        <is>
          <t>样品54</t>
        </is>
      </c>
    </row>
    <row r="476">
      <c r="A476" t="n">
        <v>475</v>
      </c>
      <c r="B476" t="inlineStr">
        <is>
          <t>54 (5).tif</t>
        </is>
      </c>
      <c r="C476" t="inlineStr">
        <is>
          <t>54(5)-V03</t>
        </is>
      </c>
      <c r="D476" t="n">
        <v>3</v>
      </c>
      <c r="E476" t="inlineStr">
        <is>
          <t>primary</t>
        </is>
      </c>
      <c r="F476" t="n">
        <v>748.2041587901701</v>
      </c>
      <c r="G476">
        <f>2*SQRT(F476/PI())</f>
        <v/>
      </c>
      <c r="H476" t="n">
        <v>102.5937000564907</v>
      </c>
      <c r="I476" t="n">
        <v>568</v>
      </c>
      <c r="J476" t="n">
        <v>380</v>
      </c>
      <c r="K476" t="n">
        <v>733.2400756143667</v>
      </c>
      <c r="L476" t="n">
        <v>763.1682419659736</v>
      </c>
      <c r="M476">
        <f>2*SQRT(K476/PI())</f>
        <v/>
      </c>
      <c r="N476">
        <f>2*SQRT(L476/PI())</f>
        <v/>
      </c>
      <c r="P476" t="inlineStr">
        <is>
          <t>是</t>
        </is>
      </c>
      <c r="Q476" t="inlineStr">
        <is>
          <t>auto_pipeline;review_png_green</t>
        </is>
      </c>
      <c r="R476" t="inlineStr">
        <is>
          <t>样品54</t>
        </is>
      </c>
    </row>
    <row r="477">
      <c r="A477" t="n">
        <v>476</v>
      </c>
      <c r="B477" t="inlineStr">
        <is>
          <t>54 (5).tif</t>
        </is>
      </c>
      <c r="C477" t="inlineStr">
        <is>
          <t>54(5)-V04</t>
        </is>
      </c>
      <c r="D477" t="n">
        <v>4</v>
      </c>
      <c r="E477" t="inlineStr">
        <is>
          <t>primary</t>
        </is>
      </c>
      <c r="F477" t="n">
        <v>204.9621928166352</v>
      </c>
      <c r="G477">
        <f>2*SQRT(F477/PI())</f>
        <v/>
      </c>
      <c r="H477" t="n">
        <v>55.38998634918876</v>
      </c>
      <c r="I477" t="n">
        <v>797</v>
      </c>
      <c r="J477" t="n">
        <v>609</v>
      </c>
      <c r="K477" t="n">
        <v>200.8629489603024</v>
      </c>
      <c r="L477" t="n">
        <v>209.0614366729679</v>
      </c>
      <c r="M477">
        <f>2*SQRT(K477/PI())</f>
        <v/>
      </c>
      <c r="N477">
        <f>2*SQRT(L477/PI())</f>
        <v/>
      </c>
      <c r="P477" t="inlineStr">
        <is>
          <t>是</t>
        </is>
      </c>
      <c r="Q477" t="inlineStr">
        <is>
          <t>auto_pipeline;review_png_green</t>
        </is>
      </c>
      <c r="R477" t="inlineStr">
        <is>
          <t>样品54</t>
        </is>
      </c>
    </row>
    <row r="478">
      <c r="A478" t="n">
        <v>477</v>
      </c>
      <c r="B478" t="inlineStr">
        <is>
          <t>54 (5).tif</t>
        </is>
      </c>
      <c r="C478" t="inlineStr">
        <is>
          <t>54(5)-V05</t>
        </is>
      </c>
      <c r="D478" t="n">
        <v>5</v>
      </c>
      <c r="E478" t="inlineStr">
        <is>
          <t>primary</t>
        </is>
      </c>
      <c r="F478" t="n">
        <v>149.2202268431002</v>
      </c>
      <c r="G478">
        <f>2*SQRT(F478/PI())</f>
        <v/>
      </c>
      <c r="H478" t="n">
        <v>51.9335744432781</v>
      </c>
      <c r="I478" t="n">
        <v>869</v>
      </c>
      <c r="J478" t="n">
        <v>539</v>
      </c>
      <c r="K478" t="n">
        <v>146.2358223062382</v>
      </c>
      <c r="L478" t="n">
        <v>152.2046313799622</v>
      </c>
      <c r="M478">
        <f>2*SQRT(K478/PI())</f>
        <v/>
      </c>
      <c r="N478">
        <f>2*SQRT(L478/PI())</f>
        <v/>
      </c>
      <c r="P478" t="inlineStr">
        <is>
          <t>是</t>
        </is>
      </c>
      <c r="Q478" t="inlineStr">
        <is>
          <t>auto_pipeline;review_png_green</t>
        </is>
      </c>
      <c r="R478" t="inlineStr">
        <is>
          <t>样品54</t>
        </is>
      </c>
    </row>
    <row r="479">
      <c r="A479" t="n">
        <v>478</v>
      </c>
      <c r="B479" t="inlineStr">
        <is>
          <t>54 (5).tif</t>
        </is>
      </c>
      <c r="C479" t="inlineStr">
        <is>
          <t>54(5)-V06</t>
        </is>
      </c>
      <c r="D479" t="n">
        <v>6</v>
      </c>
      <c r="E479" t="inlineStr">
        <is>
          <t>primary</t>
        </is>
      </c>
      <c r="F479" t="n">
        <v>127.4102079395085</v>
      </c>
      <c r="G479">
        <f>2*SQRT(F479/PI())</f>
        <v/>
      </c>
      <c r="H479" t="n">
        <v>53.84374768837638</v>
      </c>
      <c r="I479" t="n">
        <v>621</v>
      </c>
      <c r="J479" t="n">
        <v>555</v>
      </c>
      <c r="K479" t="n">
        <v>124.8620037807183</v>
      </c>
      <c r="L479" t="n">
        <v>129.9584120982987</v>
      </c>
      <c r="M479">
        <f>2*SQRT(K479/PI())</f>
        <v/>
      </c>
      <c r="N479">
        <f>2*SQRT(L479/PI())</f>
        <v/>
      </c>
      <c r="P479" t="inlineStr">
        <is>
          <t>是</t>
        </is>
      </c>
      <c r="Q479" t="inlineStr">
        <is>
          <t>auto_pipeline;review_png_green</t>
        </is>
      </c>
      <c r="R479" t="inlineStr">
        <is>
          <t>样品54</t>
        </is>
      </c>
    </row>
    <row r="480">
      <c r="A480" t="n">
        <v>479</v>
      </c>
      <c r="B480" t="inlineStr">
        <is>
          <t>54 (6).tif</t>
        </is>
      </c>
      <c r="C480" t="inlineStr">
        <is>
          <t>54(6)-V01</t>
        </is>
      </c>
      <c r="D480" t="n">
        <v>1</v>
      </c>
      <c r="E480" t="inlineStr">
        <is>
          <t>primary</t>
        </is>
      </c>
      <c r="F480" t="n">
        <v>873.9130434782609</v>
      </c>
      <c r="G480">
        <f>2*SQRT(F480/PI())</f>
        <v/>
      </c>
      <c r="H480" t="n">
        <v>111.8605297544728</v>
      </c>
      <c r="I480" t="n">
        <v>905</v>
      </c>
      <c r="J480" t="n">
        <v>147</v>
      </c>
      <c r="K480" t="n">
        <v>856.4347826086956</v>
      </c>
      <c r="L480" t="n">
        <v>891.3913043478261</v>
      </c>
      <c r="M480">
        <f>2*SQRT(K480/PI())</f>
        <v/>
      </c>
      <c r="N480">
        <f>2*SQRT(L480/PI())</f>
        <v/>
      </c>
      <c r="P480" t="inlineStr">
        <is>
          <t>是</t>
        </is>
      </c>
      <c r="Q480" t="inlineStr">
        <is>
          <t>auto_pipeline;review_png_green</t>
        </is>
      </c>
      <c r="R480" t="inlineStr">
        <is>
          <t>样品54</t>
        </is>
      </c>
    </row>
    <row r="481">
      <c r="A481" t="n">
        <v>480</v>
      </c>
      <c r="B481" t="inlineStr">
        <is>
          <t>54 (6).tif</t>
        </is>
      </c>
      <c r="C481" t="inlineStr">
        <is>
          <t>54(6)-V02</t>
        </is>
      </c>
      <c r="D481" t="n">
        <v>2</v>
      </c>
      <c r="E481" t="inlineStr">
        <is>
          <t>primary</t>
        </is>
      </c>
      <c r="F481" t="n">
        <v>844.7069943289225</v>
      </c>
      <c r="G481">
        <f>2*SQRT(F481/PI())</f>
        <v/>
      </c>
      <c r="H481" t="n">
        <v>111.2456543030946</v>
      </c>
      <c r="I481" t="n">
        <v>105</v>
      </c>
      <c r="J481" t="n">
        <v>581</v>
      </c>
      <c r="K481" t="n">
        <v>827.812854442344</v>
      </c>
      <c r="L481" t="n">
        <v>861.601134215501</v>
      </c>
      <c r="M481">
        <f>2*SQRT(K481/PI())</f>
        <v/>
      </c>
      <c r="N481">
        <f>2*SQRT(L481/PI())</f>
        <v/>
      </c>
      <c r="P481" t="inlineStr">
        <is>
          <t>是</t>
        </is>
      </c>
      <c r="Q481" t="inlineStr">
        <is>
          <t>auto_pipeline;review_png_green</t>
        </is>
      </c>
      <c r="R481" t="inlineStr">
        <is>
          <t>样品54</t>
        </is>
      </c>
    </row>
    <row r="482">
      <c r="A482" t="n">
        <v>481</v>
      </c>
      <c r="B482" t="inlineStr">
        <is>
          <t>54 (6).tif</t>
        </is>
      </c>
      <c r="C482" t="inlineStr">
        <is>
          <t>54(6)-V03</t>
        </is>
      </c>
      <c r="D482" t="n">
        <v>3</v>
      </c>
      <c r="E482" t="inlineStr">
        <is>
          <t>primary</t>
        </is>
      </c>
      <c r="F482" t="n">
        <v>579.6313799621928</v>
      </c>
      <c r="G482">
        <f>2*SQRT(F482/PI())</f>
        <v/>
      </c>
      <c r="H482" t="n">
        <v>90.10329925495645</v>
      </c>
      <c r="I482" t="n">
        <v>392</v>
      </c>
      <c r="J482" t="n">
        <v>378</v>
      </c>
      <c r="K482" t="n">
        <v>568.0387523629489</v>
      </c>
      <c r="L482" t="n">
        <v>591.2240075614367</v>
      </c>
      <c r="M482">
        <f>2*SQRT(K482/PI())</f>
        <v/>
      </c>
      <c r="N482">
        <f>2*SQRT(L482/PI())</f>
        <v/>
      </c>
      <c r="O482" t="inlineStr">
        <is>
          <t>54(6)-P01</t>
        </is>
      </c>
      <c r="P482" t="inlineStr">
        <is>
          <t>是</t>
        </is>
      </c>
      <c r="Q482" t="inlineStr">
        <is>
          <t>auto_pipeline;review_png_green</t>
        </is>
      </c>
      <c r="R482" t="inlineStr">
        <is>
          <t>样品54</t>
        </is>
      </c>
    </row>
    <row r="483">
      <c r="A483" t="n">
        <v>482</v>
      </c>
      <c r="B483" t="inlineStr">
        <is>
          <t>54 (6).tif</t>
        </is>
      </c>
      <c r="C483" t="inlineStr">
        <is>
          <t>54(6)-V04</t>
        </is>
      </c>
      <c r="D483" t="n">
        <v>4</v>
      </c>
      <c r="E483" t="inlineStr">
        <is>
          <t>primary</t>
        </is>
      </c>
      <c r="F483" t="n">
        <v>437.8071833648393</v>
      </c>
      <c r="G483">
        <f>2*SQRT(F483/PI())</f>
        <v/>
      </c>
      <c r="H483" t="n">
        <v>78.99184320283972</v>
      </c>
      <c r="I483" t="n">
        <v>519</v>
      </c>
      <c r="J483" t="n">
        <v>397</v>
      </c>
      <c r="K483" t="n">
        <v>429.0510396975425</v>
      </c>
      <c r="L483" t="n">
        <v>446.5633270321361</v>
      </c>
      <c r="M483">
        <f>2*SQRT(K483/PI())</f>
        <v/>
      </c>
      <c r="N483">
        <f>2*SQRT(L483/PI())</f>
        <v/>
      </c>
      <c r="O483" t="inlineStr">
        <is>
          <t>54(6)-P01</t>
        </is>
      </c>
      <c r="P483" t="inlineStr">
        <is>
          <t>是</t>
        </is>
      </c>
      <c r="Q483" t="inlineStr">
        <is>
          <t>auto_pipeline;review_png_green</t>
        </is>
      </c>
      <c r="R483" t="inlineStr">
        <is>
          <t>样品54</t>
        </is>
      </c>
    </row>
    <row r="484">
      <c r="A484" t="n">
        <v>483</v>
      </c>
      <c r="B484" t="inlineStr">
        <is>
          <t>54 (7).tif</t>
        </is>
      </c>
      <c r="C484" t="inlineStr">
        <is>
          <t>54(7)-V01</t>
        </is>
      </c>
      <c r="D484" t="n">
        <v>1</v>
      </c>
      <c r="E484" t="inlineStr">
        <is>
          <t>primary</t>
        </is>
      </c>
      <c r="F484" t="n">
        <v>940.8790170132326</v>
      </c>
      <c r="G484">
        <f>2*SQRT(F484/PI())</f>
        <v/>
      </c>
      <c r="H484" t="n">
        <v>117.6490985828897</v>
      </c>
      <c r="I484" t="n">
        <v>435</v>
      </c>
      <c r="J484" t="n">
        <v>383</v>
      </c>
      <c r="K484" t="n">
        <v>922.0614366729679</v>
      </c>
      <c r="L484" t="n">
        <v>959.6965973534972</v>
      </c>
      <c r="M484">
        <f>2*SQRT(K484/PI())</f>
        <v/>
      </c>
      <c r="N484">
        <f>2*SQRT(L484/PI())</f>
        <v/>
      </c>
      <c r="P484" t="inlineStr">
        <is>
          <t>是</t>
        </is>
      </c>
      <c r="Q484" t="inlineStr">
        <is>
          <t>auto_pipeline;review_png_green</t>
        </is>
      </c>
      <c r="R484" t="inlineStr">
        <is>
          <t>样品54</t>
        </is>
      </c>
    </row>
    <row r="485">
      <c r="A485" t="n">
        <v>484</v>
      </c>
      <c r="B485" t="inlineStr">
        <is>
          <t>54 (7).tif</t>
        </is>
      </c>
      <c r="C485" t="inlineStr">
        <is>
          <t>54(7)-V02</t>
        </is>
      </c>
      <c r="D485" t="n">
        <v>2</v>
      </c>
      <c r="E485" t="inlineStr">
        <is>
          <t>primary</t>
        </is>
      </c>
      <c r="F485" t="n">
        <v>558.624763705104</v>
      </c>
      <c r="G485">
        <f>2*SQRT(F485/PI())</f>
        <v/>
      </c>
      <c r="H485" t="n">
        <v>90.230644137963</v>
      </c>
      <c r="I485" t="n">
        <v>558</v>
      </c>
      <c r="J485" t="n">
        <v>314</v>
      </c>
      <c r="K485" t="n">
        <v>547.4522684310019</v>
      </c>
      <c r="L485" t="n">
        <v>569.797258979206</v>
      </c>
      <c r="M485">
        <f>2*SQRT(K485/PI())</f>
        <v/>
      </c>
      <c r="N485">
        <f>2*SQRT(L485/PI())</f>
        <v/>
      </c>
      <c r="P485" t="inlineStr">
        <is>
          <t>是</t>
        </is>
      </c>
      <c r="Q485" t="inlineStr">
        <is>
          <t>auto_pipeline;review_png_green</t>
        </is>
      </c>
      <c r="R485" t="inlineStr">
        <is>
          <t>样品54</t>
        </is>
      </c>
    </row>
    <row r="486">
      <c r="A486" t="n">
        <v>485</v>
      </c>
      <c r="B486" t="inlineStr">
        <is>
          <t>54 (7).tif</t>
        </is>
      </c>
      <c r="C486" t="inlineStr">
        <is>
          <t>54(7)-V03</t>
        </is>
      </c>
      <c r="D486" t="n">
        <v>3</v>
      </c>
      <c r="E486" t="inlineStr">
        <is>
          <t>primary</t>
        </is>
      </c>
      <c r="F486" t="n">
        <v>556.3563327032136</v>
      </c>
      <c r="G486">
        <f>2*SQRT(F486/PI())</f>
        <v/>
      </c>
      <c r="H486" t="n">
        <v>92.58465002412382</v>
      </c>
      <c r="I486" t="n">
        <v>838</v>
      </c>
      <c r="J486" t="n">
        <v>532</v>
      </c>
      <c r="K486" t="n">
        <v>545.2292060491494</v>
      </c>
      <c r="L486" t="n">
        <v>567.4834593572779</v>
      </c>
      <c r="M486">
        <f>2*SQRT(K486/PI())</f>
        <v/>
      </c>
      <c r="N486">
        <f>2*SQRT(L486/PI())</f>
        <v/>
      </c>
      <c r="P486" t="inlineStr">
        <is>
          <t>是</t>
        </is>
      </c>
      <c r="Q486" t="inlineStr">
        <is>
          <t>auto_pipeline;review_png_green</t>
        </is>
      </c>
      <c r="R486" t="inlineStr">
        <is>
          <t>样品54</t>
        </is>
      </c>
    </row>
    <row r="487">
      <c r="A487" t="n">
        <v>486</v>
      </c>
      <c r="B487" t="inlineStr">
        <is>
          <t>54 (7).tif</t>
        </is>
      </c>
      <c r="C487" t="inlineStr">
        <is>
          <t>54(7)-V04</t>
        </is>
      </c>
      <c r="D487" t="n">
        <v>4</v>
      </c>
      <c r="E487" t="inlineStr">
        <is>
          <t>primary</t>
        </is>
      </c>
      <c r="F487" t="n">
        <v>147.069943289225</v>
      </c>
      <c r="G487">
        <f>2*SQRT(F487/PI())</f>
        <v/>
      </c>
      <c r="H487" t="n">
        <v>54.17833551116612</v>
      </c>
      <c r="I487" t="n">
        <v>902</v>
      </c>
      <c r="J487" t="n">
        <v>631</v>
      </c>
      <c r="K487" t="n">
        <v>144.1285444234405</v>
      </c>
      <c r="L487" t="n">
        <v>150.0113421550095</v>
      </c>
      <c r="M487">
        <f>2*SQRT(K487/PI())</f>
        <v/>
      </c>
      <c r="N487">
        <f>2*SQRT(L487/PI())</f>
        <v/>
      </c>
      <c r="P487" t="inlineStr">
        <is>
          <t>是</t>
        </is>
      </c>
      <c r="Q487" t="inlineStr">
        <is>
          <t>auto_pipeline;review_png_green</t>
        </is>
      </c>
      <c r="R487" t="inlineStr">
        <is>
          <t>样品54</t>
        </is>
      </c>
    </row>
    <row r="488">
      <c r="A488" t="n">
        <v>487</v>
      </c>
      <c r="B488" t="inlineStr">
        <is>
          <t>54 (8).tif</t>
        </is>
      </c>
      <c r="C488" t="inlineStr">
        <is>
          <t>54(8)-V01</t>
        </is>
      </c>
      <c r="D488" t="n">
        <v>1</v>
      </c>
      <c r="E488" t="inlineStr">
        <is>
          <t>primary</t>
        </is>
      </c>
      <c r="F488" t="n">
        <v>890.3355387523629</v>
      </c>
      <c r="G488">
        <f>2*SQRT(F488/PI())</f>
        <v/>
      </c>
      <c r="H488" t="n">
        <v>111.7331848714663</v>
      </c>
      <c r="I488" t="n">
        <v>442</v>
      </c>
      <c r="J488" t="n">
        <v>438</v>
      </c>
      <c r="K488" t="n">
        <v>872.5288279773157</v>
      </c>
      <c r="L488" t="n">
        <v>908.1422495274102</v>
      </c>
      <c r="M488">
        <f>2*SQRT(K488/PI())</f>
        <v/>
      </c>
      <c r="N488">
        <f>2*SQRT(L488/PI())</f>
        <v/>
      </c>
      <c r="P488" t="inlineStr">
        <is>
          <t>是</t>
        </is>
      </c>
      <c r="Q488" t="inlineStr">
        <is>
          <t>auto_pipeline;review_png_green</t>
        </is>
      </c>
      <c r="R488" t="inlineStr">
        <is>
          <t>样品54</t>
        </is>
      </c>
    </row>
    <row r="489">
      <c r="A489" t="n">
        <v>488</v>
      </c>
      <c r="B489" t="inlineStr">
        <is>
          <t>54 (8).tif</t>
        </is>
      </c>
      <c r="C489" t="inlineStr">
        <is>
          <t>54(8)-V02</t>
        </is>
      </c>
      <c r="D489" t="n">
        <v>2</v>
      </c>
      <c r="E489" t="inlineStr">
        <is>
          <t>primary</t>
        </is>
      </c>
      <c r="F489" t="n">
        <v>753.1899810964084</v>
      </c>
      <c r="G489">
        <f>2*SQRT(F489/PI())</f>
        <v/>
      </c>
      <c r="H489" t="n">
        <v>103.4414163102274</v>
      </c>
      <c r="I489" t="n">
        <v>876</v>
      </c>
      <c r="J489" t="n">
        <v>503</v>
      </c>
      <c r="K489" t="n">
        <v>738.1261814744802</v>
      </c>
      <c r="L489" t="n">
        <v>768.2537807183365</v>
      </c>
      <c r="M489">
        <f>2*SQRT(K489/PI())</f>
        <v/>
      </c>
      <c r="N489">
        <f>2*SQRT(L489/PI())</f>
        <v/>
      </c>
      <c r="P489" t="inlineStr">
        <is>
          <t>是</t>
        </is>
      </c>
      <c r="Q489" t="inlineStr">
        <is>
          <t>auto_pipeline;review_png_green</t>
        </is>
      </c>
      <c r="R489" t="inlineStr">
        <is>
          <t>样品54</t>
        </is>
      </c>
    </row>
    <row r="490">
      <c r="A490" t="n">
        <v>489</v>
      </c>
      <c r="B490" t="inlineStr">
        <is>
          <t>54 (8).tif</t>
        </is>
      </c>
      <c r="C490" t="inlineStr">
        <is>
          <t>54(8)-V03</t>
        </is>
      </c>
      <c r="D490" t="n">
        <v>3</v>
      </c>
      <c r="E490" t="inlineStr">
        <is>
          <t>primary</t>
        </is>
      </c>
      <c r="F490" t="n">
        <v>708.624763705104</v>
      </c>
      <c r="G490">
        <f>2*SQRT(F490/PI())</f>
        <v/>
      </c>
      <c r="H490" t="n">
        <v>100.3670390533364</v>
      </c>
      <c r="I490" t="n">
        <v>245</v>
      </c>
      <c r="J490" t="n">
        <v>90</v>
      </c>
      <c r="K490" t="n">
        <v>694.4522684310019</v>
      </c>
      <c r="L490" t="n">
        <v>722.797258979206</v>
      </c>
      <c r="M490">
        <f>2*SQRT(K490/PI())</f>
        <v/>
      </c>
      <c r="N490">
        <f>2*SQRT(L490/PI())</f>
        <v/>
      </c>
      <c r="P490" t="inlineStr">
        <is>
          <t>是</t>
        </is>
      </c>
      <c r="Q490" t="inlineStr">
        <is>
          <t>auto_pipeline;review_png_green</t>
        </is>
      </c>
      <c r="R490" t="inlineStr">
        <is>
          <t>样品54</t>
        </is>
      </c>
    </row>
    <row r="491">
      <c r="A491" t="n">
        <v>490</v>
      </c>
      <c r="B491" t="inlineStr">
        <is>
          <t>54 (8).tif</t>
        </is>
      </c>
      <c r="C491" t="inlineStr">
        <is>
          <t>54(8)-V04</t>
        </is>
      </c>
      <c r="D491" t="n">
        <v>4</v>
      </c>
      <c r="E491" t="inlineStr">
        <is>
          <t>primary</t>
        </is>
      </c>
      <c r="F491" t="n">
        <v>631.758034026465</v>
      </c>
      <c r="G491">
        <f>2*SQRT(F491/PI())</f>
        <v/>
      </c>
      <c r="H491" t="n">
        <v>95.53168239800826</v>
      </c>
      <c r="I491" t="n">
        <v>136</v>
      </c>
      <c r="J491" t="n">
        <v>401</v>
      </c>
      <c r="K491" t="n">
        <v>619.1228733459357</v>
      </c>
      <c r="L491" t="n">
        <v>644.3931947069943</v>
      </c>
      <c r="M491">
        <f>2*SQRT(K491/PI())</f>
        <v/>
      </c>
      <c r="N491">
        <f>2*SQRT(L491/PI())</f>
        <v/>
      </c>
      <c r="P491" t="inlineStr">
        <is>
          <t>是</t>
        </is>
      </c>
      <c r="Q491" t="inlineStr">
        <is>
          <t>auto_pipeline;review_png_green</t>
        </is>
      </c>
      <c r="R491" t="inlineStr">
        <is>
          <t>样品54</t>
        </is>
      </c>
    </row>
    <row r="492">
      <c r="A492" t="n">
        <v>491</v>
      </c>
      <c r="B492" t="inlineStr">
        <is>
          <t>54 (8).tif</t>
        </is>
      </c>
      <c r="C492" t="inlineStr">
        <is>
          <t>54(8)-V05</t>
        </is>
      </c>
      <c r="D492" t="n">
        <v>5</v>
      </c>
      <c r="E492" t="inlineStr">
        <is>
          <t>primary</t>
        </is>
      </c>
      <c r="F492" t="n">
        <v>616.2098298676749</v>
      </c>
      <c r="G492">
        <f>2*SQRT(F492/PI())</f>
        <v/>
      </c>
      <c r="H492" t="n">
        <v>92.81749082648236</v>
      </c>
      <c r="I492" t="n">
        <v>558</v>
      </c>
      <c r="J492" t="n">
        <v>317</v>
      </c>
      <c r="K492" t="n">
        <v>603.8856332703214</v>
      </c>
      <c r="L492" t="n">
        <v>628.5340264650284</v>
      </c>
      <c r="M492">
        <f>2*SQRT(K492/PI())</f>
        <v/>
      </c>
      <c r="N492">
        <f>2*SQRT(L492/PI())</f>
        <v/>
      </c>
      <c r="P492" t="inlineStr">
        <is>
          <t>是</t>
        </is>
      </c>
      <c r="Q492" t="inlineStr">
        <is>
          <t>auto_pipeline;review_png_green</t>
        </is>
      </c>
      <c r="R492" t="inlineStr">
        <is>
          <t>样品54</t>
        </is>
      </c>
    </row>
    <row r="493">
      <c r="A493" t="n">
        <v>492</v>
      </c>
      <c r="B493" t="inlineStr">
        <is>
          <t>54 (8).tif</t>
        </is>
      </c>
      <c r="C493" t="inlineStr">
        <is>
          <t>54(8)-V06</t>
        </is>
      </c>
      <c r="D493" t="n">
        <v>6</v>
      </c>
      <c r="E493" t="inlineStr">
        <is>
          <t>primary</t>
        </is>
      </c>
      <c r="F493" t="n">
        <v>120.4158790170132</v>
      </c>
      <c r="G493">
        <f>2*SQRT(F493/PI())</f>
        <v/>
      </c>
      <c r="H493" t="n">
        <v>47.41470554600591</v>
      </c>
      <c r="I493" t="n">
        <v>470</v>
      </c>
      <c r="J493" t="n">
        <v>108</v>
      </c>
      <c r="K493" t="n">
        <v>118.007561436673</v>
      </c>
      <c r="L493" t="n">
        <v>122.8241965973535</v>
      </c>
      <c r="M493">
        <f>2*SQRT(K493/PI())</f>
        <v/>
      </c>
      <c r="N493">
        <f>2*SQRT(L493/PI())</f>
        <v/>
      </c>
      <c r="P493" t="inlineStr">
        <is>
          <t>是</t>
        </is>
      </c>
      <c r="Q493" t="inlineStr">
        <is>
          <t>auto_pipeline;review_png_green</t>
        </is>
      </c>
      <c r="R493" t="inlineStr">
        <is>
          <t>样品54</t>
        </is>
      </c>
    </row>
    <row r="494">
      <c r="A494" t="n">
        <v>493</v>
      </c>
      <c r="B494" t="inlineStr">
        <is>
          <t>55 (1).tif</t>
        </is>
      </c>
      <c r="C494" t="inlineStr">
        <is>
          <t>55(1)-V01</t>
        </is>
      </c>
      <c r="D494" t="n">
        <v>1</v>
      </c>
      <c r="E494" t="inlineStr">
        <is>
          <t>primary</t>
        </is>
      </c>
      <c r="F494" t="n">
        <v>1300.803402646503</v>
      </c>
      <c r="G494">
        <f>2*SQRT(F494/PI())</f>
        <v/>
      </c>
      <c r="H494" t="n">
        <v>135.7170763741369</v>
      </c>
      <c r="I494" t="n">
        <v>521</v>
      </c>
      <c r="J494" t="n">
        <v>352</v>
      </c>
      <c r="K494" t="n">
        <v>1274.787334593573</v>
      </c>
      <c r="L494" t="n">
        <v>1326.819470699433</v>
      </c>
      <c r="M494">
        <f>2*SQRT(K494/PI())</f>
        <v/>
      </c>
      <c r="N494">
        <f>2*SQRT(L494/PI())</f>
        <v/>
      </c>
      <c r="O494" t="inlineStr">
        <is>
          <t>55(1)-P01</t>
        </is>
      </c>
      <c r="P494" t="inlineStr">
        <is>
          <t>是</t>
        </is>
      </c>
      <c r="Q494" t="inlineStr">
        <is>
          <t>auto_pipeline;review_png_green</t>
        </is>
      </c>
      <c r="R494" t="inlineStr">
        <is>
          <t>样品55</t>
        </is>
      </c>
    </row>
    <row r="495">
      <c r="A495" t="n">
        <v>494</v>
      </c>
      <c r="B495" t="inlineStr">
        <is>
          <t>55 (1).tif</t>
        </is>
      </c>
      <c r="C495" t="inlineStr">
        <is>
          <t>55(1)-V02</t>
        </is>
      </c>
      <c r="D495" t="n">
        <v>2</v>
      </c>
      <c r="E495" t="inlineStr">
        <is>
          <t>primary</t>
        </is>
      </c>
      <c r="F495" t="n">
        <v>1292.863894139886</v>
      </c>
      <c r="G495">
        <f>2*SQRT(F495/PI())</f>
        <v/>
      </c>
      <c r="H495" t="n">
        <v>135.1022009227587</v>
      </c>
      <c r="I495" t="n">
        <v>504</v>
      </c>
      <c r="J495" t="n">
        <v>176</v>
      </c>
      <c r="K495" t="n">
        <v>1267.006616257089</v>
      </c>
      <c r="L495" t="n">
        <v>1318.721172022684</v>
      </c>
      <c r="M495">
        <f>2*SQRT(K495/PI())</f>
        <v/>
      </c>
      <c r="N495">
        <f>2*SQRT(L495/PI())</f>
        <v/>
      </c>
      <c r="P495" t="inlineStr">
        <is>
          <t>是</t>
        </is>
      </c>
      <c r="Q495" t="inlineStr">
        <is>
          <t>auto_pipeline;review_png_green</t>
        </is>
      </c>
      <c r="R495" t="inlineStr">
        <is>
          <t>样品55</t>
        </is>
      </c>
    </row>
    <row r="496">
      <c r="A496" t="n">
        <v>495</v>
      </c>
      <c r="B496" t="inlineStr">
        <is>
          <t>55 (1).tif</t>
        </is>
      </c>
      <c r="C496" t="inlineStr">
        <is>
          <t>55(1)-V03</t>
        </is>
      </c>
      <c r="D496" t="n">
        <v>3</v>
      </c>
      <c r="E496" t="inlineStr">
        <is>
          <t>primary</t>
        </is>
      </c>
      <c r="F496" t="n">
        <v>934.4754253308129</v>
      </c>
      <c r="G496">
        <f>2*SQRT(F496/PI())</f>
        <v/>
      </c>
      <c r="H496" t="n">
        <v>115.0622518943704</v>
      </c>
      <c r="I496" t="n">
        <v>141</v>
      </c>
      <c r="J496" t="n">
        <v>407</v>
      </c>
      <c r="K496" t="n">
        <v>915.7859168241966</v>
      </c>
      <c r="L496" t="n">
        <v>953.1649338374291</v>
      </c>
      <c r="M496">
        <f>2*SQRT(K496/PI())</f>
        <v/>
      </c>
      <c r="N496">
        <f>2*SQRT(L496/PI())</f>
        <v/>
      </c>
      <c r="P496" t="inlineStr">
        <is>
          <t>是</t>
        </is>
      </c>
      <c r="Q496" t="inlineStr">
        <is>
          <t>auto_pipeline;review_png_green</t>
        </is>
      </c>
      <c r="R496" t="inlineStr">
        <is>
          <t>样品55</t>
        </is>
      </c>
    </row>
    <row r="497">
      <c r="A497" t="n">
        <v>496</v>
      </c>
      <c r="B497" t="inlineStr">
        <is>
          <t>55 (1).tif</t>
        </is>
      </c>
      <c r="C497" t="inlineStr">
        <is>
          <t>55(1)-V04</t>
        </is>
      </c>
      <c r="D497" t="n">
        <v>4</v>
      </c>
      <c r="E497" t="inlineStr">
        <is>
          <t>primary</t>
        </is>
      </c>
      <c r="F497" t="n">
        <v>921.1011342155009</v>
      </c>
      <c r="G497">
        <f>2*SQRT(F497/PI())</f>
        <v/>
      </c>
      <c r="H497" t="n">
        <v>114.0871907576271</v>
      </c>
      <c r="I497" t="n">
        <v>870</v>
      </c>
      <c r="J497" t="n">
        <v>200</v>
      </c>
      <c r="K497" t="n">
        <v>902.6791115311909</v>
      </c>
      <c r="L497" t="n">
        <v>939.5231568998109</v>
      </c>
      <c r="M497">
        <f>2*SQRT(K497/PI())</f>
        <v/>
      </c>
      <c r="N497">
        <f>2*SQRT(L497/PI())</f>
        <v/>
      </c>
      <c r="P497" t="inlineStr">
        <is>
          <t>是</t>
        </is>
      </c>
      <c r="Q497" t="inlineStr">
        <is>
          <t>auto_pipeline;review_png_green</t>
        </is>
      </c>
      <c r="R497" t="inlineStr">
        <is>
          <t>样品55</t>
        </is>
      </c>
    </row>
    <row r="498">
      <c r="A498" t="n">
        <v>497</v>
      </c>
      <c r="B498" t="inlineStr">
        <is>
          <t>55 (1).tif</t>
        </is>
      </c>
      <c r="C498" t="inlineStr">
        <is>
          <t>55(1)-V05</t>
        </is>
      </c>
      <c r="D498" t="n">
        <v>5</v>
      </c>
      <c r="E498" t="inlineStr">
        <is>
          <t>primary</t>
        </is>
      </c>
      <c r="F498" t="n">
        <v>559.1446124763705</v>
      </c>
      <c r="G498">
        <f>2*SQRT(F498/PI())</f>
        <v/>
      </c>
      <c r="H498" t="n">
        <v>88.7462034691935</v>
      </c>
      <c r="I498" t="n">
        <v>525</v>
      </c>
      <c r="J498" t="n">
        <v>517</v>
      </c>
      <c r="K498" t="n">
        <v>547.9617202268431</v>
      </c>
      <c r="L498" t="n">
        <v>570.3275047258979</v>
      </c>
      <c r="M498">
        <f>2*SQRT(K498/PI())</f>
        <v/>
      </c>
      <c r="N498">
        <f>2*SQRT(L498/PI())</f>
        <v/>
      </c>
      <c r="O498" t="inlineStr">
        <is>
          <t>55(1)-P01</t>
        </is>
      </c>
      <c r="P498" t="inlineStr">
        <is>
          <t>是</t>
        </is>
      </c>
      <c r="Q498" t="inlineStr">
        <is>
          <t>auto_pipeline;review_png_green</t>
        </is>
      </c>
      <c r="R498" t="inlineStr">
        <is>
          <t>样品55</t>
        </is>
      </c>
    </row>
    <row r="499">
      <c r="A499" t="n">
        <v>498</v>
      </c>
      <c r="B499" t="inlineStr">
        <is>
          <t>55 (1).tif</t>
        </is>
      </c>
      <c r="C499" t="inlineStr">
        <is>
          <t>55(1)-V06</t>
        </is>
      </c>
      <c r="D499" t="n">
        <v>6</v>
      </c>
      <c r="E499" t="inlineStr">
        <is>
          <t>primary</t>
        </is>
      </c>
      <c r="F499" t="n">
        <v>524.8582230623819</v>
      </c>
      <c r="G499">
        <f>2*SQRT(F499/PI())</f>
        <v/>
      </c>
      <c r="H499" t="n">
        <v>86.77423223205234</v>
      </c>
      <c r="I499" t="n">
        <v>196</v>
      </c>
      <c r="J499" t="n">
        <v>593</v>
      </c>
      <c r="K499" t="n">
        <v>514.3610586011342</v>
      </c>
      <c r="L499" t="n">
        <v>535.3553875236295</v>
      </c>
      <c r="M499">
        <f>2*SQRT(K499/PI())</f>
        <v/>
      </c>
      <c r="N499">
        <f>2*SQRT(L499/PI())</f>
        <v/>
      </c>
      <c r="P499" t="inlineStr">
        <is>
          <t>是</t>
        </is>
      </c>
      <c r="Q499" t="inlineStr">
        <is>
          <t>auto_pipeline;review_png_green</t>
        </is>
      </c>
      <c r="R499" t="inlineStr">
        <is>
          <t>样品55</t>
        </is>
      </c>
    </row>
    <row r="500">
      <c r="A500" t="n">
        <v>499</v>
      </c>
      <c r="B500" t="inlineStr">
        <is>
          <t>55 (1).tif</t>
        </is>
      </c>
      <c r="C500" t="inlineStr">
        <is>
          <t>55(1)-V07</t>
        </is>
      </c>
      <c r="D500" t="n">
        <v>7</v>
      </c>
      <c r="E500" t="inlineStr">
        <is>
          <t>primary</t>
        </is>
      </c>
      <c r="F500" t="n">
        <v>173.9603024574669</v>
      </c>
      <c r="G500">
        <f>2*SQRT(F500/PI())</f>
        <v/>
      </c>
      <c r="H500" t="n">
        <v>52.06091932628465</v>
      </c>
      <c r="I500" t="n">
        <v>594</v>
      </c>
      <c r="J500" t="n">
        <v>641</v>
      </c>
      <c r="K500" t="n">
        <v>170.4810964083176</v>
      </c>
      <c r="L500" t="n">
        <v>177.4395085066163</v>
      </c>
      <c r="M500">
        <f>2*SQRT(K500/PI())</f>
        <v/>
      </c>
      <c r="N500">
        <f>2*SQRT(L500/PI())</f>
        <v/>
      </c>
      <c r="P500" t="inlineStr">
        <is>
          <t>是</t>
        </is>
      </c>
      <c r="Q500" t="inlineStr">
        <is>
          <t>auto_pipeline;review_png_green</t>
        </is>
      </c>
      <c r="R500" t="inlineStr">
        <is>
          <t>样品55</t>
        </is>
      </c>
    </row>
    <row r="501">
      <c r="A501" t="n">
        <v>500</v>
      </c>
      <c r="B501" t="inlineStr">
        <is>
          <t>55 (1).tif</t>
        </is>
      </c>
      <c r="C501" t="inlineStr">
        <is>
          <t>55(1)-V08</t>
        </is>
      </c>
      <c r="D501" t="n">
        <v>8</v>
      </c>
      <c r="E501" t="inlineStr">
        <is>
          <t>primary</t>
        </is>
      </c>
      <c r="F501" t="n">
        <v>131.3090737240076</v>
      </c>
      <c r="G501">
        <f>2*SQRT(F501/PI())</f>
        <v/>
      </c>
      <c r="H501" t="n">
        <v>51.36239691920903</v>
      </c>
      <c r="I501" t="n">
        <v>57</v>
      </c>
      <c r="J501" t="n">
        <v>149</v>
      </c>
      <c r="K501" t="n">
        <v>128.6828922495274</v>
      </c>
      <c r="L501" t="n">
        <v>133.9352551984877</v>
      </c>
      <c r="M501">
        <f>2*SQRT(K501/PI())</f>
        <v/>
      </c>
      <c r="N501">
        <f>2*SQRT(L501/PI())</f>
        <v/>
      </c>
      <c r="P501" t="inlineStr">
        <is>
          <t>是</t>
        </is>
      </c>
      <c r="Q501" t="inlineStr">
        <is>
          <t>auto_pipeline;review_png_green</t>
        </is>
      </c>
      <c r="R501" t="inlineStr">
        <is>
          <t>样品55</t>
        </is>
      </c>
    </row>
    <row r="502">
      <c r="A502" t="n">
        <v>501</v>
      </c>
      <c r="B502" t="inlineStr">
        <is>
          <t>55 (2).tif</t>
        </is>
      </c>
      <c r="C502" t="inlineStr">
        <is>
          <t>55(2)-V01</t>
        </is>
      </c>
      <c r="D502" t="n">
        <v>1</v>
      </c>
      <c r="E502" t="inlineStr">
        <is>
          <t>primary</t>
        </is>
      </c>
      <c r="F502" t="n">
        <v>1070.864839319471</v>
      </c>
      <c r="G502">
        <f>2*SQRT(F502/PI())</f>
        <v/>
      </c>
      <c r="H502" t="n">
        <v>122.4844552382179</v>
      </c>
      <c r="I502" t="n">
        <v>451</v>
      </c>
      <c r="J502" t="n">
        <v>459</v>
      </c>
      <c r="K502" t="n">
        <v>1049.447542533081</v>
      </c>
      <c r="L502" t="n">
        <v>1092.28213610586</v>
      </c>
      <c r="M502">
        <f>2*SQRT(K502/PI())</f>
        <v/>
      </c>
      <c r="N502">
        <f>2*SQRT(L502/PI())</f>
        <v/>
      </c>
      <c r="P502" t="inlineStr">
        <is>
          <t>是</t>
        </is>
      </c>
      <c r="Q502" t="inlineStr">
        <is>
          <t>auto_pipeline;review_png_green</t>
        </is>
      </c>
      <c r="R502" t="inlineStr">
        <is>
          <t>样品55</t>
        </is>
      </c>
    </row>
    <row r="503">
      <c r="A503" t="n">
        <v>502</v>
      </c>
      <c r="B503" t="inlineStr">
        <is>
          <t>55 (2).tif</t>
        </is>
      </c>
      <c r="C503" t="inlineStr">
        <is>
          <t>55(2)-V02</t>
        </is>
      </c>
      <c r="D503" t="n">
        <v>2</v>
      </c>
      <c r="E503" t="inlineStr">
        <is>
          <t>primary</t>
        </is>
      </c>
      <c r="F503" t="n">
        <v>574.1493383742911</v>
      </c>
      <c r="G503">
        <f>2*SQRT(F503/PI())</f>
        <v/>
      </c>
      <c r="H503" t="n">
        <v>93.43236627786055</v>
      </c>
      <c r="I503" t="n">
        <v>856</v>
      </c>
      <c r="J503" t="n">
        <v>581</v>
      </c>
      <c r="K503" t="n">
        <v>562.6663516068053</v>
      </c>
      <c r="L503" t="n">
        <v>585.632325141777</v>
      </c>
      <c r="M503">
        <f>2*SQRT(K503/PI())</f>
        <v/>
      </c>
      <c r="N503">
        <f>2*SQRT(L503/PI())</f>
        <v/>
      </c>
      <c r="P503" t="inlineStr">
        <is>
          <t>是</t>
        </is>
      </c>
      <c r="Q503" t="inlineStr">
        <is>
          <t>auto_pipeline;review_png_green</t>
        </is>
      </c>
      <c r="R503" t="inlineStr">
        <is>
          <t>样品55</t>
        </is>
      </c>
    </row>
    <row r="504">
      <c r="A504" t="n">
        <v>503</v>
      </c>
      <c r="B504" t="inlineStr">
        <is>
          <t>55 (2).tif</t>
        </is>
      </c>
      <c r="C504" t="inlineStr">
        <is>
          <t>55(2)-V03</t>
        </is>
      </c>
      <c r="D504" t="n">
        <v>3</v>
      </c>
      <c r="E504" t="inlineStr">
        <is>
          <t>primary</t>
        </is>
      </c>
      <c r="F504" t="n">
        <v>166.5170132325142</v>
      </c>
      <c r="G504">
        <f>2*SQRT(F504/PI())</f>
        <v/>
      </c>
      <c r="H504" t="n">
        <v>51.678884677265</v>
      </c>
      <c r="I504" t="n">
        <v>641</v>
      </c>
      <c r="J504" t="n">
        <v>103</v>
      </c>
      <c r="K504" t="n">
        <v>163.1866729678639</v>
      </c>
      <c r="L504" t="n">
        <v>169.8473534971645</v>
      </c>
      <c r="M504">
        <f>2*SQRT(K504/PI())</f>
        <v/>
      </c>
      <c r="N504">
        <f>2*SQRT(L504/PI())</f>
        <v/>
      </c>
      <c r="P504" t="inlineStr">
        <is>
          <t>是</t>
        </is>
      </c>
      <c r="Q504" t="inlineStr">
        <is>
          <t>auto_pipeline;review_png_green</t>
        </is>
      </c>
      <c r="R504" t="inlineStr">
        <is>
          <t>样品55</t>
        </is>
      </c>
    </row>
    <row r="505">
      <c r="A505" t="n">
        <v>504</v>
      </c>
      <c r="B505" t="inlineStr">
        <is>
          <t>55 (2).tif</t>
        </is>
      </c>
      <c r="C505" t="inlineStr">
        <is>
          <t>55(2)-V04</t>
        </is>
      </c>
      <c r="D505" t="n">
        <v>4</v>
      </c>
      <c r="E505" t="inlineStr">
        <is>
          <t>primary</t>
        </is>
      </c>
      <c r="F505" t="n">
        <v>130.0567107750473</v>
      </c>
      <c r="G505">
        <f>2*SQRT(F505/PI())</f>
        <v/>
      </c>
      <c r="H505" t="n">
        <v>44.84970782114112</v>
      </c>
      <c r="I505" t="n">
        <v>571</v>
      </c>
      <c r="J505" t="n">
        <v>631</v>
      </c>
      <c r="K505" t="n">
        <v>127.4555765595463</v>
      </c>
      <c r="L505" t="n">
        <v>132.6578449905482</v>
      </c>
      <c r="M505">
        <f>2*SQRT(K505/PI())</f>
        <v/>
      </c>
      <c r="N505">
        <f>2*SQRT(L505/PI())</f>
        <v/>
      </c>
      <c r="P505" t="inlineStr">
        <is>
          <t>是</t>
        </is>
      </c>
      <c r="Q505" t="inlineStr">
        <is>
          <t>auto_pipeline;review_png_green</t>
        </is>
      </c>
      <c r="R505" t="inlineStr">
        <is>
          <t>样品55</t>
        </is>
      </c>
    </row>
    <row r="506">
      <c r="A506" t="n">
        <v>505</v>
      </c>
      <c r="B506" t="inlineStr">
        <is>
          <t>55 (2).tif</t>
        </is>
      </c>
      <c r="C506" t="inlineStr">
        <is>
          <t>55(2)-V05</t>
        </is>
      </c>
      <c r="D506" t="n">
        <v>5</v>
      </c>
      <c r="E506" t="inlineStr">
        <is>
          <t>primary</t>
        </is>
      </c>
      <c r="F506" t="n">
        <v>123.2514177693762</v>
      </c>
      <c r="G506">
        <f>2*SQRT(F506/PI())</f>
        <v/>
      </c>
      <c r="H506" t="n">
        <v>48.88104615004166</v>
      </c>
      <c r="I506" t="n">
        <v>181</v>
      </c>
      <c r="J506" t="n">
        <v>105</v>
      </c>
      <c r="K506" t="n">
        <v>120.7863894139886</v>
      </c>
      <c r="L506" t="n">
        <v>125.7164461247637</v>
      </c>
      <c r="M506">
        <f>2*SQRT(K506/PI())</f>
        <v/>
      </c>
      <c r="N506">
        <f>2*SQRT(L506/PI())</f>
        <v/>
      </c>
      <c r="P506" t="inlineStr">
        <is>
          <t>是</t>
        </is>
      </c>
      <c r="Q506" t="inlineStr">
        <is>
          <t>auto_pipeline;review_png_green</t>
        </is>
      </c>
      <c r="R506" t="inlineStr">
        <is>
          <t>样品55</t>
        </is>
      </c>
    </row>
    <row r="507">
      <c r="A507" t="n">
        <v>506</v>
      </c>
      <c r="B507" t="inlineStr">
        <is>
          <t>55 (3).tif</t>
        </is>
      </c>
      <c r="C507" t="inlineStr">
        <is>
          <t>55(3)-V01</t>
        </is>
      </c>
      <c r="D507" t="n">
        <v>1</v>
      </c>
      <c r="E507" t="inlineStr">
        <is>
          <t>primary</t>
        </is>
      </c>
      <c r="F507" t="n">
        <v>420.6994328922495</v>
      </c>
      <c r="G507">
        <f>2*SQRT(F507/PI())</f>
        <v/>
      </c>
      <c r="H507" t="n">
        <v>78.37696775146152</v>
      </c>
      <c r="I507" t="n">
        <v>627</v>
      </c>
      <c r="J507" t="n">
        <v>56</v>
      </c>
      <c r="K507" t="n">
        <v>412.2854442344046</v>
      </c>
      <c r="L507" t="n">
        <v>429.1134215500945</v>
      </c>
      <c r="M507">
        <f>2*SQRT(K507/PI())</f>
        <v/>
      </c>
      <c r="N507">
        <f>2*SQRT(L507/PI())</f>
        <v/>
      </c>
      <c r="P507" t="inlineStr">
        <is>
          <t>是</t>
        </is>
      </c>
      <c r="Q507" t="inlineStr">
        <is>
          <t>auto_pipeline;review_png_green</t>
        </is>
      </c>
      <c r="R507" t="inlineStr">
        <is>
          <t>样品55</t>
        </is>
      </c>
    </row>
    <row r="508">
      <c r="A508" t="n">
        <v>507</v>
      </c>
      <c r="B508" t="inlineStr">
        <is>
          <t>55 (3).tif</t>
        </is>
      </c>
      <c r="C508" t="inlineStr">
        <is>
          <t>55(3)-V02</t>
        </is>
      </c>
      <c r="D508" t="n">
        <v>2</v>
      </c>
      <c r="E508" t="inlineStr">
        <is>
          <t>primary</t>
        </is>
      </c>
      <c r="F508" t="n">
        <v>126.6068052930057</v>
      </c>
      <c r="G508">
        <f>2*SQRT(F508/PI())</f>
        <v/>
      </c>
      <c r="H508" t="n">
        <v>51.61333778630132</v>
      </c>
      <c r="I508" t="n">
        <v>75</v>
      </c>
      <c r="J508" t="n">
        <v>489</v>
      </c>
      <c r="K508" t="n">
        <v>124.0746691871456</v>
      </c>
      <c r="L508" t="n">
        <v>129.1389413988658</v>
      </c>
      <c r="M508">
        <f>2*SQRT(K508/PI())</f>
        <v/>
      </c>
      <c r="N508">
        <f>2*SQRT(L508/PI())</f>
        <v/>
      </c>
      <c r="P508" t="inlineStr">
        <is>
          <t>是</t>
        </is>
      </c>
      <c r="Q508" t="inlineStr">
        <is>
          <t>auto_pipeline;review_png_green</t>
        </is>
      </c>
      <c r="R508" t="inlineStr">
        <is>
          <t>样品55</t>
        </is>
      </c>
    </row>
    <row r="509">
      <c r="A509" t="n">
        <v>508</v>
      </c>
      <c r="B509" t="inlineStr">
        <is>
          <t>55 (3).tif</t>
        </is>
      </c>
      <c r="C509" t="inlineStr">
        <is>
          <t>55(3)-V03</t>
        </is>
      </c>
      <c r="D509" t="n">
        <v>3</v>
      </c>
      <c r="E509" t="inlineStr">
        <is>
          <t>primary</t>
        </is>
      </c>
      <c r="F509" t="n">
        <v>121.195652173913</v>
      </c>
      <c r="G509">
        <f>2*SQRT(F509/PI())</f>
        <v/>
      </c>
      <c r="H509" t="n">
        <v>42.15736521326977</v>
      </c>
      <c r="I509" t="n">
        <v>908</v>
      </c>
      <c r="J509" t="n">
        <v>101</v>
      </c>
      <c r="K509" t="n">
        <v>118.7717391304348</v>
      </c>
      <c r="L509" t="n">
        <v>123.6195652173913</v>
      </c>
      <c r="M509">
        <f>2*SQRT(K509/PI())</f>
        <v/>
      </c>
      <c r="N509">
        <f>2*SQRT(L509/PI())</f>
        <v/>
      </c>
      <c r="P509" t="inlineStr">
        <is>
          <t>是</t>
        </is>
      </c>
      <c r="Q509" t="inlineStr">
        <is>
          <t>auto_pipeline;review_png_green</t>
        </is>
      </c>
      <c r="R509" t="inlineStr">
        <is>
          <t>样品55</t>
        </is>
      </c>
    </row>
    <row r="510">
      <c r="A510" t="n">
        <v>509</v>
      </c>
      <c r="B510" t="inlineStr">
        <is>
          <t>55 (4).tif</t>
        </is>
      </c>
      <c r="C510" t="inlineStr">
        <is>
          <t>55(4)-V01</t>
        </is>
      </c>
      <c r="D510" t="n">
        <v>1</v>
      </c>
      <c r="E510" t="inlineStr">
        <is>
          <t>primary</t>
        </is>
      </c>
      <c r="F510" t="n">
        <v>1286.743856332703</v>
      </c>
      <c r="G510">
        <f>2*SQRT(F510/PI())</f>
        <v/>
      </c>
      <c r="H510" t="n">
        <v>135.0803519591041</v>
      </c>
      <c r="I510" t="n">
        <v>920</v>
      </c>
      <c r="J510" t="n">
        <v>555</v>
      </c>
      <c r="K510" t="n">
        <v>1261.008979206049</v>
      </c>
      <c r="L510" t="n">
        <v>1312.478733459357</v>
      </c>
      <c r="M510">
        <f>2*SQRT(K510/PI())</f>
        <v/>
      </c>
      <c r="N510">
        <f>2*SQRT(L510/PI())</f>
        <v/>
      </c>
      <c r="P510" t="inlineStr">
        <is>
          <t>是</t>
        </is>
      </c>
      <c r="Q510" t="inlineStr">
        <is>
          <t>auto_pipeline;review_png_green</t>
        </is>
      </c>
      <c r="R510" t="inlineStr">
        <is>
          <t>样品55</t>
        </is>
      </c>
    </row>
    <row r="511">
      <c r="A511" t="n">
        <v>510</v>
      </c>
      <c r="B511" t="inlineStr">
        <is>
          <t>55 (4).tif</t>
        </is>
      </c>
      <c r="C511" t="inlineStr">
        <is>
          <t>55(4)-V02</t>
        </is>
      </c>
      <c r="D511" t="n">
        <v>2</v>
      </c>
      <c r="E511" t="inlineStr">
        <is>
          <t>primary</t>
        </is>
      </c>
      <c r="F511" t="n">
        <v>967.6512287334593</v>
      </c>
      <c r="G511">
        <f>2*SQRT(F511/PI())</f>
        <v/>
      </c>
      <c r="H511" t="n">
        <v>116.801382329153</v>
      </c>
      <c r="I511" t="n">
        <v>440</v>
      </c>
      <c r="J511" t="n">
        <v>422</v>
      </c>
      <c r="K511" t="n">
        <v>948.2982041587901</v>
      </c>
      <c r="L511" t="n">
        <v>987.0042533081286</v>
      </c>
      <c r="M511">
        <f>2*SQRT(K511/PI())</f>
        <v/>
      </c>
      <c r="N511">
        <f>2*SQRT(L511/PI())</f>
        <v/>
      </c>
      <c r="O511" t="inlineStr">
        <is>
          <t>55(4)-P01</t>
        </is>
      </c>
      <c r="P511" t="inlineStr">
        <is>
          <t>是</t>
        </is>
      </c>
      <c r="Q511" t="inlineStr">
        <is>
          <t>auto_pipeline;review_png_green</t>
        </is>
      </c>
      <c r="R511" t="inlineStr">
        <is>
          <t>样品55</t>
        </is>
      </c>
    </row>
    <row r="512">
      <c r="A512" t="n">
        <v>511</v>
      </c>
      <c r="B512" t="inlineStr">
        <is>
          <t>55 (4).tif</t>
        </is>
      </c>
      <c r="C512" t="inlineStr">
        <is>
          <t>55(4)-V03</t>
        </is>
      </c>
      <c r="D512" t="n">
        <v>3</v>
      </c>
      <c r="E512" t="inlineStr">
        <is>
          <t>primary</t>
        </is>
      </c>
      <c r="F512" t="n">
        <v>868.0765595463138</v>
      </c>
      <c r="G512">
        <f>2*SQRT(F512/PI())</f>
        <v/>
      </c>
      <c r="H512" t="n">
        <v>111.4784951054532</v>
      </c>
      <c r="I512" t="n">
        <v>861</v>
      </c>
      <c r="J512" t="n">
        <v>176</v>
      </c>
      <c r="K512" t="n">
        <v>850.7150283553875</v>
      </c>
      <c r="L512" t="n">
        <v>885.43809073724</v>
      </c>
      <c r="M512">
        <f>2*SQRT(K512/PI())</f>
        <v/>
      </c>
      <c r="N512">
        <f>2*SQRT(L512/PI())</f>
        <v/>
      </c>
      <c r="P512" t="inlineStr">
        <is>
          <t>是</t>
        </is>
      </c>
      <c r="Q512" t="inlineStr">
        <is>
          <t>auto_pipeline;review_png_green</t>
        </is>
      </c>
      <c r="R512" t="inlineStr">
        <is>
          <t>样品55</t>
        </is>
      </c>
    </row>
    <row r="513">
      <c r="A513" t="n">
        <v>512</v>
      </c>
      <c r="B513" t="inlineStr">
        <is>
          <t>55 (4).tif</t>
        </is>
      </c>
      <c r="C513" t="inlineStr">
        <is>
          <t>55(4)-V04</t>
        </is>
      </c>
      <c r="D513" t="n">
        <v>4</v>
      </c>
      <c r="E513" t="inlineStr">
        <is>
          <t>primary</t>
        </is>
      </c>
      <c r="F513" t="n">
        <v>765.5482041587902</v>
      </c>
      <c r="G513">
        <f>2*SQRT(F513/PI())</f>
        <v/>
      </c>
      <c r="H513" t="n">
        <v>103.8234509592471</v>
      </c>
      <c r="I513" t="n">
        <v>569</v>
      </c>
      <c r="J513" t="n">
        <v>316</v>
      </c>
      <c r="K513" t="n">
        <v>750.2372400756144</v>
      </c>
      <c r="L513" t="n">
        <v>780.859168241966</v>
      </c>
      <c r="M513">
        <f>2*SQRT(K513/PI())</f>
        <v/>
      </c>
      <c r="N513">
        <f>2*SQRT(L513/PI())</f>
        <v/>
      </c>
      <c r="O513" t="inlineStr">
        <is>
          <t>55(4)-P01</t>
        </is>
      </c>
      <c r="P513" t="inlineStr">
        <is>
          <t>是</t>
        </is>
      </c>
      <c r="Q513" t="inlineStr">
        <is>
          <t>auto_pipeline;review_png_green</t>
        </is>
      </c>
      <c r="R513" t="inlineStr">
        <is>
          <t>样品55</t>
        </is>
      </c>
    </row>
    <row r="514">
      <c r="A514" t="n">
        <v>513</v>
      </c>
      <c r="B514" t="inlineStr">
        <is>
          <t>55 (4).tif</t>
        </is>
      </c>
      <c r="C514" t="inlineStr">
        <is>
          <t>55(4)-V05</t>
        </is>
      </c>
      <c r="D514" t="n">
        <v>5</v>
      </c>
      <c r="E514" t="inlineStr">
        <is>
          <t>primary</t>
        </is>
      </c>
      <c r="F514" t="n">
        <v>660.1134215500945</v>
      </c>
      <c r="G514">
        <f>2*SQRT(F514/PI())</f>
        <v/>
      </c>
      <c r="H514" t="n">
        <v>98.14037805018218</v>
      </c>
      <c r="I514" t="n">
        <v>242</v>
      </c>
      <c r="J514" t="n">
        <v>559</v>
      </c>
      <c r="K514" t="n">
        <v>646.9111531190925</v>
      </c>
      <c r="L514" t="n">
        <v>673.3156899810964</v>
      </c>
      <c r="M514">
        <f>2*SQRT(K514/PI())</f>
        <v/>
      </c>
      <c r="N514">
        <f>2*SQRT(L514/PI())</f>
        <v/>
      </c>
      <c r="P514" t="inlineStr">
        <is>
          <t>是</t>
        </is>
      </c>
      <c r="Q514" t="inlineStr">
        <is>
          <t>auto_pipeline;review_png_green</t>
        </is>
      </c>
      <c r="R514" t="inlineStr">
        <is>
          <t>样品55</t>
        </is>
      </c>
    </row>
    <row r="515">
      <c r="A515" t="n">
        <v>514</v>
      </c>
      <c r="B515" t="inlineStr">
        <is>
          <t>55 (5).tif</t>
        </is>
      </c>
      <c r="C515" t="inlineStr">
        <is>
          <t>55(5)-V01</t>
        </is>
      </c>
      <c r="D515" t="n">
        <v>1</v>
      </c>
      <c r="E515" t="inlineStr">
        <is>
          <t>primary</t>
        </is>
      </c>
      <c r="F515" t="n">
        <v>1070.888468809074</v>
      </c>
      <c r="G515">
        <f>2*SQRT(F515/PI())</f>
        <v/>
      </c>
      <c r="H515" t="n">
        <v>122.3571103552113</v>
      </c>
      <c r="I515" t="n">
        <v>127</v>
      </c>
      <c r="J515" t="n">
        <v>103</v>
      </c>
      <c r="K515" t="n">
        <v>1049.470699432892</v>
      </c>
      <c r="L515" t="n">
        <v>1092.306238185255</v>
      </c>
      <c r="M515">
        <f>2*SQRT(K515/PI())</f>
        <v/>
      </c>
      <c r="N515">
        <f>2*SQRT(L515/PI())</f>
        <v/>
      </c>
      <c r="P515" t="inlineStr">
        <is>
          <t>是</t>
        </is>
      </c>
      <c r="Q515" t="inlineStr">
        <is>
          <t>auto_pipeline;review_png_green</t>
        </is>
      </c>
      <c r="R515" t="inlineStr">
        <is>
          <t>样品55</t>
        </is>
      </c>
    </row>
    <row r="516">
      <c r="A516" t="n">
        <v>515</v>
      </c>
      <c r="B516" t="inlineStr">
        <is>
          <t>55 (5).tif</t>
        </is>
      </c>
      <c r="C516" t="inlineStr">
        <is>
          <t>55(5)-V02</t>
        </is>
      </c>
      <c r="D516" t="n">
        <v>2</v>
      </c>
      <c r="E516" t="inlineStr">
        <is>
          <t>primary</t>
        </is>
      </c>
      <c r="F516" t="n">
        <v>995.0378071833649</v>
      </c>
      <c r="G516">
        <f>2*SQRT(F516/PI())</f>
        <v/>
      </c>
      <c r="H516" t="n">
        <v>118.7733535662941</v>
      </c>
      <c r="I516" t="n">
        <v>399</v>
      </c>
      <c r="J516" t="n">
        <v>359</v>
      </c>
      <c r="K516" t="n">
        <v>975.1370510396976</v>
      </c>
      <c r="L516" t="n">
        <v>1014.938563327032</v>
      </c>
      <c r="M516">
        <f>2*SQRT(K516/PI())</f>
        <v/>
      </c>
      <c r="N516">
        <f>2*SQRT(L516/PI())</f>
        <v/>
      </c>
      <c r="P516" t="inlineStr">
        <is>
          <t>是</t>
        </is>
      </c>
      <c r="Q516" t="inlineStr">
        <is>
          <t>auto_pipeline;review_png_green</t>
        </is>
      </c>
      <c r="R516" t="inlineStr">
        <is>
          <t>样品55</t>
        </is>
      </c>
    </row>
    <row r="517">
      <c r="A517" t="n">
        <v>516</v>
      </c>
      <c r="B517" t="inlineStr">
        <is>
          <t>55 (5).tif</t>
        </is>
      </c>
      <c r="C517" t="inlineStr">
        <is>
          <t>55(5)-V03</t>
        </is>
      </c>
      <c r="D517" t="n">
        <v>3</v>
      </c>
      <c r="E517" t="inlineStr">
        <is>
          <t>primary</t>
        </is>
      </c>
      <c r="F517" t="n">
        <v>901.4650283553875</v>
      </c>
      <c r="G517">
        <f>2*SQRT(F517/PI())</f>
        <v/>
      </c>
      <c r="H517" t="n">
        <v>112.475405205851</v>
      </c>
      <c r="I517" t="n">
        <v>596</v>
      </c>
      <c r="J517" t="n">
        <v>339</v>
      </c>
      <c r="K517" t="n">
        <v>883.4357277882798</v>
      </c>
      <c r="L517" t="n">
        <v>919.4943289224952</v>
      </c>
      <c r="M517">
        <f>2*SQRT(K517/PI())</f>
        <v/>
      </c>
      <c r="N517">
        <f>2*SQRT(L517/PI())</f>
        <v/>
      </c>
      <c r="P517" t="inlineStr">
        <is>
          <t>是</t>
        </is>
      </c>
      <c r="Q517" t="inlineStr">
        <is>
          <t>auto_pipeline;review_png_green</t>
        </is>
      </c>
      <c r="R517" t="inlineStr">
        <is>
          <t>样品55</t>
        </is>
      </c>
    </row>
    <row r="518">
      <c r="A518" t="n">
        <v>517</v>
      </c>
      <c r="B518" t="inlineStr">
        <is>
          <t>55 (5).tif</t>
        </is>
      </c>
      <c r="C518" t="inlineStr">
        <is>
          <t>55(5)-V04</t>
        </is>
      </c>
      <c r="D518" t="n">
        <v>4</v>
      </c>
      <c r="E518" t="inlineStr">
        <is>
          <t>primary</t>
        </is>
      </c>
      <c r="F518" t="n">
        <v>168.1238185255199</v>
      </c>
      <c r="G518">
        <f>2*SQRT(F518/PI())</f>
        <v/>
      </c>
      <c r="H518" t="n">
        <v>56.79078006226084</v>
      </c>
      <c r="I518" t="n">
        <v>88</v>
      </c>
      <c r="J518" t="n">
        <v>214</v>
      </c>
      <c r="K518" t="n">
        <v>164.7613421550095</v>
      </c>
      <c r="L518" t="n">
        <v>171.4862948960302</v>
      </c>
      <c r="M518">
        <f>2*SQRT(K518/PI())</f>
        <v/>
      </c>
      <c r="N518">
        <f>2*SQRT(L518/PI())</f>
        <v/>
      </c>
      <c r="P518" t="inlineStr">
        <is>
          <t>是</t>
        </is>
      </c>
      <c r="Q518" t="inlineStr">
        <is>
          <t>auto_pipeline;review_png_green</t>
        </is>
      </c>
      <c r="R518" t="inlineStr">
        <is>
          <t>样品55</t>
        </is>
      </c>
    </row>
    <row r="519">
      <c r="A519" t="n">
        <v>518</v>
      </c>
      <c r="B519" t="inlineStr">
        <is>
          <t>55 (5).tif</t>
        </is>
      </c>
      <c r="C519" t="inlineStr">
        <is>
          <t>55(5)-V05</t>
        </is>
      </c>
      <c r="D519" t="n">
        <v>5</v>
      </c>
      <c r="E519" t="inlineStr">
        <is>
          <t>primary</t>
        </is>
      </c>
      <c r="F519" t="n">
        <v>130.9782608695652</v>
      </c>
      <c r="G519">
        <f>2*SQRT(F519/PI())</f>
        <v/>
      </c>
      <c r="H519" t="n">
        <v>46.97087290494338</v>
      </c>
      <c r="I519" t="n">
        <v>923</v>
      </c>
      <c r="J519" t="n">
        <v>233</v>
      </c>
      <c r="K519" t="n">
        <v>128.3586956521739</v>
      </c>
      <c r="L519" t="n">
        <v>133.5978260869565</v>
      </c>
      <c r="M519">
        <f>2*SQRT(K519/PI())</f>
        <v/>
      </c>
      <c r="N519">
        <f>2*SQRT(L519/PI())</f>
        <v/>
      </c>
      <c r="P519" t="inlineStr">
        <is>
          <t>是</t>
        </is>
      </c>
      <c r="Q519" t="inlineStr">
        <is>
          <t>auto_pipeline;review_png_green</t>
        </is>
      </c>
      <c r="R519" t="inlineStr">
        <is>
          <t>样品55</t>
        </is>
      </c>
    </row>
    <row r="520">
      <c r="A520" t="n">
        <v>519</v>
      </c>
      <c r="B520" t="inlineStr">
        <is>
          <t>55 (6).tif</t>
        </is>
      </c>
      <c r="C520" t="inlineStr">
        <is>
          <t>55(6)-V01</t>
        </is>
      </c>
      <c r="D520" t="n">
        <v>1</v>
      </c>
      <c r="E520" t="inlineStr">
        <is>
          <t>primary</t>
        </is>
      </c>
      <c r="F520" t="n">
        <v>1023.156899810964</v>
      </c>
      <c r="G520">
        <f>2*SQRT(F520/PI())</f>
        <v/>
      </c>
      <c r="H520" t="n">
        <v>120.5124840010767</v>
      </c>
      <c r="I520" t="n">
        <v>426</v>
      </c>
      <c r="J520" t="n">
        <v>460</v>
      </c>
      <c r="K520" t="n">
        <v>1002.693761814745</v>
      </c>
      <c r="L520" t="n">
        <v>1043.620037807183</v>
      </c>
      <c r="M520">
        <f>2*SQRT(K520/PI())</f>
        <v/>
      </c>
      <c r="N520">
        <f>2*SQRT(L520/PI())</f>
        <v/>
      </c>
      <c r="O520" t="inlineStr">
        <is>
          <t>55(6)-P01</t>
        </is>
      </c>
      <c r="P520" t="inlineStr">
        <is>
          <t>是</t>
        </is>
      </c>
      <c r="Q520" t="inlineStr">
        <is>
          <t>auto_pipeline;review_png_green</t>
        </is>
      </c>
      <c r="R520" t="inlineStr">
        <is>
          <t>样品55</t>
        </is>
      </c>
    </row>
    <row r="521">
      <c r="A521" t="n">
        <v>520</v>
      </c>
      <c r="B521" t="inlineStr">
        <is>
          <t>55 (6).tif</t>
        </is>
      </c>
      <c r="C521" t="inlineStr">
        <is>
          <t>55(6)-V02</t>
        </is>
      </c>
      <c r="D521" t="n">
        <v>2</v>
      </c>
      <c r="E521" t="inlineStr">
        <is>
          <t>primary</t>
        </is>
      </c>
      <c r="F521" t="n">
        <v>921.124763705104</v>
      </c>
      <c r="G521">
        <f>2*SQRT(F521/PI())</f>
        <v/>
      </c>
      <c r="H521" t="n">
        <v>114.8294110920118</v>
      </c>
      <c r="I521" t="n">
        <v>180</v>
      </c>
      <c r="J521" t="n">
        <v>267</v>
      </c>
      <c r="K521" t="n">
        <v>902.7022684310019</v>
      </c>
      <c r="L521" t="n">
        <v>939.547258979206</v>
      </c>
      <c r="M521">
        <f>2*SQRT(K521/PI())</f>
        <v/>
      </c>
      <c r="N521">
        <f>2*SQRT(L521/PI())</f>
        <v/>
      </c>
      <c r="P521" t="inlineStr">
        <is>
          <t>是</t>
        </is>
      </c>
      <c r="Q521" t="inlineStr">
        <is>
          <t>auto_pipeline;review_png_green</t>
        </is>
      </c>
      <c r="R521" t="inlineStr">
        <is>
          <t>样品55</t>
        </is>
      </c>
    </row>
    <row r="522">
      <c r="A522" t="n">
        <v>521</v>
      </c>
      <c r="B522" t="inlineStr">
        <is>
          <t>55 (6).tif</t>
        </is>
      </c>
      <c r="C522" t="inlineStr">
        <is>
          <t>55(6)-V03</t>
        </is>
      </c>
      <c r="D522" t="n">
        <v>3</v>
      </c>
      <c r="E522" t="inlineStr">
        <is>
          <t>primary</t>
        </is>
      </c>
      <c r="F522" t="n">
        <v>730.9073724007561</v>
      </c>
      <c r="G522">
        <f>2*SQRT(F522/PI())</f>
        <v/>
      </c>
      <c r="H522" t="n">
        <v>101.9788246051125</v>
      </c>
      <c r="I522" t="n">
        <v>356</v>
      </c>
      <c r="J522" t="n">
        <v>110</v>
      </c>
      <c r="K522" t="n">
        <v>716.2892249527409</v>
      </c>
      <c r="L522" t="n">
        <v>745.5255198487713</v>
      </c>
      <c r="M522">
        <f>2*SQRT(K522/PI())</f>
        <v/>
      </c>
      <c r="N522">
        <f>2*SQRT(L522/PI())</f>
        <v/>
      </c>
      <c r="P522" t="inlineStr">
        <is>
          <t>是</t>
        </is>
      </c>
      <c r="Q522" t="inlineStr">
        <is>
          <t>auto_pipeline;review_png_green</t>
        </is>
      </c>
      <c r="R522" t="inlineStr">
        <is>
          <t>样品55</t>
        </is>
      </c>
    </row>
    <row r="523">
      <c r="A523" t="n">
        <v>522</v>
      </c>
      <c r="B523" t="inlineStr">
        <is>
          <t>55 (6).tif</t>
        </is>
      </c>
      <c r="C523" t="inlineStr">
        <is>
          <t>55(6)-V04</t>
        </is>
      </c>
      <c r="D523" t="n">
        <v>4</v>
      </c>
      <c r="E523" t="inlineStr">
        <is>
          <t>primary</t>
        </is>
      </c>
      <c r="F523" t="n">
        <v>607.1833648393194</v>
      </c>
      <c r="G523">
        <f>2*SQRT(F523/PI())</f>
        <v/>
      </c>
      <c r="H523" t="n">
        <v>93.32687035850856</v>
      </c>
      <c r="I523" t="n">
        <v>584</v>
      </c>
      <c r="J523" t="n">
        <v>368</v>
      </c>
      <c r="K523" t="n">
        <v>595.0396975425331</v>
      </c>
      <c r="L523" t="n">
        <v>619.3270321361058</v>
      </c>
      <c r="M523">
        <f>2*SQRT(K523/PI())</f>
        <v/>
      </c>
      <c r="N523">
        <f>2*SQRT(L523/PI())</f>
        <v/>
      </c>
      <c r="O523" t="inlineStr">
        <is>
          <t>55(6)-P01</t>
        </is>
      </c>
      <c r="P523" t="inlineStr">
        <is>
          <t>是</t>
        </is>
      </c>
      <c r="Q523" t="inlineStr">
        <is>
          <t>auto_pipeline;review_png_green</t>
        </is>
      </c>
      <c r="R523" t="inlineStr">
        <is>
          <t>样品55</t>
        </is>
      </c>
    </row>
    <row r="524">
      <c r="A524" t="n">
        <v>523</v>
      </c>
      <c r="B524" t="inlineStr">
        <is>
          <t>55 (6).tif</t>
        </is>
      </c>
      <c r="C524" t="inlineStr">
        <is>
          <t>55(6)-V05</t>
        </is>
      </c>
      <c r="D524" t="n">
        <v>5</v>
      </c>
      <c r="E524" t="inlineStr">
        <is>
          <t>primary</t>
        </is>
      </c>
      <c r="F524" t="n">
        <v>191.0207939508507</v>
      </c>
      <c r="G524">
        <f>2*SQRT(F524/PI())</f>
        <v/>
      </c>
      <c r="H524" t="n">
        <v>52.16641524563665</v>
      </c>
      <c r="I524" t="n">
        <v>289</v>
      </c>
      <c r="J524" t="n">
        <v>479</v>
      </c>
      <c r="K524" t="n">
        <v>187.2003780718337</v>
      </c>
      <c r="L524" t="n">
        <v>194.8412098298677</v>
      </c>
      <c r="M524">
        <f>2*SQRT(K524/PI())</f>
        <v/>
      </c>
      <c r="N524">
        <f>2*SQRT(L524/PI())</f>
        <v/>
      </c>
      <c r="P524" t="inlineStr">
        <is>
          <t>是</t>
        </is>
      </c>
      <c r="Q524" t="inlineStr">
        <is>
          <t>auto_pipeline;review_png_green</t>
        </is>
      </c>
      <c r="R524" t="inlineStr">
        <is>
          <t>样品55</t>
        </is>
      </c>
    </row>
    <row r="525">
      <c r="A525" t="n">
        <v>524</v>
      </c>
      <c r="B525" t="inlineStr">
        <is>
          <t>55 (6).tif</t>
        </is>
      </c>
      <c r="C525" t="inlineStr">
        <is>
          <t>55(6)-V06</t>
        </is>
      </c>
      <c r="D525" t="n">
        <v>6</v>
      </c>
      <c r="E525" t="inlineStr">
        <is>
          <t>primary</t>
        </is>
      </c>
      <c r="F525" t="n">
        <v>157.1833648393195</v>
      </c>
      <c r="G525">
        <f>2*SQRT(F525/PI())</f>
        <v/>
      </c>
      <c r="H525" t="n">
        <v>52.12271731832753</v>
      </c>
      <c r="I525" t="n">
        <v>947</v>
      </c>
      <c r="J525" t="n">
        <v>351</v>
      </c>
      <c r="K525" t="n">
        <v>154.0396975425331</v>
      </c>
      <c r="L525" t="n">
        <v>160.3270321361059</v>
      </c>
      <c r="M525">
        <f>2*SQRT(K525/PI())</f>
        <v/>
      </c>
      <c r="N525">
        <f>2*SQRT(L525/PI())</f>
        <v/>
      </c>
      <c r="P525" t="inlineStr">
        <is>
          <t>是</t>
        </is>
      </c>
      <c r="Q525" t="inlineStr">
        <is>
          <t>auto_pipeline;review_png_green</t>
        </is>
      </c>
      <c r="R525" t="inlineStr">
        <is>
          <t>样品55</t>
        </is>
      </c>
    </row>
    <row r="526">
      <c r="A526" t="n">
        <v>525</v>
      </c>
      <c r="B526" t="inlineStr">
        <is>
          <t>55 (6).tif</t>
        </is>
      </c>
      <c r="C526" t="inlineStr">
        <is>
          <t>55(6)-V07</t>
        </is>
      </c>
      <c r="D526" t="n">
        <v>7</v>
      </c>
      <c r="E526" t="inlineStr">
        <is>
          <t>primary</t>
        </is>
      </c>
      <c r="F526" t="n">
        <v>110.2788279773157</v>
      </c>
      <c r="G526">
        <f>2*SQRT(F526/PI())</f>
        <v/>
      </c>
      <c r="H526" t="n">
        <v>42.26286113262177</v>
      </c>
      <c r="I526" t="n">
        <v>783</v>
      </c>
      <c r="J526" t="n">
        <v>461</v>
      </c>
      <c r="K526" t="n">
        <v>108.0732514177694</v>
      </c>
      <c r="L526" t="n">
        <v>112.484404536862</v>
      </c>
      <c r="M526">
        <f>2*SQRT(K526/PI())</f>
        <v/>
      </c>
      <c r="N526">
        <f>2*SQRT(L526/PI())</f>
        <v/>
      </c>
      <c r="P526" t="inlineStr">
        <is>
          <t>是</t>
        </is>
      </c>
      <c r="Q526" t="inlineStr">
        <is>
          <t>auto_pipeline;review_png_green</t>
        </is>
      </c>
      <c r="R526" t="inlineStr">
        <is>
          <t>样品55</t>
        </is>
      </c>
    </row>
    <row r="527">
      <c r="A527" t="n">
        <v>526</v>
      </c>
      <c r="B527" t="inlineStr">
        <is>
          <t>55 (6).tif</t>
        </is>
      </c>
      <c r="C527" t="inlineStr">
        <is>
          <t>55(6)-V08</t>
        </is>
      </c>
      <c r="D527" t="n">
        <v>8</v>
      </c>
      <c r="E527" t="inlineStr">
        <is>
          <t>primary</t>
        </is>
      </c>
      <c r="F527" t="n">
        <v>46.40831758034027</v>
      </c>
      <c r="G527">
        <f>2*SQRT(F527/PI())</f>
        <v/>
      </c>
      <c r="H527" t="n">
        <v>28.67005431133768</v>
      </c>
      <c r="I527" t="n">
        <v>565</v>
      </c>
      <c r="J527" t="n">
        <v>423</v>
      </c>
      <c r="K527" t="n">
        <v>45.48015122873346</v>
      </c>
      <c r="L527" t="n">
        <v>47.33648393194707</v>
      </c>
      <c r="M527">
        <f>2*SQRT(K527/PI())</f>
        <v/>
      </c>
      <c r="N527">
        <f>2*SQRT(L527/PI())</f>
        <v/>
      </c>
      <c r="P527" t="inlineStr">
        <is>
          <t>是</t>
        </is>
      </c>
      <c r="Q527" t="inlineStr">
        <is>
          <t>auto_pipeline;review_png_green</t>
        </is>
      </c>
      <c r="R527" t="inlineStr">
        <is>
          <t>样品55</t>
        </is>
      </c>
    </row>
    <row r="528">
      <c r="A528" t="n">
        <v>527</v>
      </c>
      <c r="B528" t="inlineStr">
        <is>
          <t>55 (7).tif</t>
        </is>
      </c>
      <c r="C528" t="inlineStr">
        <is>
          <t>55(7)-V01</t>
        </is>
      </c>
      <c r="D528" t="n">
        <v>1</v>
      </c>
      <c r="E528" t="inlineStr">
        <is>
          <t>primary</t>
        </is>
      </c>
      <c r="F528" t="n">
        <v>1284.948015122873</v>
      </c>
      <c r="G528">
        <f>2*SQRT(F528/PI())</f>
        <v/>
      </c>
      <c r="H528" t="n">
        <v>135.3350417251172</v>
      </c>
      <c r="I528" t="n">
        <v>239</v>
      </c>
      <c r="J528" t="n">
        <v>358</v>
      </c>
      <c r="K528" t="n">
        <v>1259.249054820416</v>
      </c>
      <c r="L528" t="n">
        <v>1310.646975425331</v>
      </c>
      <c r="M528">
        <f>2*SQRT(K528/PI())</f>
        <v/>
      </c>
      <c r="N528">
        <f>2*SQRT(L528/PI())</f>
        <v/>
      </c>
      <c r="P528" t="inlineStr">
        <is>
          <t>是</t>
        </is>
      </c>
      <c r="Q528" t="inlineStr">
        <is>
          <t>auto_pipeline;review_png_green</t>
        </is>
      </c>
      <c r="R528" t="inlineStr">
        <is>
          <t>样品55</t>
        </is>
      </c>
    </row>
    <row r="529">
      <c r="A529" t="n">
        <v>528</v>
      </c>
      <c r="B529" t="inlineStr">
        <is>
          <t>55 (7).tif</t>
        </is>
      </c>
      <c r="C529" t="inlineStr">
        <is>
          <t>55(7)-V02</t>
        </is>
      </c>
      <c r="D529" t="n">
        <v>2</v>
      </c>
      <c r="E529" t="inlineStr">
        <is>
          <t>primary</t>
        </is>
      </c>
      <c r="F529" t="n">
        <v>1108.766540642722</v>
      </c>
      <c r="G529">
        <f>2*SQRT(F529/PI())</f>
        <v/>
      </c>
      <c r="H529" t="n">
        <v>124.8384611243787</v>
      </c>
      <c r="I529" t="n">
        <v>638</v>
      </c>
      <c r="J529" t="n">
        <v>311</v>
      </c>
      <c r="K529" t="n">
        <v>1086.591209829867</v>
      </c>
      <c r="L529" t="n">
        <v>1130.941871455577</v>
      </c>
      <c r="M529">
        <f>2*SQRT(K529/PI())</f>
        <v/>
      </c>
      <c r="N529">
        <f>2*SQRT(L529/PI())</f>
        <v/>
      </c>
      <c r="P529" t="inlineStr">
        <is>
          <t>是</t>
        </is>
      </c>
      <c r="Q529" t="inlineStr">
        <is>
          <t>auto_pipeline;review_png_green</t>
        </is>
      </c>
      <c r="R529" t="inlineStr">
        <is>
          <t>样品55</t>
        </is>
      </c>
    </row>
    <row r="530">
      <c r="A530" t="n">
        <v>529</v>
      </c>
      <c r="B530" t="inlineStr">
        <is>
          <t>55 (7).tif</t>
        </is>
      </c>
      <c r="C530" t="inlineStr">
        <is>
          <t>55(7)-V03</t>
        </is>
      </c>
      <c r="D530" t="n">
        <v>3</v>
      </c>
      <c r="E530" t="inlineStr">
        <is>
          <t>primary</t>
        </is>
      </c>
      <c r="F530" t="n">
        <v>1021.006616257089</v>
      </c>
      <c r="G530">
        <f>2*SQRT(F530/PI())</f>
        <v/>
      </c>
      <c r="H530" t="n">
        <v>119.5155739006789</v>
      </c>
      <c r="I530" t="n">
        <v>462</v>
      </c>
      <c r="J530" t="n">
        <v>342</v>
      </c>
      <c r="K530" t="n">
        <v>1000.586483931947</v>
      </c>
      <c r="L530" t="n">
        <v>1041.426748582231</v>
      </c>
      <c r="M530">
        <f>2*SQRT(K530/PI())</f>
        <v/>
      </c>
      <c r="N530">
        <f>2*SQRT(L530/PI())</f>
        <v/>
      </c>
      <c r="P530" t="inlineStr">
        <is>
          <t>是</t>
        </is>
      </c>
      <c r="Q530" t="inlineStr">
        <is>
          <t>auto_pipeline;review_png_green</t>
        </is>
      </c>
      <c r="R530" t="inlineStr">
        <is>
          <t>样品55</t>
        </is>
      </c>
    </row>
    <row r="531">
      <c r="A531" t="n">
        <v>530</v>
      </c>
      <c r="B531" t="inlineStr">
        <is>
          <t>55 (7).tif</t>
        </is>
      </c>
      <c r="C531" t="inlineStr">
        <is>
          <t>55(7)-V04</t>
        </is>
      </c>
      <c r="D531" t="n">
        <v>4</v>
      </c>
      <c r="E531" t="inlineStr">
        <is>
          <t>primary</t>
        </is>
      </c>
      <c r="F531" t="n">
        <v>796.0775047258979</v>
      </c>
      <c r="G531">
        <f>2*SQRT(F531/PI())</f>
        <v/>
      </c>
      <c r="H531" t="n">
        <v>106.1774568454079</v>
      </c>
      <c r="I531" t="n">
        <v>108</v>
      </c>
      <c r="J531" t="n">
        <v>544</v>
      </c>
      <c r="K531" t="n">
        <v>780.1559546313799</v>
      </c>
      <c r="L531" t="n">
        <v>811.9990548204159</v>
      </c>
      <c r="M531">
        <f>2*SQRT(K531/PI())</f>
        <v/>
      </c>
      <c r="N531">
        <f>2*SQRT(L531/PI())</f>
        <v/>
      </c>
      <c r="P531" t="inlineStr">
        <is>
          <t>是</t>
        </is>
      </c>
      <c r="Q531" t="inlineStr">
        <is>
          <t>auto_pipeline;review_png_green</t>
        </is>
      </c>
      <c r="R531" t="inlineStr">
        <is>
          <t>样品55</t>
        </is>
      </c>
    </row>
    <row r="532">
      <c r="A532" t="n">
        <v>531</v>
      </c>
      <c r="B532" t="inlineStr">
        <is>
          <t>55 (7).tif</t>
        </is>
      </c>
      <c r="C532" t="inlineStr">
        <is>
          <t>55(7)-V05</t>
        </is>
      </c>
      <c r="D532" t="n">
        <v>5</v>
      </c>
      <c r="E532" t="inlineStr">
        <is>
          <t>primary</t>
        </is>
      </c>
      <c r="F532" t="n">
        <v>194.8724007561437</v>
      </c>
      <c r="G532">
        <f>2*SQRT(F532/PI())</f>
        <v/>
      </c>
      <c r="H532" t="n">
        <v>60.73472253654314</v>
      </c>
      <c r="I532" t="n">
        <v>452</v>
      </c>
      <c r="J532" t="n">
        <v>557</v>
      </c>
      <c r="K532" t="n">
        <v>190.9749527410208</v>
      </c>
      <c r="L532" t="n">
        <v>198.7698487712665</v>
      </c>
      <c r="M532">
        <f>2*SQRT(K532/PI())</f>
        <v/>
      </c>
      <c r="N532">
        <f>2*SQRT(L532/PI())</f>
        <v/>
      </c>
      <c r="P532" t="inlineStr">
        <is>
          <t>是</t>
        </is>
      </c>
      <c r="Q532" t="inlineStr">
        <is>
          <t>auto_pipeline;review_png_green</t>
        </is>
      </c>
      <c r="R532" t="inlineStr">
        <is>
          <t>样品55</t>
        </is>
      </c>
    </row>
    <row r="533">
      <c r="A533" t="n">
        <v>532</v>
      </c>
      <c r="B533" t="inlineStr">
        <is>
          <t>55 (8).tif</t>
        </is>
      </c>
      <c r="C533" t="inlineStr">
        <is>
          <t>55(8)-V01</t>
        </is>
      </c>
      <c r="D533" t="n">
        <v>1</v>
      </c>
      <c r="E533" t="inlineStr">
        <is>
          <t>primary</t>
        </is>
      </c>
      <c r="F533" t="n">
        <v>1263.445179584121</v>
      </c>
      <c r="G533">
        <f>2*SQRT(F533/PI())</f>
        <v/>
      </c>
      <c r="H533" t="n">
        <v>133.4904153709826</v>
      </c>
      <c r="I533" t="n">
        <v>618</v>
      </c>
      <c r="J533" t="n">
        <v>405</v>
      </c>
      <c r="K533" t="n">
        <v>1238.176275992439</v>
      </c>
      <c r="L533" t="n">
        <v>1288.714083175803</v>
      </c>
      <c r="M533">
        <f>2*SQRT(K533/PI())</f>
        <v/>
      </c>
      <c r="N533">
        <f>2*SQRT(L533/PI())</f>
        <v/>
      </c>
      <c r="O533" t="inlineStr">
        <is>
          <t>55(8)-P01</t>
        </is>
      </c>
      <c r="P533" t="inlineStr">
        <is>
          <t>是</t>
        </is>
      </c>
      <c r="Q533" t="inlineStr">
        <is>
          <t>auto_pipeline;review_png_green</t>
        </is>
      </c>
      <c r="R533" t="inlineStr">
        <is>
          <t>样品55</t>
        </is>
      </c>
    </row>
    <row r="534">
      <c r="A534" t="n">
        <v>533</v>
      </c>
      <c r="B534" t="inlineStr">
        <is>
          <t>55 (8).tif</t>
        </is>
      </c>
      <c r="C534" t="inlineStr">
        <is>
          <t>55(8)-V02</t>
        </is>
      </c>
      <c r="D534" t="n">
        <v>2</v>
      </c>
      <c r="E534" t="inlineStr">
        <is>
          <t>primary</t>
        </is>
      </c>
      <c r="F534" t="n">
        <v>1069.045368620038</v>
      </c>
      <c r="G534">
        <f>2*SQRT(F534/PI())</f>
        <v/>
      </c>
      <c r="H534" t="n">
        <v>122.6118001212244</v>
      </c>
      <c r="I534" t="n">
        <v>432</v>
      </c>
      <c r="J534" t="n">
        <v>299</v>
      </c>
      <c r="K534" t="n">
        <v>1047.664461247637</v>
      </c>
      <c r="L534" t="n">
        <v>1090.426275992439</v>
      </c>
      <c r="M534">
        <f>2*SQRT(K534/PI())</f>
        <v/>
      </c>
      <c r="N534">
        <f>2*SQRT(L534/PI())</f>
        <v/>
      </c>
      <c r="O534" t="inlineStr">
        <is>
          <t>55(8)-P01</t>
        </is>
      </c>
      <c r="P534" t="inlineStr">
        <is>
          <t>是</t>
        </is>
      </c>
      <c r="Q534" t="inlineStr">
        <is>
          <t>auto_pipeline;review_png_green</t>
        </is>
      </c>
      <c r="R534" t="inlineStr">
        <is>
          <t>样品55</t>
        </is>
      </c>
    </row>
    <row r="535">
      <c r="A535" t="n">
        <v>534</v>
      </c>
      <c r="B535" t="inlineStr">
        <is>
          <t>55 (8).tif</t>
        </is>
      </c>
      <c r="C535" t="inlineStr">
        <is>
          <t>55(8)-V03</t>
        </is>
      </c>
      <c r="D535" t="n">
        <v>3</v>
      </c>
      <c r="E535" t="inlineStr">
        <is>
          <t>primary</t>
        </is>
      </c>
      <c r="F535" t="n">
        <v>212.1928166351607</v>
      </c>
      <c r="G535">
        <f>2*SQRT(F535/PI())</f>
        <v/>
      </c>
      <c r="H535" t="n">
        <v>61.24035316964854</v>
      </c>
      <c r="I535" t="n">
        <v>758</v>
      </c>
      <c r="J535" t="n">
        <v>393</v>
      </c>
      <c r="K535" t="n">
        <v>207.9489603024575</v>
      </c>
      <c r="L535" t="n">
        <v>216.4366729678639</v>
      </c>
      <c r="M535">
        <f>2*SQRT(K535/PI())</f>
        <v/>
      </c>
      <c r="N535">
        <f>2*SQRT(L535/PI())</f>
        <v/>
      </c>
      <c r="P535" t="inlineStr">
        <is>
          <t>是</t>
        </is>
      </c>
      <c r="Q535" t="inlineStr">
        <is>
          <t>auto_pipeline;review_png_green</t>
        </is>
      </c>
      <c r="R535" t="inlineStr">
        <is>
          <t>样品55</t>
        </is>
      </c>
    </row>
    <row r="536">
      <c r="A536" t="n">
        <v>535</v>
      </c>
      <c r="B536" t="inlineStr">
        <is>
          <t>55 (8).tif</t>
        </is>
      </c>
      <c r="C536" t="inlineStr">
        <is>
          <t>55(8)-V04</t>
        </is>
      </c>
      <c r="D536" t="n">
        <v>4</v>
      </c>
      <c r="E536" t="inlineStr">
        <is>
          <t>primary</t>
        </is>
      </c>
      <c r="F536" t="n">
        <v>192.0604914933838</v>
      </c>
      <c r="G536">
        <f>2*SQRT(F536/PI())</f>
        <v/>
      </c>
      <c r="H536" t="n">
        <v>67.98588307007499</v>
      </c>
      <c r="I536" t="n">
        <v>491</v>
      </c>
      <c r="J536" t="n">
        <v>195</v>
      </c>
      <c r="K536" t="n">
        <v>188.2192816635161</v>
      </c>
      <c r="L536" t="n">
        <v>195.9017013232514</v>
      </c>
      <c r="M536">
        <f>2*SQRT(K536/PI())</f>
        <v/>
      </c>
      <c r="N536">
        <f>2*SQRT(L536/PI())</f>
        <v/>
      </c>
      <c r="P536" t="inlineStr">
        <is>
          <t>是</t>
        </is>
      </c>
      <c r="Q536" t="inlineStr">
        <is>
          <t>auto_pipeline;review_png_green</t>
        </is>
      </c>
      <c r="R536" t="inlineStr">
        <is>
          <t>样品55</t>
        </is>
      </c>
    </row>
    <row r="537">
      <c r="A537" t="n">
        <v>536</v>
      </c>
      <c r="B537" t="inlineStr">
        <is>
          <t>55 (8).tif</t>
        </is>
      </c>
      <c r="C537" t="inlineStr">
        <is>
          <t>55(8)-V05</t>
        </is>
      </c>
      <c r="D537" t="n">
        <v>5</v>
      </c>
      <c r="E537" t="inlineStr">
        <is>
          <t>primary</t>
        </is>
      </c>
      <c r="F537" t="n">
        <v>181.6398865784499</v>
      </c>
      <c r="G537">
        <f>2*SQRT(F537/PI())</f>
        <v/>
      </c>
      <c r="H537" t="n">
        <v>50.55462969386059</v>
      </c>
      <c r="I537" t="n">
        <v>901</v>
      </c>
      <c r="J537" t="n">
        <v>580</v>
      </c>
      <c r="K537" t="n">
        <v>178.0070888468809</v>
      </c>
      <c r="L537" t="n">
        <v>185.2726843100189</v>
      </c>
      <c r="M537">
        <f>2*SQRT(K537/PI())</f>
        <v/>
      </c>
      <c r="N537">
        <f>2*SQRT(L537/PI())</f>
        <v/>
      </c>
      <c r="P537" t="inlineStr">
        <is>
          <t>是</t>
        </is>
      </c>
      <c r="Q537" t="inlineStr">
        <is>
          <t>auto_pipeline;review_png_green</t>
        </is>
      </c>
      <c r="R537" t="inlineStr">
        <is>
          <t>样品55</t>
        </is>
      </c>
    </row>
    <row r="538">
      <c r="A538" t="n">
        <v>537</v>
      </c>
      <c r="B538" t="inlineStr">
        <is>
          <t>55 (8).tif</t>
        </is>
      </c>
      <c r="C538" t="inlineStr">
        <is>
          <t>55(8)-V06</t>
        </is>
      </c>
      <c r="D538" t="n">
        <v>6</v>
      </c>
      <c r="E538" t="inlineStr">
        <is>
          <t>primary</t>
        </is>
      </c>
      <c r="F538" t="n">
        <v>125.992438563327</v>
      </c>
      <c r="G538">
        <f>2*SQRT(F538/PI())</f>
        <v/>
      </c>
      <c r="H538" t="n">
        <v>43.76915076504583</v>
      </c>
      <c r="I538" t="n">
        <v>868</v>
      </c>
      <c r="J538" t="n">
        <v>482</v>
      </c>
      <c r="K538" t="n">
        <v>123.4725897920605</v>
      </c>
      <c r="L538" t="n">
        <v>128.5122873345936</v>
      </c>
      <c r="M538">
        <f>2*SQRT(K538/PI())</f>
        <v/>
      </c>
      <c r="N538">
        <f>2*SQRT(L538/PI())</f>
        <v/>
      </c>
      <c r="P538" t="inlineStr">
        <is>
          <t>是</t>
        </is>
      </c>
      <c r="Q538" t="inlineStr">
        <is>
          <t>auto_pipeline;review_png_green</t>
        </is>
      </c>
      <c r="R538" t="inlineStr">
        <is>
          <t>样品55</t>
        </is>
      </c>
    </row>
    <row r="539">
      <c r="A539" t="n">
        <v>538</v>
      </c>
      <c r="B539" t="inlineStr">
        <is>
          <t>55 (8).tif</t>
        </is>
      </c>
      <c r="C539" t="inlineStr">
        <is>
          <t>55(8)-V07</t>
        </is>
      </c>
      <c r="D539" t="n">
        <v>7</v>
      </c>
      <c r="E539" t="inlineStr">
        <is>
          <t>primary</t>
        </is>
      </c>
      <c r="F539" t="n">
        <v>124.3856332703214</v>
      </c>
      <c r="G539">
        <f>2*SQRT(F539/PI())</f>
        <v/>
      </c>
      <c r="H539" t="n">
        <v>47.75679116663726</v>
      </c>
      <c r="I539" t="n">
        <v>386</v>
      </c>
      <c r="J539" t="n">
        <v>141</v>
      </c>
      <c r="K539" t="n">
        <v>121.8979206049149</v>
      </c>
      <c r="L539" t="n">
        <v>126.8733459357278</v>
      </c>
      <c r="M539">
        <f>2*SQRT(K539/PI())</f>
        <v/>
      </c>
      <c r="N539">
        <f>2*SQRT(L539/PI())</f>
        <v/>
      </c>
      <c r="P539" t="inlineStr">
        <is>
          <t>是</t>
        </is>
      </c>
      <c r="Q539" t="inlineStr">
        <is>
          <t>auto_pipeline;review_png_green</t>
        </is>
      </c>
      <c r="R539" t="inlineStr">
        <is>
          <t>样品55</t>
        </is>
      </c>
    </row>
    <row r="540">
      <c r="A540" t="n">
        <v>539</v>
      </c>
      <c r="B540" t="inlineStr">
        <is>
          <t>55 (8).tif</t>
        </is>
      </c>
      <c r="C540" t="inlineStr">
        <is>
          <t>55(8)-V08</t>
        </is>
      </c>
      <c r="D540" t="n">
        <v>8</v>
      </c>
      <c r="E540" t="inlineStr">
        <is>
          <t>primary</t>
        </is>
      </c>
      <c r="F540" t="n">
        <v>123.9839319470699</v>
      </c>
      <c r="G540">
        <f>2*SQRT(F540/PI())</f>
        <v/>
      </c>
      <c r="H540" t="n">
        <v>47.58574835632158</v>
      </c>
      <c r="I540" t="n">
        <v>601</v>
      </c>
      <c r="J540" t="n">
        <v>255</v>
      </c>
      <c r="K540" t="n">
        <v>121.5042533081285</v>
      </c>
      <c r="L540" t="n">
        <v>126.4636105860114</v>
      </c>
      <c r="M540">
        <f>2*SQRT(K540/PI())</f>
        <v/>
      </c>
      <c r="N540">
        <f>2*SQRT(L540/PI())</f>
        <v/>
      </c>
      <c r="P540" t="inlineStr">
        <is>
          <t>是</t>
        </is>
      </c>
      <c r="Q540" t="inlineStr">
        <is>
          <t>auto_pipeline;review_png_green</t>
        </is>
      </c>
      <c r="R540" t="inlineStr">
        <is>
          <t>样品55</t>
        </is>
      </c>
    </row>
    <row r="541">
      <c r="A541" t="n">
        <v>540</v>
      </c>
      <c r="B541" t="inlineStr">
        <is>
          <t>56 (1).tif</t>
        </is>
      </c>
      <c r="C541" t="inlineStr">
        <is>
          <t>56(1)-V01</t>
        </is>
      </c>
      <c r="D541" t="n">
        <v>1</v>
      </c>
      <c r="E541" t="inlineStr">
        <is>
          <t>primary</t>
        </is>
      </c>
      <c r="F541" t="n">
        <v>1460.396975425331</v>
      </c>
      <c r="G541">
        <f>2*SQRT(F541/PI())</f>
        <v/>
      </c>
      <c r="H541" t="n">
        <v>143.4994654033495</v>
      </c>
      <c r="I541" t="n">
        <v>833</v>
      </c>
      <c r="J541" t="n">
        <v>154</v>
      </c>
      <c r="K541" t="n">
        <v>1431.189035916824</v>
      </c>
      <c r="L541" t="n">
        <v>1489.604914933837</v>
      </c>
      <c r="M541">
        <f>2*SQRT(K541/PI())</f>
        <v/>
      </c>
      <c r="N541">
        <f>2*SQRT(L541/PI())</f>
        <v/>
      </c>
      <c r="P541" t="inlineStr">
        <is>
          <t>是</t>
        </is>
      </c>
      <c r="Q541" t="inlineStr">
        <is>
          <t>auto_pipeline;review_png_green</t>
        </is>
      </c>
      <c r="R541" t="inlineStr">
        <is>
          <t>样品56</t>
        </is>
      </c>
    </row>
    <row r="542">
      <c r="A542" t="n">
        <v>541</v>
      </c>
      <c r="B542" t="inlineStr">
        <is>
          <t>56 (1).tif</t>
        </is>
      </c>
      <c r="C542" t="inlineStr">
        <is>
          <t>56(1)-V02</t>
        </is>
      </c>
      <c r="D542" t="n">
        <v>2</v>
      </c>
      <c r="E542" t="inlineStr">
        <is>
          <t>primary</t>
        </is>
      </c>
      <c r="F542" t="n">
        <v>1332.868620037807</v>
      </c>
      <c r="G542">
        <f>2*SQRT(F542/PI())</f>
        <v/>
      </c>
      <c r="H542" t="n">
        <v>138.1984271433042</v>
      </c>
      <c r="I542" t="n">
        <v>863</v>
      </c>
      <c r="J542" t="n">
        <v>574</v>
      </c>
      <c r="K542" t="n">
        <v>1306.211247637051</v>
      </c>
      <c r="L542" t="n">
        <v>1359.525992438563</v>
      </c>
      <c r="M542">
        <f>2*SQRT(K542/PI())</f>
        <v/>
      </c>
      <c r="N542">
        <f>2*SQRT(L542/PI())</f>
        <v/>
      </c>
      <c r="P542" t="inlineStr">
        <is>
          <t>是</t>
        </is>
      </c>
      <c r="Q542" t="inlineStr">
        <is>
          <t>auto_pipeline;review_png_green</t>
        </is>
      </c>
      <c r="R542" t="inlineStr">
        <is>
          <t>样品56</t>
        </is>
      </c>
    </row>
    <row r="543">
      <c r="A543" t="n">
        <v>542</v>
      </c>
      <c r="B543" t="inlineStr">
        <is>
          <t>56 (1).tif</t>
        </is>
      </c>
      <c r="C543" t="inlineStr">
        <is>
          <t>56(1)-V03</t>
        </is>
      </c>
      <c r="D543" t="n">
        <v>3</v>
      </c>
      <c r="E543" t="inlineStr">
        <is>
          <t>primary</t>
        </is>
      </c>
      <c r="F543" t="n">
        <v>1114.933837429111</v>
      </c>
      <c r="G543">
        <f>2*SQRT(F543/PI())</f>
        <v/>
      </c>
      <c r="H543" t="n">
        <v>125.5806814587635</v>
      </c>
      <c r="I543" t="n">
        <v>398</v>
      </c>
      <c r="J543" t="n">
        <v>352</v>
      </c>
      <c r="K543" t="n">
        <v>1092.635160680529</v>
      </c>
      <c r="L543" t="n">
        <v>1137.232514177694</v>
      </c>
      <c r="M543">
        <f>2*SQRT(K543/PI())</f>
        <v/>
      </c>
      <c r="N543">
        <f>2*SQRT(L543/PI())</f>
        <v/>
      </c>
      <c r="P543" t="inlineStr">
        <is>
          <t>是</t>
        </is>
      </c>
      <c r="Q543" t="inlineStr">
        <is>
          <t>auto_pipeline;review_png_green</t>
        </is>
      </c>
      <c r="R543" t="inlineStr">
        <is>
          <t>样品56</t>
        </is>
      </c>
    </row>
    <row r="544">
      <c r="A544" t="n">
        <v>543</v>
      </c>
      <c r="B544" t="inlineStr">
        <is>
          <t>56 (1).tif</t>
        </is>
      </c>
      <c r="C544" t="inlineStr">
        <is>
          <t>56(1)-V04</t>
        </is>
      </c>
      <c r="D544" t="n">
        <v>4</v>
      </c>
      <c r="E544" t="inlineStr">
        <is>
          <t>primary</t>
        </is>
      </c>
      <c r="F544" t="n">
        <v>989.0595463137996</v>
      </c>
      <c r="G544">
        <f>2*SQRT(F544/PI())</f>
        <v/>
      </c>
      <c r="H544" t="n">
        <v>121.8695797868397</v>
      </c>
      <c r="I544" t="n">
        <v>515</v>
      </c>
      <c r="J544" t="n">
        <v>315</v>
      </c>
      <c r="K544" t="n">
        <v>969.2783553875236</v>
      </c>
      <c r="L544" t="n">
        <v>1008.840737240076</v>
      </c>
      <c r="M544">
        <f>2*SQRT(K544/PI())</f>
        <v/>
      </c>
      <c r="N544">
        <f>2*SQRT(L544/PI())</f>
        <v/>
      </c>
      <c r="O544" t="inlineStr">
        <is>
          <t>56(1)-P01</t>
        </is>
      </c>
      <c r="P544" t="inlineStr">
        <is>
          <t>是</t>
        </is>
      </c>
      <c r="Q544" t="inlineStr">
        <is>
          <t>auto_pipeline;review_png_green</t>
        </is>
      </c>
      <c r="R544" t="inlineStr">
        <is>
          <t>样品56</t>
        </is>
      </c>
    </row>
    <row r="545">
      <c r="A545" t="n">
        <v>544</v>
      </c>
      <c r="B545" t="inlineStr">
        <is>
          <t>56 (1).tif</t>
        </is>
      </c>
      <c r="C545" t="inlineStr">
        <is>
          <t>56(1)-V05</t>
        </is>
      </c>
      <c r="D545" t="n">
        <v>5</v>
      </c>
      <c r="E545" t="inlineStr">
        <is>
          <t>primary</t>
        </is>
      </c>
      <c r="F545" t="n">
        <v>827.4338374291116</v>
      </c>
      <c r="G545">
        <f>2*SQRT(F545/PI())</f>
        <v/>
      </c>
      <c r="H545" t="n">
        <v>108.4041178485622</v>
      </c>
      <c r="I545" t="n">
        <v>684</v>
      </c>
      <c r="J545" t="n">
        <v>346</v>
      </c>
      <c r="K545" t="n">
        <v>810.8851606805293</v>
      </c>
      <c r="L545" t="n">
        <v>843.9825141776938</v>
      </c>
      <c r="M545">
        <f>2*SQRT(K545/PI())</f>
        <v/>
      </c>
      <c r="N545">
        <f>2*SQRT(L545/PI())</f>
        <v/>
      </c>
      <c r="P545" t="inlineStr">
        <is>
          <t>是</t>
        </is>
      </c>
      <c r="Q545" t="inlineStr">
        <is>
          <t>auto_pipeline;review_png_green</t>
        </is>
      </c>
      <c r="R545" t="inlineStr">
        <is>
          <t>样品56</t>
        </is>
      </c>
    </row>
    <row r="546">
      <c r="A546" t="n">
        <v>545</v>
      </c>
      <c r="B546" t="inlineStr">
        <is>
          <t>56 (1).tif</t>
        </is>
      </c>
      <c r="C546" t="inlineStr">
        <is>
          <t>56(1)-V06</t>
        </is>
      </c>
      <c r="D546" t="n">
        <v>6</v>
      </c>
      <c r="E546" t="inlineStr">
        <is>
          <t>primary</t>
        </is>
      </c>
      <c r="F546" t="n">
        <v>209.2627599243856</v>
      </c>
      <c r="G546">
        <f>2*SQRT(F546/PI())</f>
        <v/>
      </c>
      <c r="H546" t="n">
        <v>55.24079250252765</v>
      </c>
      <c r="I546" t="n">
        <v>559</v>
      </c>
      <c r="J546" t="n">
        <v>414</v>
      </c>
      <c r="K546" t="n">
        <v>205.0775047258979</v>
      </c>
      <c r="L546" t="n">
        <v>213.4480151228734</v>
      </c>
      <c r="M546">
        <f>2*SQRT(K546/PI())</f>
        <v/>
      </c>
      <c r="N546">
        <f>2*SQRT(L546/PI())</f>
        <v/>
      </c>
      <c r="O546" t="inlineStr">
        <is>
          <t>56(1)-P01</t>
        </is>
      </c>
      <c r="P546" t="inlineStr">
        <is>
          <t>是</t>
        </is>
      </c>
      <c r="Q546" t="inlineStr">
        <is>
          <t>auto_pipeline;review_png_green</t>
        </is>
      </c>
      <c r="R546" t="inlineStr">
        <is>
          <t>样品56</t>
        </is>
      </c>
    </row>
    <row r="547">
      <c r="A547" t="n">
        <v>546</v>
      </c>
      <c r="B547" t="inlineStr">
        <is>
          <t>56 (1).tif</t>
        </is>
      </c>
      <c r="C547" t="inlineStr">
        <is>
          <t>56(1)-V07</t>
        </is>
      </c>
      <c r="D547" t="n">
        <v>7</v>
      </c>
      <c r="E547" t="inlineStr">
        <is>
          <t>primary</t>
        </is>
      </c>
      <c r="F547" t="n">
        <v>113.9177693761815</v>
      </c>
      <c r="G547">
        <f>2*SQRT(F547/PI())</f>
        <v/>
      </c>
      <c r="H547" t="n">
        <v>47.52395036427871</v>
      </c>
      <c r="I547" t="n">
        <v>378</v>
      </c>
      <c r="J547" t="n">
        <v>497</v>
      </c>
      <c r="K547" t="n">
        <v>111.6394139886578</v>
      </c>
      <c r="L547" t="n">
        <v>116.1961247637051</v>
      </c>
      <c r="M547">
        <f>2*SQRT(K547/PI())</f>
        <v/>
      </c>
      <c r="N547">
        <f>2*SQRT(L547/PI())</f>
        <v/>
      </c>
      <c r="P547" t="inlineStr">
        <is>
          <t>是</t>
        </is>
      </c>
      <c r="Q547" t="inlineStr">
        <is>
          <t>auto_pipeline;review_png_green</t>
        </is>
      </c>
      <c r="R547" t="inlineStr">
        <is>
          <t>样品56</t>
        </is>
      </c>
    </row>
    <row r="548">
      <c r="A548" t="n">
        <v>547</v>
      </c>
      <c r="B548" t="inlineStr">
        <is>
          <t>56 (1).tif</t>
        </is>
      </c>
      <c r="C548" t="inlineStr">
        <is>
          <t>56(1)-V08</t>
        </is>
      </c>
      <c r="D548" t="n">
        <v>8</v>
      </c>
      <c r="E548" t="inlineStr">
        <is>
          <t>primary</t>
        </is>
      </c>
      <c r="F548" t="n">
        <v>112.6654064272212</v>
      </c>
      <c r="G548">
        <f>2*SQRT(F548/PI())</f>
        <v/>
      </c>
      <c r="H548" t="n">
        <v>43.91834461170694</v>
      </c>
      <c r="I548" t="n">
        <v>49</v>
      </c>
      <c r="J548" t="n">
        <v>467</v>
      </c>
      <c r="K548" t="n">
        <v>110.4120982986767</v>
      </c>
      <c r="L548" t="n">
        <v>114.9187145557656</v>
      </c>
      <c r="M548">
        <f>2*SQRT(K548/PI())</f>
        <v/>
      </c>
      <c r="N548">
        <f>2*SQRT(L548/PI())</f>
        <v/>
      </c>
      <c r="P548" t="inlineStr">
        <is>
          <t>是</t>
        </is>
      </c>
      <c r="Q548" t="inlineStr">
        <is>
          <t>auto_pipeline;review_png_green</t>
        </is>
      </c>
      <c r="R548" t="inlineStr">
        <is>
          <t>样品56</t>
        </is>
      </c>
    </row>
    <row r="549">
      <c r="A549" t="n">
        <v>548</v>
      </c>
      <c r="B549" t="inlineStr">
        <is>
          <t>56 (2).tif</t>
        </is>
      </c>
      <c r="C549" t="inlineStr">
        <is>
          <t>56(2)-V01</t>
        </is>
      </c>
      <c r="D549" t="n">
        <v>1</v>
      </c>
      <c r="E549" t="inlineStr">
        <is>
          <t>primary</t>
        </is>
      </c>
      <c r="F549" t="n">
        <v>790.359168241966</v>
      </c>
      <c r="G549">
        <f>2*SQRT(F549/PI())</f>
        <v/>
      </c>
      <c r="H549" t="n">
        <v>105.3078916280166</v>
      </c>
      <c r="I549" t="n">
        <v>471</v>
      </c>
      <c r="J549" t="n">
        <v>297</v>
      </c>
      <c r="K549" t="n">
        <v>774.5519848771266</v>
      </c>
      <c r="L549" t="n">
        <v>806.1663516068054</v>
      </c>
      <c r="M549">
        <f>2*SQRT(K549/PI())</f>
        <v/>
      </c>
      <c r="N549">
        <f>2*SQRT(L549/PI())</f>
        <v/>
      </c>
      <c r="P549" t="inlineStr">
        <is>
          <t>是</t>
        </is>
      </c>
      <c r="Q549" t="inlineStr">
        <is>
          <t>auto_pipeline;review_png_green</t>
        </is>
      </c>
      <c r="R549" t="inlineStr">
        <is>
          <t>样品56</t>
        </is>
      </c>
    </row>
    <row r="550">
      <c r="A550" t="n">
        <v>549</v>
      </c>
      <c r="B550" t="inlineStr">
        <is>
          <t>56 (2).tif</t>
        </is>
      </c>
      <c r="C550" t="inlineStr">
        <is>
          <t>56(2)-V02</t>
        </is>
      </c>
      <c r="D550" t="n">
        <v>2</v>
      </c>
      <c r="E550" t="inlineStr">
        <is>
          <t>primary</t>
        </is>
      </c>
      <c r="F550" t="n">
        <v>691.9659735349717</v>
      </c>
      <c r="G550">
        <f>2*SQRT(F550/PI())</f>
        <v/>
      </c>
      <c r="H550" t="n">
        <v>99.87950848496479</v>
      </c>
      <c r="I550" t="n">
        <v>750</v>
      </c>
      <c r="J550" t="n">
        <v>207</v>
      </c>
      <c r="K550" t="n">
        <v>678.1266540642722</v>
      </c>
      <c r="L550" t="n">
        <v>705.8052930056712</v>
      </c>
      <c r="M550">
        <f>2*SQRT(K550/PI())</f>
        <v/>
      </c>
      <c r="N550">
        <f>2*SQRT(L550/PI())</f>
        <v/>
      </c>
      <c r="O550" t="inlineStr">
        <is>
          <t>56(2)-P01</t>
        </is>
      </c>
      <c r="P550" t="inlineStr">
        <is>
          <t>是</t>
        </is>
      </c>
      <c r="Q550" t="inlineStr">
        <is>
          <t>auto_pipeline;review_png_green</t>
        </is>
      </c>
      <c r="R550" t="inlineStr">
        <is>
          <t>样品56</t>
        </is>
      </c>
    </row>
    <row r="551">
      <c r="A551" t="n">
        <v>550</v>
      </c>
      <c r="B551" t="inlineStr">
        <is>
          <t>56 (2).tif</t>
        </is>
      </c>
      <c r="C551" t="inlineStr">
        <is>
          <t>56(2)-V03</t>
        </is>
      </c>
      <c r="D551" t="n">
        <v>3</v>
      </c>
      <c r="E551" t="inlineStr">
        <is>
          <t>primary</t>
        </is>
      </c>
      <c r="F551" t="n">
        <v>480.4584120982987</v>
      </c>
      <c r="G551">
        <f>2*SQRT(F551/PI())</f>
        <v/>
      </c>
      <c r="H551" t="n">
        <v>82.44825510875039</v>
      </c>
      <c r="I551" t="n">
        <v>423</v>
      </c>
      <c r="J551" t="n">
        <v>99</v>
      </c>
      <c r="K551" t="n">
        <v>470.8492438563327</v>
      </c>
      <c r="L551" t="n">
        <v>490.0675803402646</v>
      </c>
      <c r="M551">
        <f>2*SQRT(K551/PI())</f>
        <v/>
      </c>
      <c r="N551">
        <f>2*SQRT(L551/PI())</f>
        <v/>
      </c>
      <c r="P551" t="inlineStr">
        <is>
          <t>是</t>
        </is>
      </c>
      <c r="Q551" t="inlineStr">
        <is>
          <t>auto_pipeline;review_png_green</t>
        </is>
      </c>
      <c r="R551" t="inlineStr">
        <is>
          <t>样品56</t>
        </is>
      </c>
    </row>
    <row r="552">
      <c r="A552" t="n">
        <v>551</v>
      </c>
      <c r="B552" t="inlineStr">
        <is>
          <t>56 (2).tif</t>
        </is>
      </c>
      <c r="C552" t="inlineStr">
        <is>
          <t>56(2)-V04</t>
        </is>
      </c>
      <c r="D552" t="n">
        <v>4</v>
      </c>
      <c r="E552" t="inlineStr">
        <is>
          <t>primary</t>
        </is>
      </c>
      <c r="F552" t="n">
        <v>307.3251417769376</v>
      </c>
      <c r="G552">
        <f>2*SQRT(F552/PI())</f>
        <v/>
      </c>
      <c r="H552" t="n">
        <v>65.63187718391418</v>
      </c>
      <c r="I552" t="n">
        <v>683</v>
      </c>
      <c r="J552" t="n">
        <v>631</v>
      </c>
      <c r="K552" t="n">
        <v>301.1786389413989</v>
      </c>
      <c r="L552" t="n">
        <v>313.4716446124764</v>
      </c>
      <c r="M552">
        <f>2*SQRT(K552/PI())</f>
        <v/>
      </c>
      <c r="N552">
        <f>2*SQRT(L552/PI())</f>
        <v/>
      </c>
      <c r="P552" t="inlineStr">
        <is>
          <t>是</t>
        </is>
      </c>
      <c r="Q552" t="inlineStr">
        <is>
          <t>auto_pipeline;review_png_green</t>
        </is>
      </c>
      <c r="R552" t="inlineStr">
        <is>
          <t>样品56</t>
        </is>
      </c>
    </row>
    <row r="553">
      <c r="A553" t="n">
        <v>552</v>
      </c>
      <c r="B553" t="inlineStr">
        <is>
          <t>56 (2).tif</t>
        </is>
      </c>
      <c r="C553" t="inlineStr">
        <is>
          <t>56(2)-V05</t>
        </is>
      </c>
      <c r="D553" t="n">
        <v>5</v>
      </c>
      <c r="E553" t="inlineStr">
        <is>
          <t>primary</t>
        </is>
      </c>
      <c r="F553" t="n">
        <v>297.7315689981097</v>
      </c>
      <c r="G553">
        <f>2*SQRT(F553/PI())</f>
        <v/>
      </c>
      <c r="H553" t="n">
        <v>65.01700173253599</v>
      </c>
      <c r="I553" t="n">
        <v>807</v>
      </c>
      <c r="J553" t="n">
        <v>322</v>
      </c>
      <c r="K553" t="n">
        <v>291.7769376181474</v>
      </c>
      <c r="L553" t="n">
        <v>303.6862003780719</v>
      </c>
      <c r="M553">
        <f>2*SQRT(K553/PI())</f>
        <v/>
      </c>
      <c r="N553">
        <f>2*SQRT(L553/PI())</f>
        <v/>
      </c>
      <c r="P553" t="inlineStr">
        <is>
          <t>是</t>
        </is>
      </c>
      <c r="Q553" t="inlineStr">
        <is>
          <t>auto_pipeline;review_png_green</t>
        </is>
      </c>
      <c r="R553" t="inlineStr">
        <is>
          <t>样品56</t>
        </is>
      </c>
    </row>
    <row r="554">
      <c r="A554" t="n">
        <v>553</v>
      </c>
      <c r="B554" t="inlineStr">
        <is>
          <t>56 (2).tif</t>
        </is>
      </c>
      <c r="C554" t="inlineStr">
        <is>
          <t>56(2)-V06</t>
        </is>
      </c>
      <c r="D554" t="n">
        <v>6</v>
      </c>
      <c r="E554" t="inlineStr">
        <is>
          <t>primary</t>
        </is>
      </c>
      <c r="F554" t="n">
        <v>152.5047258979206</v>
      </c>
      <c r="G554">
        <f>2*SQRT(F554/PI())</f>
        <v/>
      </c>
      <c r="H554" t="n">
        <v>47.09821778794993</v>
      </c>
      <c r="I554" t="n">
        <v>43</v>
      </c>
      <c r="J554" t="n">
        <v>493</v>
      </c>
      <c r="K554" t="n">
        <v>149.4546313799622</v>
      </c>
      <c r="L554" t="n">
        <v>155.554820415879</v>
      </c>
      <c r="M554">
        <f>2*SQRT(K554/PI())</f>
        <v/>
      </c>
      <c r="N554">
        <f>2*SQRT(L554/PI())</f>
        <v/>
      </c>
      <c r="P554" t="inlineStr">
        <is>
          <t>是</t>
        </is>
      </c>
      <c r="Q554" t="inlineStr">
        <is>
          <t>auto_pipeline;review_png_green</t>
        </is>
      </c>
      <c r="R554" t="inlineStr">
        <is>
          <t>样品56</t>
        </is>
      </c>
    </row>
    <row r="555">
      <c r="A555" t="n">
        <v>554</v>
      </c>
      <c r="B555" t="inlineStr">
        <is>
          <t>56 (2).tif</t>
        </is>
      </c>
      <c r="C555" t="inlineStr">
        <is>
          <t>56(2)-V07</t>
        </is>
      </c>
      <c r="D555" t="n">
        <v>7</v>
      </c>
      <c r="E555" t="inlineStr">
        <is>
          <t>primary</t>
        </is>
      </c>
      <c r="F555" t="n">
        <v>135.5151228733459</v>
      </c>
      <c r="G555">
        <f>2*SQRT(F555/PI())</f>
        <v/>
      </c>
      <c r="H555" t="n">
        <v>45.38093631682189</v>
      </c>
      <c r="I555" t="n">
        <v>925</v>
      </c>
      <c r="J555" t="n">
        <v>416</v>
      </c>
      <c r="K555" t="n">
        <v>132.804820415879</v>
      </c>
      <c r="L555" t="n">
        <v>138.2254253308129</v>
      </c>
      <c r="M555">
        <f>2*SQRT(K555/PI())</f>
        <v/>
      </c>
      <c r="N555">
        <f>2*SQRT(L555/PI())</f>
        <v/>
      </c>
      <c r="P555" t="inlineStr">
        <is>
          <t>是</t>
        </is>
      </c>
      <c r="Q555" t="inlineStr">
        <is>
          <t>auto_pipeline;review_png_green</t>
        </is>
      </c>
      <c r="R555" t="inlineStr">
        <is>
          <t>样品56</t>
        </is>
      </c>
    </row>
    <row r="556">
      <c r="A556" t="n">
        <v>555</v>
      </c>
      <c r="B556" t="inlineStr">
        <is>
          <t>56 (2).tif</t>
        </is>
      </c>
      <c r="C556" t="inlineStr">
        <is>
          <t>56(2)-V08</t>
        </is>
      </c>
      <c r="D556" t="n">
        <v>8</v>
      </c>
      <c r="E556" t="inlineStr">
        <is>
          <t>primary</t>
        </is>
      </c>
      <c r="F556" t="n">
        <v>132.9158790170132</v>
      </c>
      <c r="G556">
        <f>2*SQRT(F556/PI())</f>
        <v/>
      </c>
      <c r="H556" t="n">
        <v>49.98345216979151</v>
      </c>
      <c r="I556" t="n">
        <v>845</v>
      </c>
      <c r="J556" t="n">
        <v>219</v>
      </c>
      <c r="K556" t="n">
        <v>130.2575614366729</v>
      </c>
      <c r="L556" t="n">
        <v>135.5741965973535</v>
      </c>
      <c r="M556">
        <f>2*SQRT(K556/PI())</f>
        <v/>
      </c>
      <c r="N556">
        <f>2*SQRT(L556/PI())</f>
        <v/>
      </c>
      <c r="P556" t="inlineStr">
        <is>
          <t>是</t>
        </is>
      </c>
      <c r="Q556" t="inlineStr">
        <is>
          <t>auto_pipeline;review_png_green</t>
        </is>
      </c>
      <c r="R556" t="inlineStr">
        <is>
          <t>样品56</t>
        </is>
      </c>
    </row>
    <row r="557">
      <c r="A557" t="n">
        <v>556</v>
      </c>
      <c r="B557" t="inlineStr">
        <is>
          <t>56 (2).tif</t>
        </is>
      </c>
      <c r="C557" t="inlineStr">
        <is>
          <t>56(2)-V09</t>
        </is>
      </c>
      <c r="D557" t="n">
        <v>9</v>
      </c>
      <c r="E557" t="inlineStr">
        <is>
          <t>primary</t>
        </is>
      </c>
      <c r="F557" t="n">
        <v>39.0359168241966</v>
      </c>
      <c r="G557">
        <f>2*SQRT(F557/PI())</f>
        <v/>
      </c>
      <c r="H557" t="n">
        <v>29.28492976271588</v>
      </c>
      <c r="I557" t="n">
        <v>792</v>
      </c>
      <c r="J557" t="n">
        <v>247</v>
      </c>
      <c r="K557" t="n">
        <v>38.25519848771266</v>
      </c>
      <c r="L557" t="n">
        <v>39.81663516068053</v>
      </c>
      <c r="M557">
        <f>2*SQRT(K557/PI())</f>
        <v/>
      </c>
      <c r="N557">
        <f>2*SQRT(L557/PI())</f>
        <v/>
      </c>
      <c r="O557" t="inlineStr">
        <is>
          <t>56(2)-P01</t>
        </is>
      </c>
      <c r="P557" t="inlineStr">
        <is>
          <t>是</t>
        </is>
      </c>
      <c r="Q557" t="inlineStr">
        <is>
          <t>auto_pipeline;review_png_green</t>
        </is>
      </c>
      <c r="R557" t="inlineStr">
        <is>
          <t>样品56</t>
        </is>
      </c>
    </row>
    <row r="558">
      <c r="A558" t="n">
        <v>557</v>
      </c>
      <c r="B558" t="inlineStr">
        <is>
          <t>56 (3).tif</t>
        </is>
      </c>
      <c r="C558" t="inlineStr">
        <is>
          <t>56(3)-V01</t>
        </is>
      </c>
      <c r="D558" t="n">
        <v>1</v>
      </c>
      <c r="E558" t="inlineStr">
        <is>
          <t>primary</t>
        </is>
      </c>
      <c r="F558" t="n">
        <v>979.749527410208</v>
      </c>
      <c r="G558">
        <f>2*SQRT(F558/PI())</f>
        <v/>
      </c>
      <c r="H558" t="n">
        <v>118.0311332319094</v>
      </c>
      <c r="I558" t="n">
        <v>478</v>
      </c>
      <c r="J558" t="n">
        <v>464</v>
      </c>
      <c r="K558" t="n">
        <v>960.1545368620039</v>
      </c>
      <c r="L558" t="n">
        <v>999.3445179584121</v>
      </c>
      <c r="M558">
        <f>2*SQRT(K558/PI())</f>
        <v/>
      </c>
      <c r="N558">
        <f>2*SQRT(L558/PI())</f>
        <v/>
      </c>
      <c r="P558" t="inlineStr">
        <is>
          <t>是</t>
        </is>
      </c>
      <c r="Q558" t="inlineStr">
        <is>
          <t>auto_pipeline;review_png_green</t>
        </is>
      </c>
      <c r="R558" t="inlineStr">
        <is>
          <t>样品56</t>
        </is>
      </c>
    </row>
    <row r="559">
      <c r="A559" t="n">
        <v>558</v>
      </c>
      <c r="B559" t="inlineStr">
        <is>
          <t>56 (3).tif</t>
        </is>
      </c>
      <c r="C559" t="inlineStr">
        <is>
          <t>56(3)-V02</t>
        </is>
      </c>
      <c r="D559" t="n">
        <v>2</v>
      </c>
      <c r="E559" t="inlineStr">
        <is>
          <t>primary</t>
        </is>
      </c>
      <c r="F559" t="n">
        <v>154.3005671077505</v>
      </c>
      <c r="G559">
        <f>2*SQRT(F559/PI())</f>
        <v/>
      </c>
      <c r="H559" t="n">
        <v>47.96778300534124</v>
      </c>
      <c r="I559" t="n">
        <v>698</v>
      </c>
      <c r="J559" t="n">
        <v>174</v>
      </c>
      <c r="K559" t="n">
        <v>151.2145557655955</v>
      </c>
      <c r="L559" t="n">
        <v>157.3865784499055</v>
      </c>
      <c r="M559">
        <f>2*SQRT(K559/PI())</f>
        <v/>
      </c>
      <c r="N559">
        <f>2*SQRT(L559/PI())</f>
        <v/>
      </c>
      <c r="P559" t="inlineStr">
        <is>
          <t>是</t>
        </is>
      </c>
      <c r="Q559" t="inlineStr">
        <is>
          <t>auto_pipeline;review_png_green</t>
        </is>
      </c>
      <c r="R559" t="inlineStr">
        <is>
          <t>样品56</t>
        </is>
      </c>
    </row>
    <row r="560">
      <c r="A560" t="n">
        <v>559</v>
      </c>
      <c r="B560" t="inlineStr">
        <is>
          <t>56 (3).tif</t>
        </is>
      </c>
      <c r="C560" t="inlineStr">
        <is>
          <t>56(3)-V03</t>
        </is>
      </c>
      <c r="D560" t="n">
        <v>3</v>
      </c>
      <c r="E560" t="inlineStr">
        <is>
          <t>primary</t>
        </is>
      </c>
      <c r="F560" t="n">
        <v>131.3327032136106</v>
      </c>
      <c r="G560">
        <f>2*SQRT(F560/PI())</f>
        <v/>
      </c>
      <c r="H560" t="n">
        <v>52.86868655163309</v>
      </c>
      <c r="I560" t="n">
        <v>278</v>
      </c>
      <c r="J560" t="n">
        <v>468</v>
      </c>
      <c r="K560" t="n">
        <v>128.7060491493384</v>
      </c>
      <c r="L560" t="n">
        <v>133.9593572778828</v>
      </c>
      <c r="M560">
        <f>2*SQRT(K560/PI())</f>
        <v/>
      </c>
      <c r="N560">
        <f>2*SQRT(L560/PI())</f>
        <v/>
      </c>
      <c r="P560" t="inlineStr">
        <is>
          <t>是</t>
        </is>
      </c>
      <c r="Q560" t="inlineStr">
        <is>
          <t>auto_pipeline;review_png_green</t>
        </is>
      </c>
      <c r="R560" t="inlineStr">
        <is>
          <t>样品56</t>
        </is>
      </c>
    </row>
    <row r="561">
      <c r="A561" t="n">
        <v>560</v>
      </c>
      <c r="B561" t="inlineStr">
        <is>
          <t>56 (3).tif</t>
        </is>
      </c>
      <c r="C561" t="inlineStr">
        <is>
          <t>56(3)-V04</t>
        </is>
      </c>
      <c r="D561" t="n">
        <v>4</v>
      </c>
      <c r="E561" t="inlineStr">
        <is>
          <t>primary</t>
        </is>
      </c>
      <c r="F561" t="n">
        <v>117.8638941398866</v>
      </c>
      <c r="G561">
        <f>2*SQRT(F561/PI())</f>
        <v/>
      </c>
      <c r="H561" t="n">
        <v>42.64489578164142</v>
      </c>
      <c r="I561" t="n">
        <v>652</v>
      </c>
      <c r="J561" t="n">
        <v>53</v>
      </c>
      <c r="K561" t="n">
        <v>115.5066162570889</v>
      </c>
      <c r="L561" t="n">
        <v>120.2211720226843</v>
      </c>
      <c r="M561">
        <f>2*SQRT(K561/PI())</f>
        <v/>
      </c>
      <c r="N561">
        <f>2*SQRT(L561/PI())</f>
        <v/>
      </c>
      <c r="P561" t="inlineStr">
        <is>
          <t>是</t>
        </is>
      </c>
      <c r="Q561" t="inlineStr">
        <is>
          <t>auto_pipeline;review_png_green</t>
        </is>
      </c>
      <c r="R561" t="inlineStr">
        <is>
          <t>样品56</t>
        </is>
      </c>
    </row>
    <row r="562">
      <c r="A562" t="n">
        <v>561</v>
      </c>
      <c r="B562" t="inlineStr">
        <is>
          <t>56 (4).tif</t>
        </is>
      </c>
      <c r="C562" t="inlineStr">
        <is>
          <t>56(4)-V01</t>
        </is>
      </c>
      <c r="D562" t="n">
        <v>1</v>
      </c>
      <c r="E562" t="inlineStr">
        <is>
          <t>primary</t>
        </is>
      </c>
      <c r="F562" t="n">
        <v>817.0841209829867</v>
      </c>
      <c r="G562">
        <f>2*SQRT(F562/PI())</f>
        <v/>
      </c>
      <c r="H562" t="n">
        <v>108.9134973805884</v>
      </c>
      <c r="I562" t="n">
        <v>483</v>
      </c>
      <c r="J562" t="n">
        <v>441</v>
      </c>
      <c r="K562" t="n">
        <v>800.742438563327</v>
      </c>
      <c r="L562" t="n">
        <v>833.4258034026465</v>
      </c>
      <c r="M562">
        <f>2*SQRT(K562/PI())</f>
        <v/>
      </c>
      <c r="N562">
        <f>2*SQRT(L562/PI())</f>
        <v/>
      </c>
      <c r="O562" t="inlineStr">
        <is>
          <t>56(4)-P01</t>
        </is>
      </c>
      <c r="P562" t="inlineStr">
        <is>
          <t>是</t>
        </is>
      </c>
      <c r="Q562" t="inlineStr">
        <is>
          <t>auto_pipeline;review_png_green</t>
        </is>
      </c>
      <c r="R562" t="inlineStr">
        <is>
          <t>样品56</t>
        </is>
      </c>
    </row>
    <row r="563">
      <c r="A563" t="n">
        <v>562</v>
      </c>
      <c r="B563" t="inlineStr">
        <is>
          <t>56 (4).tif</t>
        </is>
      </c>
      <c r="C563" t="inlineStr">
        <is>
          <t>56(4)-V02</t>
        </is>
      </c>
      <c r="D563" t="n">
        <v>2</v>
      </c>
      <c r="E563" t="inlineStr">
        <is>
          <t>primary</t>
        </is>
      </c>
      <c r="F563" t="n">
        <v>810.9404536862004</v>
      </c>
      <c r="G563">
        <f>2*SQRT(F563/PI())</f>
        <v/>
      </c>
      <c r="H563" t="n">
        <v>106.9196771797926</v>
      </c>
      <c r="I563" t="n">
        <v>510</v>
      </c>
      <c r="J563" t="n">
        <v>280</v>
      </c>
      <c r="K563" t="n">
        <v>794.7216446124763</v>
      </c>
      <c r="L563" t="n">
        <v>827.1592627599244</v>
      </c>
      <c r="M563">
        <f>2*SQRT(K563/PI())</f>
        <v/>
      </c>
      <c r="N563">
        <f>2*SQRT(L563/PI())</f>
        <v/>
      </c>
      <c r="O563" t="inlineStr">
        <is>
          <t>56(4)-P01</t>
        </is>
      </c>
      <c r="P563" t="inlineStr">
        <is>
          <t>是</t>
        </is>
      </c>
      <c r="Q563" t="inlineStr">
        <is>
          <t>auto_pipeline;review_png_green</t>
        </is>
      </c>
      <c r="R563" t="inlineStr">
        <is>
          <t>样品56</t>
        </is>
      </c>
    </row>
    <row r="564">
      <c r="A564" t="n">
        <v>563</v>
      </c>
      <c r="B564" t="inlineStr">
        <is>
          <t>56 (4).tif</t>
        </is>
      </c>
      <c r="C564" t="inlineStr">
        <is>
          <t>56(4)-V03</t>
        </is>
      </c>
      <c r="D564" t="n">
        <v>3</v>
      </c>
      <c r="E564" t="inlineStr">
        <is>
          <t>primary</t>
        </is>
      </c>
      <c r="F564" t="n">
        <v>756.3327032136106</v>
      </c>
      <c r="G564">
        <f>2*SQRT(F564/PI())</f>
        <v/>
      </c>
      <c r="H564" t="n">
        <v>102.9538857418558</v>
      </c>
      <c r="I564" t="n">
        <v>644</v>
      </c>
      <c r="J564" t="n">
        <v>139</v>
      </c>
      <c r="K564" t="n">
        <v>741.2060491493384</v>
      </c>
      <c r="L564" t="n">
        <v>771.4593572778828</v>
      </c>
      <c r="M564">
        <f>2*SQRT(K564/PI())</f>
        <v/>
      </c>
      <c r="N564">
        <f>2*SQRT(L564/PI())</f>
        <v/>
      </c>
      <c r="P564" t="inlineStr">
        <is>
          <t>是</t>
        </is>
      </c>
      <c r="Q564" t="inlineStr">
        <is>
          <t>auto_pipeline;review_png_green</t>
        </is>
      </c>
      <c r="R564" t="inlineStr">
        <is>
          <t>样品56</t>
        </is>
      </c>
    </row>
    <row r="565">
      <c r="A565" t="n">
        <v>564</v>
      </c>
      <c r="B565" t="inlineStr">
        <is>
          <t>56 (4).tif</t>
        </is>
      </c>
      <c r="C565" t="inlineStr">
        <is>
          <t>56(4)-V04</t>
        </is>
      </c>
      <c r="D565" t="n">
        <v>4</v>
      </c>
      <c r="E565" t="inlineStr">
        <is>
          <t>primary</t>
        </is>
      </c>
      <c r="F565" t="n">
        <v>172.117202268431</v>
      </c>
      <c r="G565">
        <f>2*SQRT(F565/PI())</f>
        <v/>
      </c>
      <c r="H565" t="n">
        <v>50.06709912548894</v>
      </c>
      <c r="I565" t="n">
        <v>843</v>
      </c>
      <c r="J565" t="n">
        <v>556</v>
      </c>
      <c r="K565" t="n">
        <v>168.6748582230624</v>
      </c>
      <c r="L565" t="n">
        <v>175.5595463137996</v>
      </c>
      <c r="M565">
        <f>2*SQRT(K565/PI())</f>
        <v/>
      </c>
      <c r="N565">
        <f>2*SQRT(L565/PI())</f>
        <v/>
      </c>
      <c r="P565" t="inlineStr">
        <is>
          <t>是</t>
        </is>
      </c>
      <c r="Q565" t="inlineStr">
        <is>
          <t>auto_pipeline;review_png_green</t>
        </is>
      </c>
      <c r="R565" t="inlineStr">
        <is>
          <t>样品56</t>
        </is>
      </c>
    </row>
    <row r="566">
      <c r="A566" t="n">
        <v>565</v>
      </c>
      <c r="B566" t="inlineStr">
        <is>
          <t>56 (4).tif</t>
        </is>
      </c>
      <c r="C566" t="inlineStr">
        <is>
          <t>56(4)-V05</t>
        </is>
      </c>
      <c r="D566" t="n">
        <v>5</v>
      </c>
      <c r="E566" t="inlineStr">
        <is>
          <t>primary</t>
        </is>
      </c>
      <c r="F566" t="n">
        <v>133.3884688090737</v>
      </c>
      <c r="G566">
        <f>2*SQRT(F566/PI())</f>
        <v/>
      </c>
      <c r="H566" t="n">
        <v>53.61090688601784</v>
      </c>
      <c r="I566" t="n">
        <v>889</v>
      </c>
      <c r="J566" t="n">
        <v>134</v>
      </c>
      <c r="K566" t="n">
        <v>130.7206994328922</v>
      </c>
      <c r="L566" t="n">
        <v>136.0562381852552</v>
      </c>
      <c r="M566">
        <f>2*SQRT(K566/PI())</f>
        <v/>
      </c>
      <c r="N566">
        <f>2*SQRT(L566/PI())</f>
        <v/>
      </c>
      <c r="P566" t="inlineStr">
        <is>
          <t>是</t>
        </is>
      </c>
      <c r="Q566" t="inlineStr">
        <is>
          <t>auto_pipeline;review_png_green</t>
        </is>
      </c>
      <c r="R566" t="inlineStr">
        <is>
          <t>样品56</t>
        </is>
      </c>
    </row>
    <row r="567">
      <c r="A567" t="n">
        <v>566</v>
      </c>
      <c r="B567" t="inlineStr">
        <is>
          <t>56 (4).tif</t>
        </is>
      </c>
      <c r="C567" t="inlineStr">
        <is>
          <t>56(4)-V06</t>
        </is>
      </c>
      <c r="D567" t="n">
        <v>6</v>
      </c>
      <c r="E567" t="inlineStr">
        <is>
          <t>primary</t>
        </is>
      </c>
      <c r="F567" t="n">
        <v>123.6767485822306</v>
      </c>
      <c r="G567">
        <f>2*SQRT(F567/PI())</f>
        <v/>
      </c>
      <c r="H567" t="n">
        <v>50.57647865751515</v>
      </c>
      <c r="I567" t="n">
        <v>72</v>
      </c>
      <c r="J567" t="n">
        <v>583</v>
      </c>
      <c r="K567" t="n">
        <v>121.203213610586</v>
      </c>
      <c r="L567" t="n">
        <v>126.1502835538752</v>
      </c>
      <c r="M567">
        <f>2*SQRT(K567/PI())</f>
        <v/>
      </c>
      <c r="N567">
        <f>2*SQRT(L567/PI())</f>
        <v/>
      </c>
      <c r="P567" t="inlineStr">
        <is>
          <t>是</t>
        </is>
      </c>
      <c r="Q567" t="inlineStr">
        <is>
          <t>auto_pipeline;review_png_green</t>
        </is>
      </c>
      <c r="R567" t="inlineStr">
        <is>
          <t>样品56</t>
        </is>
      </c>
    </row>
    <row r="568">
      <c r="A568" t="n">
        <v>567</v>
      </c>
      <c r="B568" t="inlineStr">
        <is>
          <t>56 (4).tif</t>
        </is>
      </c>
      <c r="C568" t="inlineStr">
        <is>
          <t>56(4)-V07</t>
        </is>
      </c>
      <c r="D568" t="n">
        <v>7</v>
      </c>
      <c r="E568" t="inlineStr">
        <is>
          <t>primary</t>
        </is>
      </c>
      <c r="F568" t="n">
        <v>119.6597353497164</v>
      </c>
      <c r="G568">
        <f>2*SQRT(F568/PI())</f>
        <v/>
      </c>
      <c r="H568" t="n">
        <v>42.28471009627632</v>
      </c>
      <c r="I568" t="n">
        <v>135</v>
      </c>
      <c r="J568" t="n">
        <v>318</v>
      </c>
      <c r="K568" t="n">
        <v>117.2665406427221</v>
      </c>
      <c r="L568" t="n">
        <v>122.0529300567108</v>
      </c>
      <c r="M568">
        <f>2*SQRT(K568/PI())</f>
        <v/>
      </c>
      <c r="N568">
        <f>2*SQRT(L568/PI())</f>
        <v/>
      </c>
      <c r="P568" t="inlineStr">
        <is>
          <t>是</t>
        </is>
      </c>
      <c r="Q568" t="inlineStr">
        <is>
          <t>auto_pipeline;review_png_green</t>
        </is>
      </c>
      <c r="R568" t="inlineStr">
        <is>
          <t>样品56</t>
        </is>
      </c>
    </row>
    <row r="569">
      <c r="A569" t="n">
        <v>568</v>
      </c>
      <c r="B569" t="inlineStr">
        <is>
          <t>56 (5).tif</t>
        </is>
      </c>
      <c r="C569" t="inlineStr">
        <is>
          <t>56(5)-V01</t>
        </is>
      </c>
      <c r="D569" t="n">
        <v>1</v>
      </c>
      <c r="E569" t="inlineStr">
        <is>
          <t>primary</t>
        </is>
      </c>
      <c r="F569" t="n">
        <v>735.7277882797731</v>
      </c>
      <c r="G569">
        <f>2*SQRT(F569/PI())</f>
        <v/>
      </c>
      <c r="H569" t="n">
        <v>101.7241348390994</v>
      </c>
      <c r="I569" t="n">
        <v>432</v>
      </c>
      <c r="J569" t="n">
        <v>404</v>
      </c>
      <c r="K569" t="n">
        <v>721.0132325141776</v>
      </c>
      <c r="L569" t="n">
        <v>750.4423440453686</v>
      </c>
      <c r="M569">
        <f>2*SQRT(K569/PI())</f>
        <v/>
      </c>
      <c r="N569">
        <f>2*SQRT(L569/PI())</f>
        <v/>
      </c>
      <c r="P569" t="inlineStr">
        <is>
          <t>是</t>
        </is>
      </c>
      <c r="Q569" t="inlineStr">
        <is>
          <t>auto_pipeline;review_png_green</t>
        </is>
      </c>
      <c r="R569" t="inlineStr">
        <is>
          <t>样品56</t>
        </is>
      </c>
    </row>
    <row r="570">
      <c r="A570" t="n">
        <v>569</v>
      </c>
      <c r="B570" t="inlineStr">
        <is>
          <t>56 (5).tif</t>
        </is>
      </c>
      <c r="C570" t="inlineStr">
        <is>
          <t>56(5)-V02</t>
        </is>
      </c>
      <c r="D570" t="n">
        <v>2</v>
      </c>
      <c r="E570" t="inlineStr">
        <is>
          <t>primary</t>
        </is>
      </c>
      <c r="F570" t="n">
        <v>696.5028355387524</v>
      </c>
      <c r="G570">
        <f>2*SQRT(F570/PI())</f>
        <v/>
      </c>
      <c r="H570" t="n">
        <v>99.37012895293857</v>
      </c>
      <c r="I570" t="n">
        <v>588</v>
      </c>
      <c r="J570" t="n">
        <v>298</v>
      </c>
      <c r="K570" t="n">
        <v>682.5727788279773</v>
      </c>
      <c r="L570" t="n">
        <v>710.4328922495274</v>
      </c>
      <c r="M570">
        <f>2*SQRT(K570/PI())</f>
        <v/>
      </c>
      <c r="N570">
        <f>2*SQRT(L570/PI())</f>
        <v/>
      </c>
      <c r="P570" t="inlineStr">
        <is>
          <t>是</t>
        </is>
      </c>
      <c r="Q570" t="inlineStr">
        <is>
          <t>auto_pipeline;review_png_green</t>
        </is>
      </c>
      <c r="R570" t="inlineStr">
        <is>
          <t>样品56</t>
        </is>
      </c>
    </row>
    <row r="571">
      <c r="A571" t="n">
        <v>570</v>
      </c>
      <c r="B571" t="inlineStr">
        <is>
          <t>56 (5).tif</t>
        </is>
      </c>
      <c r="C571" t="inlineStr">
        <is>
          <t>56(5)-V03</t>
        </is>
      </c>
      <c r="D571" t="n">
        <v>3</v>
      </c>
      <c r="E571" t="inlineStr">
        <is>
          <t>primary</t>
        </is>
      </c>
      <c r="F571" t="n">
        <v>493.1474480151228</v>
      </c>
      <c r="G571">
        <f>2*SQRT(F571/PI())</f>
        <v/>
      </c>
      <c r="H571" t="n">
        <v>83.80535089451334</v>
      </c>
      <c r="I571" t="n">
        <v>663</v>
      </c>
      <c r="J571" t="n">
        <v>602</v>
      </c>
      <c r="K571" t="n">
        <v>483.2844990548204</v>
      </c>
      <c r="L571" t="n">
        <v>503.0103969754253</v>
      </c>
      <c r="M571">
        <f>2*SQRT(K571/PI())</f>
        <v/>
      </c>
      <c r="N571">
        <f>2*SQRT(L571/PI())</f>
        <v/>
      </c>
      <c r="P571" t="inlineStr">
        <is>
          <t>是</t>
        </is>
      </c>
      <c r="Q571" t="inlineStr">
        <is>
          <t>auto_pipeline;review_png_green</t>
        </is>
      </c>
      <c r="R571" t="inlineStr">
        <is>
          <t>样品56</t>
        </is>
      </c>
    </row>
    <row r="572">
      <c r="A572" t="n">
        <v>571</v>
      </c>
      <c r="B572" t="inlineStr">
        <is>
          <t>56 (5).tif</t>
        </is>
      </c>
      <c r="C572" t="inlineStr">
        <is>
          <t>56(5)-V04</t>
        </is>
      </c>
      <c r="D572" t="n">
        <v>4</v>
      </c>
      <c r="E572" t="inlineStr">
        <is>
          <t>primary</t>
        </is>
      </c>
      <c r="F572" t="n">
        <v>213.7287334593573</v>
      </c>
      <c r="G572">
        <f>2*SQRT(F572/PI())</f>
        <v/>
      </c>
      <c r="H572" t="n">
        <v>55.00795170016911</v>
      </c>
      <c r="I572" t="n">
        <v>808</v>
      </c>
      <c r="J572" t="n">
        <v>93</v>
      </c>
      <c r="K572" t="n">
        <v>209.4541587901701</v>
      </c>
      <c r="L572" t="n">
        <v>218.0033081285444</v>
      </c>
      <c r="M572">
        <f>2*SQRT(K572/PI())</f>
        <v/>
      </c>
      <c r="N572">
        <f>2*SQRT(L572/PI())</f>
        <v/>
      </c>
      <c r="P572" t="inlineStr">
        <is>
          <t>是</t>
        </is>
      </c>
      <c r="Q572" t="inlineStr">
        <is>
          <t>auto_pipeline;review_png_green</t>
        </is>
      </c>
      <c r="R572" t="inlineStr">
        <is>
          <t>样品56</t>
        </is>
      </c>
    </row>
    <row r="573">
      <c r="A573" t="n">
        <v>572</v>
      </c>
      <c r="B573" t="inlineStr">
        <is>
          <t>56 (5).tif</t>
        </is>
      </c>
      <c r="C573" t="inlineStr">
        <is>
          <t>56(5)-V05</t>
        </is>
      </c>
      <c r="D573" t="n">
        <v>5</v>
      </c>
      <c r="E573" t="inlineStr">
        <is>
          <t>primary</t>
        </is>
      </c>
      <c r="F573" t="n">
        <v>189.413988657845</v>
      </c>
      <c r="G573">
        <f>2*SQRT(F573/PI())</f>
        <v/>
      </c>
      <c r="H573" t="n">
        <v>52.16641524563665</v>
      </c>
      <c r="I573" t="n">
        <v>155</v>
      </c>
      <c r="J573" t="n">
        <v>431</v>
      </c>
      <c r="K573" t="n">
        <v>185.6257088846881</v>
      </c>
      <c r="L573" t="n">
        <v>193.2022684310019</v>
      </c>
      <c r="M573">
        <f>2*SQRT(K573/PI())</f>
        <v/>
      </c>
      <c r="N573">
        <f>2*SQRT(L573/PI())</f>
        <v/>
      </c>
      <c r="P573" t="inlineStr">
        <is>
          <t>是</t>
        </is>
      </c>
      <c r="Q573" t="inlineStr">
        <is>
          <t>auto_pipeline;review_png_green</t>
        </is>
      </c>
      <c r="R573" t="inlineStr">
        <is>
          <t>样品56</t>
        </is>
      </c>
    </row>
    <row r="574">
      <c r="A574" t="n">
        <v>573</v>
      </c>
      <c r="B574" t="inlineStr">
        <is>
          <t>56 (5).tif</t>
        </is>
      </c>
      <c r="C574" t="inlineStr">
        <is>
          <t>56(5)-V06</t>
        </is>
      </c>
      <c r="D574" t="n">
        <v>6</v>
      </c>
      <c r="E574" t="inlineStr">
        <is>
          <t>primary</t>
        </is>
      </c>
      <c r="F574" t="n">
        <v>154.6077504725898</v>
      </c>
      <c r="G574">
        <f>2*SQRT(F574/PI())</f>
        <v/>
      </c>
      <c r="H574" t="n">
        <v>54.81505992619888</v>
      </c>
      <c r="I574" t="n">
        <v>898</v>
      </c>
      <c r="J574" t="n">
        <v>53</v>
      </c>
      <c r="K574" t="n">
        <v>151.515595463138</v>
      </c>
      <c r="L574" t="n">
        <v>157.6999054820416</v>
      </c>
      <c r="M574">
        <f>2*SQRT(K574/PI())</f>
        <v/>
      </c>
      <c r="N574">
        <f>2*SQRT(L574/PI())</f>
        <v/>
      </c>
      <c r="P574" t="inlineStr">
        <is>
          <t>是</t>
        </is>
      </c>
      <c r="Q574" t="inlineStr">
        <is>
          <t>auto_pipeline;review_png_green</t>
        </is>
      </c>
      <c r="R574" t="inlineStr">
        <is>
          <t>样品56</t>
        </is>
      </c>
    </row>
    <row r="575">
      <c r="A575" t="n">
        <v>574</v>
      </c>
      <c r="B575" t="inlineStr">
        <is>
          <t>56 (6).tif</t>
        </is>
      </c>
      <c r="C575" t="inlineStr">
        <is>
          <t>56(6)-V01</t>
        </is>
      </c>
      <c r="D575" t="n">
        <v>1</v>
      </c>
      <c r="E575" t="inlineStr">
        <is>
          <t>primary</t>
        </is>
      </c>
      <c r="F575" t="n">
        <v>986.2476370510396</v>
      </c>
      <c r="G575">
        <f>2*SQRT(F575/PI())</f>
        <v/>
      </c>
      <c r="H575" t="n">
        <v>118.9225474129552</v>
      </c>
      <c r="I575" t="n">
        <v>290</v>
      </c>
      <c r="J575" t="n">
        <v>409</v>
      </c>
      <c r="K575" t="n">
        <v>966.5226843100188</v>
      </c>
      <c r="L575" t="n">
        <v>1005.97258979206</v>
      </c>
      <c r="M575">
        <f>2*SQRT(K575/PI())</f>
        <v/>
      </c>
      <c r="N575">
        <f>2*SQRT(L575/PI())</f>
        <v/>
      </c>
      <c r="P575" t="inlineStr">
        <is>
          <t>是</t>
        </is>
      </c>
      <c r="Q575" t="inlineStr">
        <is>
          <t>auto_pipeline;review_png_green</t>
        </is>
      </c>
      <c r="R575" t="inlineStr">
        <is>
          <t>样品56</t>
        </is>
      </c>
    </row>
    <row r="576">
      <c r="A576" t="n">
        <v>575</v>
      </c>
      <c r="B576" t="inlineStr">
        <is>
          <t>56 (6).tif</t>
        </is>
      </c>
      <c r="C576" t="inlineStr">
        <is>
          <t>56(6)-V02</t>
        </is>
      </c>
      <c r="D576" t="n">
        <v>2</v>
      </c>
      <c r="E576" t="inlineStr">
        <is>
          <t>primary</t>
        </is>
      </c>
      <c r="F576" t="n">
        <v>844.8724007561436</v>
      </c>
      <c r="G576">
        <f>2*SQRT(F576/PI())</f>
        <v/>
      </c>
      <c r="H576" t="n">
        <v>109.1244892192923</v>
      </c>
      <c r="I576" t="n">
        <v>626</v>
      </c>
      <c r="J576" t="n">
        <v>351</v>
      </c>
      <c r="K576" t="n">
        <v>827.9749527410207</v>
      </c>
      <c r="L576" t="n">
        <v>861.7698487712665</v>
      </c>
      <c r="M576">
        <f>2*SQRT(K576/PI())</f>
        <v/>
      </c>
      <c r="N576">
        <f>2*SQRT(L576/PI())</f>
        <v/>
      </c>
      <c r="P576" t="inlineStr">
        <is>
          <t>是</t>
        </is>
      </c>
      <c r="Q576" t="inlineStr">
        <is>
          <t>auto_pipeline;review_png_green</t>
        </is>
      </c>
      <c r="R576" t="inlineStr">
        <is>
          <t>样品56</t>
        </is>
      </c>
    </row>
    <row r="577">
      <c r="A577" t="n">
        <v>576</v>
      </c>
      <c r="B577" t="inlineStr">
        <is>
          <t>56 (6).tif</t>
        </is>
      </c>
      <c r="C577" t="inlineStr">
        <is>
          <t>56(6)-V03</t>
        </is>
      </c>
      <c r="D577" t="n">
        <v>3</v>
      </c>
      <c r="E577" t="inlineStr">
        <is>
          <t>primary</t>
        </is>
      </c>
      <c r="F577" t="n">
        <v>301.6540642722117</v>
      </c>
      <c r="G577">
        <f>2*SQRT(F577/PI())</f>
        <v/>
      </c>
      <c r="H577" t="n">
        <v>67.0108219333317</v>
      </c>
      <c r="I577" t="n">
        <v>805</v>
      </c>
      <c r="J577" t="n">
        <v>381</v>
      </c>
      <c r="K577" t="n">
        <v>295.6209829867675</v>
      </c>
      <c r="L577" t="n">
        <v>307.6871455576559</v>
      </c>
      <c r="M577">
        <f>2*SQRT(K577/PI())</f>
        <v/>
      </c>
      <c r="N577">
        <f>2*SQRT(L577/PI())</f>
        <v/>
      </c>
      <c r="P577" t="inlineStr">
        <is>
          <t>是</t>
        </is>
      </c>
      <c r="Q577" t="inlineStr">
        <is>
          <t>auto_pipeline;review_png_green</t>
        </is>
      </c>
      <c r="R577" t="inlineStr">
        <is>
          <t>样品56</t>
        </is>
      </c>
    </row>
    <row r="578">
      <c r="A578" t="n">
        <v>577</v>
      </c>
      <c r="B578" t="inlineStr">
        <is>
          <t>56 (6).tif</t>
        </is>
      </c>
      <c r="C578" t="inlineStr">
        <is>
          <t>56(6)-V04</t>
        </is>
      </c>
      <c r="D578" t="n">
        <v>4</v>
      </c>
      <c r="E578" t="inlineStr">
        <is>
          <t>primary</t>
        </is>
      </c>
      <c r="F578" t="n">
        <v>138.9177693761815</v>
      </c>
      <c r="G578">
        <f>2*SQRT(F578/PI())</f>
        <v/>
      </c>
      <c r="H578" t="n">
        <v>46.71618313893028</v>
      </c>
      <c r="I578" t="n">
        <v>361</v>
      </c>
      <c r="J578" t="n">
        <v>172</v>
      </c>
      <c r="K578" t="n">
        <v>136.1394139886579</v>
      </c>
      <c r="L578" t="n">
        <v>141.6961247637051</v>
      </c>
      <c r="M578">
        <f>2*SQRT(K578/PI())</f>
        <v/>
      </c>
      <c r="N578">
        <f>2*SQRT(L578/PI())</f>
        <v/>
      </c>
      <c r="P578" t="inlineStr">
        <is>
          <t>是</t>
        </is>
      </c>
      <c r="Q578" t="inlineStr">
        <is>
          <t>auto_pipeline;review_png_green</t>
        </is>
      </c>
      <c r="R578" t="inlineStr">
        <is>
          <t>样品56</t>
        </is>
      </c>
    </row>
    <row r="579">
      <c r="A579" t="n">
        <v>578</v>
      </c>
      <c r="B579" t="inlineStr">
        <is>
          <t>56 (6).tif</t>
        </is>
      </c>
      <c r="C579" t="inlineStr">
        <is>
          <t>56(6)-V05</t>
        </is>
      </c>
      <c r="D579" t="n">
        <v>5</v>
      </c>
      <c r="E579" t="inlineStr">
        <is>
          <t>primary</t>
        </is>
      </c>
      <c r="F579" t="n">
        <v>126.2287334593573</v>
      </c>
      <c r="G579">
        <f>2*SQRT(F579/PI())</f>
        <v/>
      </c>
      <c r="H579" t="n">
        <v>51.12955611685048</v>
      </c>
      <c r="I579" t="n">
        <v>515</v>
      </c>
      <c r="J579" t="n">
        <v>168</v>
      </c>
      <c r="K579" t="n">
        <v>123.7041587901701</v>
      </c>
      <c r="L579" t="n">
        <v>128.7533081285444</v>
      </c>
      <c r="M579">
        <f>2*SQRT(K579/PI())</f>
        <v/>
      </c>
      <c r="N579">
        <f>2*SQRT(L579/PI())</f>
        <v/>
      </c>
      <c r="P579" t="inlineStr">
        <is>
          <t>是</t>
        </is>
      </c>
      <c r="Q579" t="inlineStr">
        <is>
          <t>auto_pipeline;review_png_green</t>
        </is>
      </c>
      <c r="R579" t="inlineStr">
        <is>
          <t>样品56</t>
        </is>
      </c>
    </row>
    <row r="580">
      <c r="A580" t="n">
        <v>579</v>
      </c>
      <c r="B580" t="inlineStr">
        <is>
          <t>56 (7).tif</t>
        </is>
      </c>
      <c r="C580" t="inlineStr">
        <is>
          <t>56(7)-V01</t>
        </is>
      </c>
      <c r="D580" t="n">
        <v>1</v>
      </c>
      <c r="E580" t="inlineStr">
        <is>
          <t>primary</t>
        </is>
      </c>
      <c r="F580" t="n">
        <v>1184.14461247637</v>
      </c>
      <c r="G580">
        <f>2*SQRT(F580/PI())</f>
        <v/>
      </c>
      <c r="H580" t="n">
        <v>129.2917831306872</v>
      </c>
      <c r="I580" t="n">
        <v>441</v>
      </c>
      <c r="J580" t="n">
        <v>298</v>
      </c>
      <c r="K580" t="n">
        <v>1160.461720226843</v>
      </c>
      <c r="L580" t="n">
        <v>1207.827504725898</v>
      </c>
      <c r="M580">
        <f>2*SQRT(K580/PI())</f>
        <v/>
      </c>
      <c r="N580">
        <f>2*SQRT(L580/PI())</f>
        <v/>
      </c>
      <c r="P580" t="inlineStr">
        <is>
          <t>是</t>
        </is>
      </c>
      <c r="Q580" t="inlineStr">
        <is>
          <t>auto_pipeline;review_png_green</t>
        </is>
      </c>
      <c r="R580" t="inlineStr">
        <is>
          <t>样品56</t>
        </is>
      </c>
    </row>
    <row r="581">
      <c r="A581" t="n">
        <v>580</v>
      </c>
      <c r="B581" t="inlineStr">
        <is>
          <t>56 (7).tif</t>
        </is>
      </c>
      <c r="C581" t="inlineStr">
        <is>
          <t>56(7)-V02</t>
        </is>
      </c>
      <c r="D581" t="n">
        <v>2</v>
      </c>
      <c r="E581" t="inlineStr">
        <is>
          <t>primary</t>
        </is>
      </c>
      <c r="F581" t="n">
        <v>1153.875236294896</v>
      </c>
      <c r="G581">
        <f>2*SQRT(F581/PI())</f>
        <v/>
      </c>
      <c r="H581" t="n">
        <v>127.6799975789112</v>
      </c>
      <c r="I581" t="n">
        <v>935</v>
      </c>
      <c r="J581" t="n">
        <v>240</v>
      </c>
      <c r="K581" t="n">
        <v>1130.797731568998</v>
      </c>
      <c r="L581" t="n">
        <v>1176.952741020794</v>
      </c>
      <c r="M581">
        <f>2*SQRT(K581/PI())</f>
        <v/>
      </c>
      <c r="N581">
        <f>2*SQRT(L581/PI())</f>
        <v/>
      </c>
      <c r="P581" t="inlineStr">
        <is>
          <t>是</t>
        </is>
      </c>
      <c r="Q581" t="inlineStr">
        <is>
          <t>auto_pipeline;review_png_green</t>
        </is>
      </c>
      <c r="R581" t="inlineStr">
        <is>
          <t>样品56</t>
        </is>
      </c>
    </row>
    <row r="582">
      <c r="A582" t="n">
        <v>581</v>
      </c>
      <c r="B582" t="inlineStr">
        <is>
          <t>56 (8).tif</t>
        </is>
      </c>
      <c r="C582" t="inlineStr">
        <is>
          <t>56(8)-V01</t>
        </is>
      </c>
      <c r="D582" t="n">
        <v>1</v>
      </c>
      <c r="E582" t="inlineStr">
        <is>
          <t>primary</t>
        </is>
      </c>
      <c r="F582" t="n">
        <v>1349.314744801512</v>
      </c>
      <c r="G582">
        <f>2*SQRT(F582/PI())</f>
        <v/>
      </c>
      <c r="H582" t="n">
        <v>137.689047611278</v>
      </c>
      <c r="I582" t="n">
        <v>531</v>
      </c>
      <c r="J582" t="n">
        <v>276</v>
      </c>
      <c r="K582" t="n">
        <v>1322.328449905482</v>
      </c>
      <c r="L582" t="n">
        <v>1376.301039697543</v>
      </c>
      <c r="M582">
        <f>2*SQRT(K582/PI())</f>
        <v/>
      </c>
      <c r="N582">
        <f>2*SQRT(L582/PI())</f>
        <v/>
      </c>
      <c r="O582" t="inlineStr">
        <is>
          <t>56(8)-P01</t>
        </is>
      </c>
      <c r="P582" t="inlineStr">
        <is>
          <t>是</t>
        </is>
      </c>
      <c r="Q582" t="inlineStr">
        <is>
          <t>auto_pipeline;review_png_green</t>
        </is>
      </c>
      <c r="R582" t="inlineStr">
        <is>
          <t>样品56</t>
        </is>
      </c>
    </row>
    <row r="583">
      <c r="A583" t="n">
        <v>582</v>
      </c>
      <c r="B583" t="inlineStr">
        <is>
          <t>56 (8).tif</t>
        </is>
      </c>
      <c r="C583" t="inlineStr">
        <is>
          <t>56(8)-V02</t>
        </is>
      </c>
      <c r="D583" t="n">
        <v>2</v>
      </c>
      <c r="E583" t="inlineStr">
        <is>
          <t>primary</t>
        </is>
      </c>
      <c r="F583" t="n">
        <v>1030.789224952741</v>
      </c>
      <c r="G583">
        <f>2*SQRT(F583/PI())</f>
        <v/>
      </c>
      <c r="H583" t="n">
        <v>120.6398288840833</v>
      </c>
      <c r="I583" t="n">
        <v>459</v>
      </c>
      <c r="J583" t="n">
        <v>459</v>
      </c>
      <c r="K583" t="n">
        <v>1010.173440453686</v>
      </c>
      <c r="L583" t="n">
        <v>1051.405009451796</v>
      </c>
      <c r="M583">
        <f>2*SQRT(K583/PI())</f>
        <v/>
      </c>
      <c r="N583">
        <f>2*SQRT(L583/PI())</f>
        <v/>
      </c>
      <c r="O583" t="inlineStr">
        <is>
          <t>56(8)-P01</t>
        </is>
      </c>
      <c r="P583" t="inlineStr">
        <is>
          <t>是</t>
        </is>
      </c>
      <c r="Q583" t="inlineStr">
        <is>
          <t>auto_pipeline;review_png_green</t>
        </is>
      </c>
      <c r="R583" t="inlineStr">
        <is>
          <t>样品56</t>
        </is>
      </c>
    </row>
    <row r="584">
      <c r="A584" t="n">
        <v>583</v>
      </c>
      <c r="B584" t="inlineStr">
        <is>
          <t>56 (8).tif</t>
        </is>
      </c>
      <c r="C584" t="inlineStr">
        <is>
          <t>56(8)-V03</t>
        </is>
      </c>
      <c r="D584" t="n">
        <v>3</v>
      </c>
      <c r="E584" t="inlineStr">
        <is>
          <t>primary</t>
        </is>
      </c>
      <c r="F584" t="n">
        <v>229.1824196597354</v>
      </c>
      <c r="G584">
        <f>2*SQRT(F584/PI())</f>
        <v/>
      </c>
      <c r="H584" t="n">
        <v>70.91481537922569</v>
      </c>
      <c r="I584" t="n">
        <v>61</v>
      </c>
      <c r="J584" t="n">
        <v>575</v>
      </c>
      <c r="K584" t="n">
        <v>224.5987712665406</v>
      </c>
      <c r="L584" t="n">
        <v>233.7660680529301</v>
      </c>
      <c r="M584">
        <f>2*SQRT(K584/PI())</f>
        <v/>
      </c>
      <c r="N584">
        <f>2*SQRT(L584/PI())</f>
        <v/>
      </c>
      <c r="P584" t="inlineStr">
        <is>
          <t>是</t>
        </is>
      </c>
      <c r="Q584" t="inlineStr">
        <is>
          <t>auto_pipeline;review_png_green</t>
        </is>
      </c>
      <c r="R584" t="inlineStr">
        <is>
          <t>样品56</t>
        </is>
      </c>
    </row>
    <row r="585">
      <c r="A585" t="n">
        <v>584</v>
      </c>
      <c r="B585" t="inlineStr">
        <is>
          <t>56 (8).tif</t>
        </is>
      </c>
      <c r="C585" t="inlineStr">
        <is>
          <t>56(8)-V04</t>
        </is>
      </c>
      <c r="D585" t="n">
        <v>4</v>
      </c>
      <c r="E585" t="inlineStr">
        <is>
          <t>primary</t>
        </is>
      </c>
      <c r="F585" t="n">
        <v>122.2117202268431</v>
      </c>
      <c r="G585">
        <f>2*SQRT(F585/PI())</f>
        <v/>
      </c>
      <c r="H585" t="n">
        <v>44.84970782114112</v>
      </c>
      <c r="I585" t="n">
        <v>825</v>
      </c>
      <c r="J585" t="n">
        <v>522</v>
      </c>
      <c r="K585" t="n">
        <v>119.7674858223062</v>
      </c>
      <c r="L585" t="n">
        <v>124.65595463138</v>
      </c>
      <c r="M585">
        <f>2*SQRT(K585/PI())</f>
        <v/>
      </c>
      <c r="N585">
        <f>2*SQRT(L585/PI())</f>
        <v/>
      </c>
      <c r="P585" t="inlineStr">
        <is>
          <t>是</t>
        </is>
      </c>
      <c r="Q585" t="inlineStr">
        <is>
          <t>auto_pipeline;review_png_green</t>
        </is>
      </c>
      <c r="R585" t="inlineStr">
        <is>
          <t>样品56</t>
        </is>
      </c>
    </row>
    <row r="586">
      <c r="A586" t="n">
        <v>585</v>
      </c>
      <c r="B586" t="inlineStr">
        <is>
          <t>57 (1).tif</t>
        </is>
      </c>
      <c r="C586" t="inlineStr">
        <is>
          <t>57(1)-V01</t>
        </is>
      </c>
      <c r="D586" t="n">
        <v>1</v>
      </c>
      <c r="E586" t="inlineStr">
        <is>
          <t>primary</t>
        </is>
      </c>
      <c r="F586" t="n">
        <v>721.8100189035916</v>
      </c>
      <c r="G586">
        <f>2*SQRT(F586/PI())</f>
        <v/>
      </c>
      <c r="H586" t="n">
        <v>101.3421001900797</v>
      </c>
      <c r="I586" t="n">
        <v>717</v>
      </c>
      <c r="J586" t="n">
        <v>537</v>
      </c>
      <c r="K586" t="n">
        <v>707.3738185255198</v>
      </c>
      <c r="L586" t="n">
        <v>736.2462192816635</v>
      </c>
      <c r="M586">
        <f>2*SQRT(K586/PI())</f>
        <v/>
      </c>
      <c r="N586">
        <f>2*SQRT(L586/PI())</f>
        <v/>
      </c>
      <c r="P586" t="inlineStr">
        <is>
          <t>是</t>
        </is>
      </c>
      <c r="Q586" t="inlineStr">
        <is>
          <t>auto_pipeline;review_png_green</t>
        </is>
      </c>
      <c r="R586" t="inlineStr">
        <is>
          <t>样品57</t>
        </is>
      </c>
    </row>
    <row r="587">
      <c r="A587" t="n">
        <v>586</v>
      </c>
      <c r="B587" t="inlineStr">
        <is>
          <t>57 (1).tif</t>
        </is>
      </c>
      <c r="C587" t="inlineStr">
        <is>
          <t>57(1)-V02</t>
        </is>
      </c>
      <c r="D587" t="n">
        <v>2</v>
      </c>
      <c r="E587" t="inlineStr">
        <is>
          <t>primary</t>
        </is>
      </c>
      <c r="F587" t="n">
        <v>623.2514177693762</v>
      </c>
      <c r="G587">
        <f>2*SQRT(F587/PI())</f>
        <v/>
      </c>
      <c r="H587" t="n">
        <v>94.19643557589987</v>
      </c>
      <c r="I587" t="n">
        <v>507</v>
      </c>
      <c r="J587" t="n">
        <v>278</v>
      </c>
      <c r="K587" t="n">
        <v>610.7863894139887</v>
      </c>
      <c r="L587" t="n">
        <v>635.7164461247637</v>
      </c>
      <c r="M587">
        <f>2*SQRT(K587/PI())</f>
        <v/>
      </c>
      <c r="N587">
        <f>2*SQRT(L587/PI())</f>
        <v/>
      </c>
      <c r="P587" t="inlineStr">
        <is>
          <t>是</t>
        </is>
      </c>
      <c r="Q587" t="inlineStr">
        <is>
          <t>auto_pipeline;review_png_green</t>
        </is>
      </c>
      <c r="R587" t="inlineStr">
        <is>
          <t>样品57</t>
        </is>
      </c>
    </row>
    <row r="588">
      <c r="A588" t="n">
        <v>587</v>
      </c>
      <c r="B588" t="inlineStr">
        <is>
          <t>57 (1).tif</t>
        </is>
      </c>
      <c r="C588" t="inlineStr">
        <is>
          <t>57(1)-V03</t>
        </is>
      </c>
      <c r="D588" t="n">
        <v>3</v>
      </c>
      <c r="E588" t="inlineStr">
        <is>
          <t>primary</t>
        </is>
      </c>
      <c r="F588" t="n">
        <v>261.8383742911153</v>
      </c>
      <c r="G588">
        <f>2*SQRT(F588/PI())</f>
        <v/>
      </c>
      <c r="H588" t="n">
        <v>68.72810340445974</v>
      </c>
      <c r="I588" t="n">
        <v>288</v>
      </c>
      <c r="J588" t="n">
        <v>414</v>
      </c>
      <c r="K588" t="n">
        <v>256.601606805293</v>
      </c>
      <c r="L588" t="n">
        <v>267.0751417769376</v>
      </c>
      <c r="M588">
        <f>2*SQRT(K588/PI())</f>
        <v/>
      </c>
      <c r="N588">
        <f>2*SQRT(L588/PI())</f>
        <v/>
      </c>
      <c r="P588" t="inlineStr">
        <is>
          <t>是</t>
        </is>
      </c>
      <c r="Q588" t="inlineStr">
        <is>
          <t>auto_pipeline;review_png_green</t>
        </is>
      </c>
      <c r="R588" t="inlineStr">
        <is>
          <t>样品57</t>
        </is>
      </c>
    </row>
    <row r="589">
      <c r="A589" t="n">
        <v>588</v>
      </c>
      <c r="B589" t="inlineStr">
        <is>
          <t>57 (2).tif</t>
        </is>
      </c>
      <c r="C589" t="inlineStr">
        <is>
          <t>57(2)-V01</t>
        </is>
      </c>
      <c r="D589" t="n">
        <v>1</v>
      </c>
      <c r="E589" t="inlineStr">
        <is>
          <t>primary</t>
        </is>
      </c>
      <c r="F589" t="n">
        <v>1037.665406427221</v>
      </c>
      <c r="G589">
        <f>2*SQRT(F589/PI())</f>
        <v/>
      </c>
      <c r="H589" t="n">
        <v>121.1273594524549</v>
      </c>
      <c r="I589" t="n">
        <v>547</v>
      </c>
      <c r="J589" t="n">
        <v>204</v>
      </c>
      <c r="K589" t="n">
        <v>1016.912098298677</v>
      </c>
      <c r="L589" t="n">
        <v>1058.418714555766</v>
      </c>
      <c r="M589">
        <f>2*SQRT(K589/PI())</f>
        <v/>
      </c>
      <c r="N589">
        <f>2*SQRT(L589/PI())</f>
        <v/>
      </c>
      <c r="P589" t="inlineStr">
        <is>
          <t>是</t>
        </is>
      </c>
      <c r="Q589" t="inlineStr">
        <is>
          <t>auto_pipeline;review_png_green</t>
        </is>
      </c>
      <c r="R589" t="inlineStr">
        <is>
          <t>样品57</t>
        </is>
      </c>
    </row>
    <row r="590">
      <c r="A590" t="n">
        <v>589</v>
      </c>
      <c r="B590" t="inlineStr">
        <is>
          <t>57 (2).tif</t>
        </is>
      </c>
      <c r="C590" t="inlineStr">
        <is>
          <t>57(2)-V02</t>
        </is>
      </c>
      <c r="D590" t="n">
        <v>2</v>
      </c>
      <c r="E590" t="inlineStr">
        <is>
          <t>primary</t>
        </is>
      </c>
      <c r="F590" t="n">
        <v>926.2287334593573</v>
      </c>
      <c r="G590">
        <f>2*SQRT(F590/PI())</f>
        <v/>
      </c>
      <c r="H590" t="n">
        <v>118.0092842682548</v>
      </c>
      <c r="I590" t="n">
        <v>499</v>
      </c>
      <c r="J590" t="n">
        <v>360</v>
      </c>
      <c r="K590" t="n">
        <v>907.7041587901701</v>
      </c>
      <c r="L590" t="n">
        <v>944.7533081285444</v>
      </c>
      <c r="M590">
        <f>2*SQRT(K590/PI())</f>
        <v/>
      </c>
      <c r="N590">
        <f>2*SQRT(L590/PI())</f>
        <v/>
      </c>
      <c r="P590" t="inlineStr">
        <is>
          <t>是</t>
        </is>
      </c>
      <c r="Q590" t="inlineStr">
        <is>
          <t>auto_pipeline;review_png_green</t>
        </is>
      </c>
      <c r="R590" t="inlineStr">
        <is>
          <t>样品57</t>
        </is>
      </c>
    </row>
    <row r="591">
      <c r="A591" t="n">
        <v>590</v>
      </c>
      <c r="B591" t="inlineStr">
        <is>
          <t>57 (2).tif</t>
        </is>
      </c>
      <c r="C591" t="inlineStr">
        <is>
          <t>57(2)-V03</t>
        </is>
      </c>
      <c r="D591" t="n">
        <v>3</v>
      </c>
      <c r="E591" t="inlineStr">
        <is>
          <t>primary</t>
        </is>
      </c>
      <c r="F591" t="n">
        <v>523.5822306238185</v>
      </c>
      <c r="G591">
        <f>2*SQRT(F591/PI())</f>
        <v/>
      </c>
      <c r="H591" t="n">
        <v>85.64997724864794</v>
      </c>
      <c r="I591" t="n">
        <v>784</v>
      </c>
      <c r="J591" t="n">
        <v>267</v>
      </c>
      <c r="K591" t="n">
        <v>513.1105860113422</v>
      </c>
      <c r="L591" t="n">
        <v>534.0538752362949</v>
      </c>
      <c r="M591">
        <f>2*SQRT(K591/PI())</f>
        <v/>
      </c>
      <c r="N591">
        <f>2*SQRT(L591/PI())</f>
        <v/>
      </c>
      <c r="P591" t="inlineStr">
        <is>
          <t>是</t>
        </is>
      </c>
      <c r="Q591" t="inlineStr">
        <is>
          <t>auto_pipeline;review_png_green</t>
        </is>
      </c>
      <c r="R591" t="inlineStr">
        <is>
          <t>样品57</t>
        </is>
      </c>
    </row>
    <row r="592">
      <c r="A592" t="n">
        <v>591</v>
      </c>
      <c r="B592" t="inlineStr">
        <is>
          <t>57 (2).tif</t>
        </is>
      </c>
      <c r="C592" t="inlineStr">
        <is>
          <t>57(2)-V04</t>
        </is>
      </c>
      <c r="D592" t="n">
        <v>4</v>
      </c>
      <c r="E592" t="inlineStr">
        <is>
          <t>primary</t>
        </is>
      </c>
      <c r="F592" t="n">
        <v>447.9914933837429</v>
      </c>
      <c r="G592">
        <f>2*SQRT(F592/PI())</f>
        <v/>
      </c>
      <c r="H592" t="n">
        <v>81.47319397200708</v>
      </c>
      <c r="I592" t="n">
        <v>370</v>
      </c>
      <c r="J592" t="n">
        <v>431</v>
      </c>
      <c r="K592" t="n">
        <v>439.0316635160681</v>
      </c>
      <c r="L592" t="n">
        <v>456.9513232514178</v>
      </c>
      <c r="M592">
        <f>2*SQRT(K592/PI())</f>
        <v/>
      </c>
      <c r="N592">
        <f>2*SQRT(L592/PI())</f>
        <v/>
      </c>
      <c r="P592" t="inlineStr">
        <is>
          <t>是</t>
        </is>
      </c>
      <c r="Q592" t="inlineStr">
        <is>
          <t>auto_pipeline;review_png_green</t>
        </is>
      </c>
      <c r="R592" t="inlineStr">
        <is>
          <t>样品57</t>
        </is>
      </c>
    </row>
    <row r="593">
      <c r="A593" t="n">
        <v>592</v>
      </c>
      <c r="B593" t="inlineStr">
        <is>
          <t>57 (2).tif</t>
        </is>
      </c>
      <c r="C593" t="inlineStr">
        <is>
          <t>57(2)-V05</t>
        </is>
      </c>
      <c r="D593" t="n">
        <v>5</v>
      </c>
      <c r="E593" t="inlineStr">
        <is>
          <t>primary</t>
        </is>
      </c>
      <c r="F593" t="n">
        <v>353.1663516068053</v>
      </c>
      <c r="G593">
        <f>2*SQRT(F593/PI())</f>
        <v/>
      </c>
      <c r="H593" t="n">
        <v>72.90488668110059</v>
      </c>
      <c r="I593" t="n">
        <v>388</v>
      </c>
      <c r="J593" t="n">
        <v>163</v>
      </c>
      <c r="K593" t="n">
        <v>346.1030245746692</v>
      </c>
      <c r="L593" t="n">
        <v>360.2296786389414</v>
      </c>
      <c r="M593">
        <f>2*SQRT(K593/PI())</f>
        <v/>
      </c>
      <c r="N593">
        <f>2*SQRT(L593/PI())</f>
        <v/>
      </c>
      <c r="P593" t="inlineStr">
        <is>
          <t>是</t>
        </is>
      </c>
      <c r="Q593" t="inlineStr">
        <is>
          <t>auto_pipeline;review_png_green</t>
        </is>
      </c>
      <c r="R593" t="inlineStr">
        <is>
          <t>样品57</t>
        </is>
      </c>
    </row>
    <row r="594">
      <c r="A594" t="n">
        <v>593</v>
      </c>
      <c r="B594" t="inlineStr">
        <is>
          <t>57 (2).tif</t>
        </is>
      </c>
      <c r="C594" t="inlineStr">
        <is>
          <t>57(2)-V06</t>
        </is>
      </c>
      <c r="D594" t="n">
        <v>6</v>
      </c>
      <c r="E594" t="inlineStr">
        <is>
          <t>primary</t>
        </is>
      </c>
      <c r="F594" t="n">
        <v>321.6209829867675</v>
      </c>
      <c r="G594">
        <f>2*SQRT(F594/PI())</f>
        <v/>
      </c>
      <c r="H594" t="n">
        <v>69.23748293648595</v>
      </c>
      <c r="I594" t="n">
        <v>954</v>
      </c>
      <c r="J594" t="n">
        <v>614</v>
      </c>
      <c r="K594" t="n">
        <v>315.1885633270322</v>
      </c>
      <c r="L594" t="n">
        <v>328.0534026465028</v>
      </c>
      <c r="M594">
        <f>2*SQRT(K594/PI())</f>
        <v/>
      </c>
      <c r="N594">
        <f>2*SQRT(L594/PI())</f>
        <v/>
      </c>
      <c r="P594" t="inlineStr">
        <is>
          <t>是</t>
        </is>
      </c>
      <c r="Q594" t="inlineStr">
        <is>
          <t>auto_pipeline;review_png_green</t>
        </is>
      </c>
      <c r="R594" t="inlineStr">
        <is>
          <t>样品57</t>
        </is>
      </c>
    </row>
    <row r="595">
      <c r="A595" t="n">
        <v>594</v>
      </c>
      <c r="B595" t="inlineStr">
        <is>
          <t>57 (3).tif</t>
        </is>
      </c>
      <c r="C595" t="inlineStr">
        <is>
          <t>57(3)-V01</t>
        </is>
      </c>
      <c r="D595" t="n">
        <v>1</v>
      </c>
      <c r="E595" t="inlineStr">
        <is>
          <t>primary</t>
        </is>
      </c>
      <c r="F595" t="n">
        <v>669.7778827977315</v>
      </c>
      <c r="G595">
        <f>2*SQRT(F595/PI())</f>
        <v/>
      </c>
      <c r="H595" t="n">
        <v>98.01303316717562</v>
      </c>
      <c r="I595" t="n">
        <v>279</v>
      </c>
      <c r="J595" t="n">
        <v>198</v>
      </c>
      <c r="K595" t="n">
        <v>656.3823251417768</v>
      </c>
      <c r="L595" t="n">
        <v>683.1734404536862</v>
      </c>
      <c r="M595">
        <f>2*SQRT(K595/PI())</f>
        <v/>
      </c>
      <c r="N595">
        <f>2*SQRT(L595/PI())</f>
        <v/>
      </c>
      <c r="P595" t="inlineStr">
        <is>
          <t>是</t>
        </is>
      </c>
      <c r="Q595" t="inlineStr">
        <is>
          <t>auto_pipeline;review_png_green</t>
        </is>
      </c>
      <c r="R595" t="inlineStr">
        <is>
          <t>样品57</t>
        </is>
      </c>
    </row>
    <row r="596">
      <c r="A596" t="n">
        <v>595</v>
      </c>
      <c r="B596" t="inlineStr">
        <is>
          <t>57 (3).tif</t>
        </is>
      </c>
      <c r="C596" t="inlineStr">
        <is>
          <t>57(3)-V02</t>
        </is>
      </c>
      <c r="D596" t="n">
        <v>2</v>
      </c>
      <c r="E596" t="inlineStr">
        <is>
          <t>primary</t>
        </is>
      </c>
      <c r="F596" t="n">
        <v>584.0737240075614</v>
      </c>
      <c r="G596">
        <f>2*SQRT(F596/PI())</f>
        <v/>
      </c>
      <c r="H596" t="n">
        <v>91.22755423836085</v>
      </c>
      <c r="I596" t="n">
        <v>894</v>
      </c>
      <c r="J596" t="n">
        <v>183</v>
      </c>
      <c r="K596" t="n">
        <v>572.3922495274102</v>
      </c>
      <c r="L596" t="n">
        <v>595.7551984877126</v>
      </c>
      <c r="M596">
        <f>2*SQRT(K596/PI())</f>
        <v/>
      </c>
      <c r="N596">
        <f>2*SQRT(L596/PI())</f>
        <v/>
      </c>
      <c r="P596" t="inlineStr">
        <is>
          <t>是</t>
        </is>
      </c>
      <c r="Q596" t="inlineStr">
        <is>
          <t>auto_pipeline;review_png_green</t>
        </is>
      </c>
      <c r="R596" t="inlineStr">
        <is>
          <t>样品57</t>
        </is>
      </c>
    </row>
    <row r="597">
      <c r="A597" t="n">
        <v>596</v>
      </c>
      <c r="B597" t="inlineStr">
        <is>
          <t>57 (3).tif</t>
        </is>
      </c>
      <c r="C597" t="inlineStr">
        <is>
          <t>57(3)-V03</t>
        </is>
      </c>
      <c r="D597" t="n">
        <v>3</v>
      </c>
      <c r="E597" t="inlineStr">
        <is>
          <t>primary</t>
        </is>
      </c>
      <c r="F597" t="n">
        <v>510.5151228733459</v>
      </c>
      <c r="G597">
        <f>2*SQRT(F597/PI())</f>
        <v/>
      </c>
      <c r="H597" t="n">
        <v>85.52263236564139</v>
      </c>
      <c r="I597" t="n">
        <v>108</v>
      </c>
      <c r="J597" t="n">
        <v>216</v>
      </c>
      <c r="K597" t="n">
        <v>500.304820415879</v>
      </c>
      <c r="L597" t="n">
        <v>520.7254253308129</v>
      </c>
      <c r="M597">
        <f>2*SQRT(K597/PI())</f>
        <v/>
      </c>
      <c r="N597">
        <f>2*SQRT(L597/PI())</f>
        <v/>
      </c>
      <c r="P597" t="inlineStr">
        <is>
          <t>是</t>
        </is>
      </c>
      <c r="Q597" t="inlineStr">
        <is>
          <t>auto_pipeline;review_png_green</t>
        </is>
      </c>
      <c r="R597" t="inlineStr">
        <is>
          <t>样品57</t>
        </is>
      </c>
    </row>
    <row r="598">
      <c r="A598" t="n">
        <v>597</v>
      </c>
      <c r="B598" t="inlineStr">
        <is>
          <t>57 (3).tif</t>
        </is>
      </c>
      <c r="C598" t="inlineStr">
        <is>
          <t>57(3)-V04</t>
        </is>
      </c>
      <c r="D598" t="n">
        <v>4</v>
      </c>
      <c r="E598" t="inlineStr">
        <is>
          <t>primary</t>
        </is>
      </c>
      <c r="F598" t="n">
        <v>498.5822306238185</v>
      </c>
      <c r="G598">
        <f>2*SQRT(F598/PI())</f>
        <v/>
      </c>
      <c r="H598" t="n">
        <v>83.80535089451334</v>
      </c>
      <c r="I598" t="n">
        <v>472</v>
      </c>
      <c r="J598" t="n">
        <v>348</v>
      </c>
      <c r="K598" t="n">
        <v>488.6105860113421</v>
      </c>
      <c r="L598" t="n">
        <v>508.5538752362949</v>
      </c>
      <c r="M598">
        <f>2*SQRT(K598/PI())</f>
        <v/>
      </c>
      <c r="N598">
        <f>2*SQRT(L598/PI())</f>
        <v/>
      </c>
      <c r="P598" t="inlineStr">
        <is>
          <t>是</t>
        </is>
      </c>
      <c r="Q598" t="inlineStr">
        <is>
          <t>auto_pipeline;review_png_green</t>
        </is>
      </c>
      <c r="R598" t="inlineStr">
        <is>
          <t>样品57</t>
        </is>
      </c>
    </row>
    <row r="599">
      <c r="A599" t="n">
        <v>598</v>
      </c>
      <c r="B599" t="inlineStr">
        <is>
          <t>57 (3).tif</t>
        </is>
      </c>
      <c r="C599" t="inlineStr">
        <is>
          <t>57(3)-V05</t>
        </is>
      </c>
      <c r="D599" t="n">
        <v>5</v>
      </c>
      <c r="E599" t="inlineStr">
        <is>
          <t>primary</t>
        </is>
      </c>
      <c r="F599" t="n">
        <v>208.2939508506616</v>
      </c>
      <c r="G599">
        <f>2*SQRT(F599/PI())</f>
        <v/>
      </c>
      <c r="H599" t="n">
        <v>54.3930762487909</v>
      </c>
      <c r="I599" t="n">
        <v>311</v>
      </c>
      <c r="J599" t="n">
        <v>452</v>
      </c>
      <c r="K599" t="n">
        <v>204.1280718336484</v>
      </c>
      <c r="L599" t="n">
        <v>212.4598298676748</v>
      </c>
      <c r="M599">
        <f>2*SQRT(K599/PI())</f>
        <v/>
      </c>
      <c r="N599">
        <f>2*SQRT(L599/PI())</f>
        <v/>
      </c>
      <c r="P599" t="inlineStr">
        <is>
          <t>是</t>
        </is>
      </c>
      <c r="Q599" t="inlineStr">
        <is>
          <t>auto_pipeline;review_png_green</t>
        </is>
      </c>
      <c r="R599" t="inlineStr">
        <is>
          <t>样品57</t>
        </is>
      </c>
    </row>
    <row r="600">
      <c r="A600" t="n">
        <v>599</v>
      </c>
      <c r="B600" t="inlineStr">
        <is>
          <t>57 (3).tif</t>
        </is>
      </c>
      <c r="C600" t="inlineStr">
        <is>
          <t>57(3)-V06</t>
        </is>
      </c>
      <c r="D600" t="n">
        <v>6</v>
      </c>
      <c r="E600" t="inlineStr">
        <is>
          <t>primary</t>
        </is>
      </c>
      <c r="F600" t="n">
        <v>184.3809073724008</v>
      </c>
      <c r="G600">
        <f>2*SQRT(F600/PI())</f>
        <v/>
      </c>
      <c r="H600" t="n">
        <v>51.4241949112519</v>
      </c>
      <c r="I600" t="n">
        <v>374</v>
      </c>
      <c r="J600" t="n">
        <v>513</v>
      </c>
      <c r="K600" t="n">
        <v>180.6932892249528</v>
      </c>
      <c r="L600" t="n">
        <v>188.0685255198488</v>
      </c>
      <c r="M600">
        <f>2*SQRT(K600/PI())</f>
        <v/>
      </c>
      <c r="N600">
        <f>2*SQRT(L600/PI())</f>
        <v/>
      </c>
      <c r="P600" t="inlineStr">
        <is>
          <t>是</t>
        </is>
      </c>
      <c r="Q600" t="inlineStr">
        <is>
          <t>auto_pipeline;review_png_green</t>
        </is>
      </c>
      <c r="R600" t="inlineStr">
        <is>
          <t>样品57</t>
        </is>
      </c>
    </row>
    <row r="601">
      <c r="A601" t="n">
        <v>600</v>
      </c>
      <c r="B601" t="inlineStr">
        <is>
          <t>57 (4).tif</t>
        </is>
      </c>
      <c r="C601" t="inlineStr">
        <is>
          <t>57(4)-V01</t>
        </is>
      </c>
      <c r="D601" t="n">
        <v>1</v>
      </c>
      <c r="E601" t="inlineStr">
        <is>
          <t>primary</t>
        </is>
      </c>
      <c r="F601" t="n">
        <v>1233.624763705104</v>
      </c>
      <c r="G601">
        <f>2*SQRT(F601/PI())</f>
        <v/>
      </c>
      <c r="H601" t="n">
        <v>132.0059747022131</v>
      </c>
      <c r="I601" t="n">
        <v>456</v>
      </c>
      <c r="J601" t="n">
        <v>289</v>
      </c>
      <c r="K601" t="n">
        <v>1208.952268431002</v>
      </c>
      <c r="L601" t="n">
        <v>1258.297258979206</v>
      </c>
      <c r="M601">
        <f>2*SQRT(K601/PI())</f>
        <v/>
      </c>
      <c r="N601">
        <f>2*SQRT(L601/PI())</f>
        <v/>
      </c>
      <c r="P601" t="inlineStr">
        <is>
          <t>是</t>
        </is>
      </c>
      <c r="Q601" t="inlineStr">
        <is>
          <t>auto_pipeline;review_png_green</t>
        </is>
      </c>
      <c r="R601" t="inlineStr">
        <is>
          <t>样品57</t>
        </is>
      </c>
    </row>
    <row r="602">
      <c r="A602" t="n">
        <v>601</v>
      </c>
      <c r="B602" t="inlineStr">
        <is>
          <t>57 (4).tif</t>
        </is>
      </c>
      <c r="C602" t="inlineStr">
        <is>
          <t>57(4)-V02</t>
        </is>
      </c>
      <c r="D602" t="n">
        <v>2</v>
      </c>
      <c r="E602" t="inlineStr">
        <is>
          <t>primary</t>
        </is>
      </c>
      <c r="F602" t="n">
        <v>1051.79584120983</v>
      </c>
      <c r="G602">
        <f>2*SQRT(F602/PI())</f>
        <v/>
      </c>
      <c r="H602" t="n">
        <v>121.9969246698462</v>
      </c>
      <c r="I602" t="n">
        <v>936</v>
      </c>
      <c r="J602" t="n">
        <v>377</v>
      </c>
      <c r="K602" t="n">
        <v>1030.759924385633</v>
      </c>
      <c r="L602" t="n">
        <v>1072.831758034027</v>
      </c>
      <c r="M602">
        <f>2*SQRT(K602/PI())</f>
        <v/>
      </c>
      <c r="N602">
        <f>2*SQRT(L602/PI())</f>
        <v/>
      </c>
      <c r="P602" t="inlineStr">
        <is>
          <t>是</t>
        </is>
      </c>
      <c r="Q602" t="inlineStr">
        <is>
          <t>auto_pipeline;review_png_green</t>
        </is>
      </c>
      <c r="R602" t="inlineStr">
        <is>
          <t>样品57</t>
        </is>
      </c>
    </row>
    <row r="603">
      <c r="A603" t="n">
        <v>602</v>
      </c>
      <c r="B603" t="inlineStr">
        <is>
          <t>57 (4).tif</t>
        </is>
      </c>
      <c r="C603" t="inlineStr">
        <is>
          <t>57(4)-V03</t>
        </is>
      </c>
      <c r="D603" t="n">
        <v>3</v>
      </c>
      <c r="E603" t="inlineStr">
        <is>
          <t>primary</t>
        </is>
      </c>
      <c r="F603" t="n">
        <v>842.9347826086956</v>
      </c>
      <c r="G603">
        <f>2*SQRT(F603/PI())</f>
        <v/>
      </c>
      <c r="H603" t="n">
        <v>109.0189932999403</v>
      </c>
      <c r="I603" t="n">
        <v>521</v>
      </c>
      <c r="J603" t="n">
        <v>460</v>
      </c>
      <c r="K603" t="n">
        <v>826.0760869565217</v>
      </c>
      <c r="L603" t="n">
        <v>859.7934782608695</v>
      </c>
      <c r="M603">
        <f>2*SQRT(K603/PI())</f>
        <v/>
      </c>
      <c r="N603">
        <f>2*SQRT(L603/PI())</f>
        <v/>
      </c>
      <c r="P603" t="inlineStr">
        <is>
          <t>是</t>
        </is>
      </c>
      <c r="Q603" t="inlineStr">
        <is>
          <t>auto_pipeline;review_png_green</t>
        </is>
      </c>
      <c r="R603" t="inlineStr">
        <is>
          <t>样品57</t>
        </is>
      </c>
    </row>
    <row r="604">
      <c r="A604" t="n">
        <v>603</v>
      </c>
      <c r="B604" t="inlineStr">
        <is>
          <t>57 (4).tif</t>
        </is>
      </c>
      <c r="C604" t="inlineStr">
        <is>
          <t>57(4)-V04</t>
        </is>
      </c>
      <c r="D604" t="n">
        <v>4</v>
      </c>
      <c r="E604" t="inlineStr">
        <is>
          <t>primary</t>
        </is>
      </c>
      <c r="F604" t="n">
        <v>586.1531190926275</v>
      </c>
      <c r="G604">
        <f>2*SQRT(F604/PI())</f>
        <v/>
      </c>
      <c r="H604" t="n">
        <v>90.97286447234775</v>
      </c>
      <c r="I604" t="n">
        <v>91</v>
      </c>
      <c r="J604" t="n">
        <v>344</v>
      </c>
      <c r="K604" t="n">
        <v>574.430056710775</v>
      </c>
      <c r="L604" t="n">
        <v>597.8761814744801</v>
      </c>
      <c r="M604">
        <f>2*SQRT(K604/PI())</f>
        <v/>
      </c>
      <c r="N604">
        <f>2*SQRT(L604/PI())</f>
        <v/>
      </c>
      <c r="P604" t="inlineStr">
        <is>
          <t>是</t>
        </is>
      </c>
      <c r="Q604" t="inlineStr">
        <is>
          <t>auto_pipeline;review_png_green</t>
        </is>
      </c>
      <c r="R604" t="inlineStr">
        <is>
          <t>样品57</t>
        </is>
      </c>
    </row>
    <row r="605">
      <c r="A605" t="n">
        <v>604</v>
      </c>
      <c r="B605" t="inlineStr">
        <is>
          <t>57 (4).tif</t>
        </is>
      </c>
      <c r="C605" t="inlineStr">
        <is>
          <t>57(4)-V05</t>
        </is>
      </c>
      <c r="D605" t="n">
        <v>5</v>
      </c>
      <c r="E605" t="inlineStr">
        <is>
          <t>primary</t>
        </is>
      </c>
      <c r="F605" t="n">
        <v>420.7939508506616</v>
      </c>
      <c r="G605">
        <f>2*SQRT(F605/PI())</f>
        <v/>
      </c>
      <c r="H605" t="n">
        <v>78.63165751747462</v>
      </c>
      <c r="I605" t="n">
        <v>598</v>
      </c>
      <c r="J605" t="n">
        <v>123</v>
      </c>
      <c r="K605" t="n">
        <v>412.3780718336484</v>
      </c>
      <c r="L605" t="n">
        <v>429.2098298676749</v>
      </c>
      <c r="M605">
        <f>2*SQRT(K605/PI())</f>
        <v/>
      </c>
      <c r="N605">
        <f>2*SQRT(L605/PI())</f>
        <v/>
      </c>
      <c r="P605" t="inlineStr">
        <is>
          <t>是</t>
        </is>
      </c>
      <c r="Q605" t="inlineStr">
        <is>
          <t>auto_pipeline;review_png_green</t>
        </is>
      </c>
      <c r="R605" t="inlineStr">
        <is>
          <t>样品57</t>
        </is>
      </c>
    </row>
    <row r="606">
      <c r="A606" t="n">
        <v>605</v>
      </c>
      <c r="B606" t="inlineStr">
        <is>
          <t>57 (4).tif</t>
        </is>
      </c>
      <c r="C606" t="inlineStr">
        <is>
          <t>57(4)-V06</t>
        </is>
      </c>
      <c r="D606" t="n">
        <v>6</v>
      </c>
      <c r="E606" t="inlineStr">
        <is>
          <t>primary</t>
        </is>
      </c>
      <c r="F606" t="n">
        <v>135.0189035916824</v>
      </c>
      <c r="G606">
        <f>2*SQRT(F606/PI())</f>
        <v/>
      </c>
      <c r="H606" t="n">
        <v>44.12933645041092</v>
      </c>
      <c r="I606" t="n">
        <v>277</v>
      </c>
      <c r="J606" t="n">
        <v>46</v>
      </c>
      <c r="K606" t="n">
        <v>132.3185255198488</v>
      </c>
      <c r="L606" t="n">
        <v>137.7192816635161</v>
      </c>
      <c r="M606">
        <f>2*SQRT(K606/PI())</f>
        <v/>
      </c>
      <c r="N606">
        <f>2*SQRT(L606/PI())</f>
        <v/>
      </c>
      <c r="P606" t="inlineStr">
        <is>
          <t>是</t>
        </is>
      </c>
      <c r="Q606" t="inlineStr">
        <is>
          <t>auto_pipeline;review_png_green</t>
        </is>
      </c>
      <c r="R606" t="inlineStr">
        <is>
          <t>样品57</t>
        </is>
      </c>
    </row>
    <row r="607">
      <c r="A607" t="n">
        <v>606</v>
      </c>
      <c r="B607" t="inlineStr">
        <is>
          <t>57 (5).tif</t>
        </is>
      </c>
      <c r="C607" t="inlineStr">
        <is>
          <t>57(5)-V01</t>
        </is>
      </c>
      <c r="D607" t="n">
        <v>1</v>
      </c>
      <c r="E607" t="inlineStr">
        <is>
          <t>primary</t>
        </is>
      </c>
      <c r="F607" t="n">
        <v>586.2948960302457</v>
      </c>
      <c r="G607">
        <f>2*SQRT(F607/PI())</f>
        <v/>
      </c>
      <c r="H607" t="n">
        <v>90.71817470633465</v>
      </c>
      <c r="I607" t="n">
        <v>469</v>
      </c>
      <c r="J607" t="n">
        <v>315</v>
      </c>
      <c r="K607" t="n">
        <v>574.5689981096408</v>
      </c>
      <c r="L607" t="n">
        <v>598.0207939508506</v>
      </c>
      <c r="M607">
        <f>2*SQRT(K607/PI())</f>
        <v/>
      </c>
      <c r="N607">
        <f>2*SQRT(L607/PI())</f>
        <v/>
      </c>
      <c r="P607" t="inlineStr">
        <is>
          <t>是</t>
        </is>
      </c>
      <c r="Q607" t="inlineStr">
        <is>
          <t>auto_pipeline;review_png_green</t>
        </is>
      </c>
      <c r="R607" t="inlineStr">
        <is>
          <t>样品57</t>
        </is>
      </c>
    </row>
    <row r="608">
      <c r="A608" t="n">
        <v>607</v>
      </c>
      <c r="B608" t="inlineStr">
        <is>
          <t>57 (5).tif</t>
        </is>
      </c>
      <c r="C608" t="inlineStr">
        <is>
          <t>57(5)-V02</t>
        </is>
      </c>
      <c r="D608" t="n">
        <v>2</v>
      </c>
      <c r="E608" t="inlineStr">
        <is>
          <t>primary</t>
        </is>
      </c>
      <c r="F608" t="n">
        <v>150.4017013232514</v>
      </c>
      <c r="G608">
        <f>2*SQRT(F608/PI())</f>
        <v/>
      </c>
      <c r="H608" t="n">
        <v>47.48025243696959</v>
      </c>
      <c r="I608" t="n">
        <v>455</v>
      </c>
      <c r="J608" t="n">
        <v>105</v>
      </c>
      <c r="K608" t="n">
        <v>147.3936672967864</v>
      </c>
      <c r="L608" t="n">
        <v>153.4097353497164</v>
      </c>
      <c r="M608">
        <f>2*SQRT(K608/PI())</f>
        <v/>
      </c>
      <c r="N608">
        <f>2*SQRT(L608/PI())</f>
        <v/>
      </c>
      <c r="P608" t="inlineStr">
        <is>
          <t>是</t>
        </is>
      </c>
      <c r="Q608" t="inlineStr">
        <is>
          <t>auto_pipeline;review_png_green</t>
        </is>
      </c>
      <c r="R608" t="inlineStr">
        <is>
          <t>样品57</t>
        </is>
      </c>
    </row>
    <row r="609">
      <c r="A609" t="n">
        <v>608</v>
      </c>
      <c r="B609" t="inlineStr">
        <is>
          <t>57 (5).tif</t>
        </is>
      </c>
      <c r="C609" t="inlineStr">
        <is>
          <t>57(5)-V03</t>
        </is>
      </c>
      <c r="D609" t="n">
        <v>3</v>
      </c>
      <c r="E609" t="inlineStr">
        <is>
          <t>primary</t>
        </is>
      </c>
      <c r="F609" t="n">
        <v>122.8497164461248</v>
      </c>
      <c r="G609">
        <f>2*SQRT(F609/PI())</f>
        <v/>
      </c>
      <c r="H609" t="n">
        <v>50.13264601645263</v>
      </c>
      <c r="I609" t="n">
        <v>777</v>
      </c>
      <c r="J609" t="n">
        <v>285</v>
      </c>
      <c r="K609" t="n">
        <v>120.3927221172023</v>
      </c>
      <c r="L609" t="n">
        <v>125.3067107750473</v>
      </c>
      <c r="M609">
        <f>2*SQRT(K609/PI())</f>
        <v/>
      </c>
      <c r="N609">
        <f>2*SQRT(L609/PI())</f>
        <v/>
      </c>
      <c r="P609" t="inlineStr">
        <is>
          <t>是</t>
        </is>
      </c>
      <c r="Q609" t="inlineStr">
        <is>
          <t>auto_pipeline;review_png_green</t>
        </is>
      </c>
      <c r="R609" t="inlineStr">
        <is>
          <t>样品57</t>
        </is>
      </c>
    </row>
    <row r="610">
      <c r="A610" t="n">
        <v>609</v>
      </c>
      <c r="B610" t="inlineStr">
        <is>
          <t>57 (5).tif</t>
        </is>
      </c>
      <c r="C610" t="inlineStr">
        <is>
          <t>57(5)-V04</t>
        </is>
      </c>
      <c r="D610" t="n">
        <v>4</v>
      </c>
      <c r="E610" t="inlineStr">
        <is>
          <t>primary</t>
        </is>
      </c>
      <c r="F610" t="n">
        <v>110.4678638941399</v>
      </c>
      <c r="G610">
        <f>2*SQRT(F610/PI())</f>
        <v/>
      </c>
      <c r="H610" t="n">
        <v>40.05804909312207</v>
      </c>
      <c r="I610" t="n">
        <v>907</v>
      </c>
      <c r="J610" t="n">
        <v>419</v>
      </c>
      <c r="K610" t="n">
        <v>108.2585066162571</v>
      </c>
      <c r="L610" t="n">
        <v>112.6772211720227</v>
      </c>
      <c r="M610">
        <f>2*SQRT(K610/PI())</f>
        <v/>
      </c>
      <c r="N610">
        <f>2*SQRT(L610/PI())</f>
        <v/>
      </c>
      <c r="P610" t="inlineStr">
        <is>
          <t>是</t>
        </is>
      </c>
      <c r="Q610" t="inlineStr">
        <is>
          <t>auto_pipeline;review_png_green</t>
        </is>
      </c>
      <c r="R610" t="inlineStr">
        <is>
          <t>样品57</t>
        </is>
      </c>
    </row>
    <row r="611">
      <c r="A611" t="n">
        <v>610</v>
      </c>
      <c r="B611" t="inlineStr">
        <is>
          <t>57 (6).tif</t>
        </is>
      </c>
      <c r="C611" t="inlineStr">
        <is>
          <t>57(6)-V01</t>
        </is>
      </c>
      <c r="D611" t="n">
        <v>1</v>
      </c>
      <c r="E611" t="inlineStr">
        <is>
          <t>primary</t>
        </is>
      </c>
      <c r="F611" t="n">
        <v>913.5160680529301</v>
      </c>
      <c r="G611">
        <f>2*SQRT(F611/PI())</f>
        <v/>
      </c>
      <c r="H611" t="n">
        <v>118.3694699536199</v>
      </c>
      <c r="I611" t="n">
        <v>144</v>
      </c>
      <c r="J611" t="n">
        <v>533</v>
      </c>
      <c r="K611" t="n">
        <v>895.2457466918715</v>
      </c>
      <c r="L611" t="n">
        <v>931.7863894139887</v>
      </c>
      <c r="M611">
        <f>2*SQRT(K611/PI())</f>
        <v/>
      </c>
      <c r="N611">
        <f>2*SQRT(L611/PI())</f>
        <v/>
      </c>
      <c r="P611" t="inlineStr">
        <is>
          <t>是</t>
        </is>
      </c>
      <c r="Q611" t="inlineStr">
        <is>
          <t>auto_pipeline;review_png_green</t>
        </is>
      </c>
      <c r="R611" t="inlineStr">
        <is>
          <t>样品57</t>
        </is>
      </c>
    </row>
    <row r="612">
      <c r="A612" t="n">
        <v>611</v>
      </c>
      <c r="B612" t="inlineStr">
        <is>
          <t>57 (6).tif</t>
        </is>
      </c>
      <c r="C612" t="inlineStr">
        <is>
          <t>57(6)-V02</t>
        </is>
      </c>
      <c r="D612" t="n">
        <v>2</v>
      </c>
      <c r="E612" t="inlineStr">
        <is>
          <t>primary</t>
        </is>
      </c>
      <c r="F612" t="n">
        <v>556.8525519848771</v>
      </c>
      <c r="G612">
        <f>2*SQRT(F612/PI())</f>
        <v/>
      </c>
      <c r="H612" t="n">
        <v>88.87354835220005</v>
      </c>
      <c r="I612" t="n">
        <v>469</v>
      </c>
      <c r="J612" t="n">
        <v>354</v>
      </c>
      <c r="K612" t="n">
        <v>545.7155009451795</v>
      </c>
      <c r="L612" t="n">
        <v>567.9896030245746</v>
      </c>
      <c r="M612">
        <f>2*SQRT(K612/PI())</f>
        <v/>
      </c>
      <c r="N612">
        <f>2*SQRT(L612/PI())</f>
        <v/>
      </c>
      <c r="O612" t="inlineStr">
        <is>
          <t>57(6)-P01</t>
        </is>
      </c>
      <c r="P612" t="inlineStr">
        <is>
          <t>是</t>
        </is>
      </c>
      <c r="Q612" t="inlineStr">
        <is>
          <t>auto_pipeline;review_png_green</t>
        </is>
      </c>
      <c r="R612" t="inlineStr">
        <is>
          <t>样品57</t>
        </is>
      </c>
    </row>
    <row r="613">
      <c r="A613" t="n">
        <v>612</v>
      </c>
      <c r="B613" t="inlineStr">
        <is>
          <t>57 (6).tif</t>
        </is>
      </c>
      <c r="C613" t="inlineStr">
        <is>
          <t>57(6)-V03</t>
        </is>
      </c>
      <c r="D613" t="n">
        <v>3</v>
      </c>
      <c r="E613" t="inlineStr">
        <is>
          <t>primary</t>
        </is>
      </c>
      <c r="F613" t="n">
        <v>455.6001890359168</v>
      </c>
      <c r="G613">
        <f>2*SQRT(F613/PI())</f>
        <v/>
      </c>
      <c r="H613" t="n">
        <v>81.32400012534598</v>
      </c>
      <c r="I613" t="n">
        <v>601</v>
      </c>
      <c r="J613" t="n">
        <v>381</v>
      </c>
      <c r="K613" t="n">
        <v>446.4881852551985</v>
      </c>
      <c r="L613" t="n">
        <v>464.7121928166351</v>
      </c>
      <c r="M613">
        <f>2*SQRT(K613/PI())</f>
        <v/>
      </c>
      <c r="N613">
        <f>2*SQRT(L613/PI())</f>
        <v/>
      </c>
      <c r="O613" t="inlineStr">
        <is>
          <t>57(6)-P01</t>
        </is>
      </c>
      <c r="P613" t="inlineStr">
        <is>
          <t>是</t>
        </is>
      </c>
      <c r="Q613" t="inlineStr">
        <is>
          <t>auto_pipeline;review_png_green</t>
        </is>
      </c>
      <c r="R613" t="inlineStr">
        <is>
          <t>样品57</t>
        </is>
      </c>
    </row>
    <row r="614">
      <c r="A614" t="n">
        <v>613</v>
      </c>
      <c r="B614" t="inlineStr">
        <is>
          <t>57 (7).tif</t>
        </is>
      </c>
      <c r="C614" t="inlineStr">
        <is>
          <t>57(7)-V01</t>
        </is>
      </c>
      <c r="D614" t="n">
        <v>1</v>
      </c>
      <c r="E614" t="inlineStr">
        <is>
          <t>primary</t>
        </is>
      </c>
      <c r="F614" t="n">
        <v>942.4621928166351</v>
      </c>
      <c r="G614">
        <f>2*SQRT(F614/PI())</f>
        <v/>
      </c>
      <c r="H614" t="n">
        <v>115.5716314263966</v>
      </c>
      <c r="I614" t="n">
        <v>339</v>
      </c>
      <c r="J614" t="n">
        <v>335</v>
      </c>
      <c r="K614" t="n">
        <v>923.6129489603024</v>
      </c>
      <c r="L614" t="n">
        <v>961.3114366729678</v>
      </c>
      <c r="M614">
        <f>2*SQRT(K614/PI())</f>
        <v/>
      </c>
      <c r="N614">
        <f>2*SQRT(L614/PI())</f>
        <v/>
      </c>
      <c r="P614" t="inlineStr">
        <is>
          <t>是</t>
        </is>
      </c>
      <c r="Q614" t="inlineStr">
        <is>
          <t>auto_pipeline;review_png_green</t>
        </is>
      </c>
      <c r="R614" t="inlineStr">
        <is>
          <t>样品57</t>
        </is>
      </c>
    </row>
    <row r="615">
      <c r="A615" t="n">
        <v>614</v>
      </c>
      <c r="B615" t="inlineStr">
        <is>
          <t>57 (7).tif</t>
        </is>
      </c>
      <c r="C615" t="inlineStr">
        <is>
          <t>57(7)-V02</t>
        </is>
      </c>
      <c r="D615" t="n">
        <v>2</v>
      </c>
      <c r="E615" t="inlineStr">
        <is>
          <t>primary</t>
        </is>
      </c>
      <c r="F615" t="n">
        <v>860.1843100189036</v>
      </c>
      <c r="G615">
        <f>2*SQRT(F615/PI())</f>
        <v/>
      </c>
      <c r="H615" t="n">
        <v>110.2487442026968</v>
      </c>
      <c r="I615" t="n">
        <v>523</v>
      </c>
      <c r="J615" t="n">
        <v>362</v>
      </c>
      <c r="K615" t="n">
        <v>842.9806238185255</v>
      </c>
      <c r="L615" t="n">
        <v>877.3879962192817</v>
      </c>
      <c r="M615">
        <f>2*SQRT(K615/PI())</f>
        <v/>
      </c>
      <c r="N615">
        <f>2*SQRT(L615/PI())</f>
        <v/>
      </c>
      <c r="P615" t="inlineStr">
        <is>
          <t>是</t>
        </is>
      </c>
      <c r="Q615" t="inlineStr">
        <is>
          <t>auto_pipeline;review_png_green</t>
        </is>
      </c>
      <c r="R615" t="inlineStr">
        <is>
          <t>样品57</t>
        </is>
      </c>
    </row>
    <row r="616">
      <c r="A616" t="n">
        <v>615</v>
      </c>
      <c r="B616" t="inlineStr">
        <is>
          <t>57 (7).tif</t>
        </is>
      </c>
      <c r="C616" t="inlineStr">
        <is>
          <t>57(7)-V03</t>
        </is>
      </c>
      <c r="D616" t="n">
        <v>3</v>
      </c>
      <c r="E616" t="inlineStr">
        <is>
          <t>primary</t>
        </is>
      </c>
      <c r="F616" t="n">
        <v>245.3686200378072</v>
      </c>
      <c r="G616">
        <f>2*SQRT(F616/PI())</f>
        <v/>
      </c>
      <c r="H616" t="n">
        <v>60.66917564557946</v>
      </c>
      <c r="I616" t="n">
        <v>889</v>
      </c>
      <c r="J616" t="n">
        <v>568</v>
      </c>
      <c r="K616" t="n">
        <v>240.461247637051</v>
      </c>
      <c r="L616" t="n">
        <v>250.2759924385633</v>
      </c>
      <c r="M616">
        <f>2*SQRT(K616/PI())</f>
        <v/>
      </c>
      <c r="N616">
        <f>2*SQRT(L616/PI())</f>
        <v/>
      </c>
      <c r="P616" t="inlineStr">
        <is>
          <t>是</t>
        </is>
      </c>
      <c r="Q616" t="inlineStr">
        <is>
          <t>auto_pipeline;review_png_green</t>
        </is>
      </c>
      <c r="R616" t="inlineStr">
        <is>
          <t>样品57</t>
        </is>
      </c>
    </row>
    <row r="617">
      <c r="A617" t="n">
        <v>616</v>
      </c>
      <c r="B617" t="inlineStr">
        <is>
          <t>57 (7).tif</t>
        </is>
      </c>
      <c r="C617" t="inlineStr">
        <is>
          <t>57(7)-V04</t>
        </is>
      </c>
      <c r="D617" t="n">
        <v>4</v>
      </c>
      <c r="E617" t="inlineStr">
        <is>
          <t>primary</t>
        </is>
      </c>
      <c r="F617" t="n">
        <v>182.8449905482042</v>
      </c>
      <c r="G617">
        <f>2*SQRT(F617/PI())</f>
        <v/>
      </c>
      <c r="H617" t="n">
        <v>52.88678661636684</v>
      </c>
      <c r="I617" t="n">
        <v>795</v>
      </c>
      <c r="J617" t="n">
        <v>539</v>
      </c>
      <c r="K617" t="n">
        <v>179.1880907372401</v>
      </c>
      <c r="L617" t="n">
        <v>186.5018903591682</v>
      </c>
      <c r="M617">
        <f>2*SQRT(K617/PI())</f>
        <v/>
      </c>
      <c r="N617">
        <f>2*SQRT(L617/PI())</f>
        <v/>
      </c>
      <c r="P617" t="inlineStr">
        <is>
          <t>是</t>
        </is>
      </c>
      <c r="Q617" t="inlineStr">
        <is>
          <t>auto_pipeline;review_png_green</t>
        </is>
      </c>
      <c r="R617" t="inlineStr">
        <is>
          <t>样品57</t>
        </is>
      </c>
    </row>
    <row r="618">
      <c r="A618" t="n">
        <v>617</v>
      </c>
      <c r="B618" t="inlineStr">
        <is>
          <t>57 (7).tif</t>
        </is>
      </c>
      <c r="C618" t="inlineStr">
        <is>
          <t>57(7)-V05</t>
        </is>
      </c>
      <c r="D618" t="n">
        <v>5</v>
      </c>
      <c r="E618" t="inlineStr">
        <is>
          <t>primary</t>
        </is>
      </c>
      <c r="F618" t="n">
        <v>128.5207939508507</v>
      </c>
      <c r="G618">
        <f>2*SQRT(F618/PI())</f>
        <v/>
      </c>
      <c r="H618" t="n">
        <v>50.23814193580461</v>
      </c>
      <c r="I618" t="n">
        <v>642</v>
      </c>
      <c r="J618" t="n">
        <v>511</v>
      </c>
      <c r="K618" t="n">
        <v>125.9503780718337</v>
      </c>
      <c r="L618" t="n">
        <v>131.0912098298677</v>
      </c>
      <c r="M618">
        <f>2*SQRT(K618/PI())</f>
        <v/>
      </c>
      <c r="N618">
        <f>2*SQRT(L618/PI())</f>
        <v/>
      </c>
      <c r="P618" t="inlineStr">
        <is>
          <t>是</t>
        </is>
      </c>
      <c r="Q618" t="inlineStr">
        <is>
          <t>auto_pipeline;review_png_green</t>
        </is>
      </c>
      <c r="R618" t="inlineStr">
        <is>
          <t>样品57</t>
        </is>
      </c>
    </row>
    <row r="619">
      <c r="A619" t="n">
        <v>618</v>
      </c>
      <c r="B619" t="inlineStr">
        <is>
          <t>57 (7).tif</t>
        </is>
      </c>
      <c r="C619" t="inlineStr">
        <is>
          <t>57(7)-V06</t>
        </is>
      </c>
      <c r="D619" t="n">
        <v>6</v>
      </c>
      <c r="E619" t="inlineStr">
        <is>
          <t>primary</t>
        </is>
      </c>
      <c r="F619" t="n">
        <v>118.0529300567108</v>
      </c>
      <c r="G619">
        <f>2*SQRT(F619/PI())</f>
        <v/>
      </c>
      <c r="H619" t="n">
        <v>42.03002033026322</v>
      </c>
      <c r="I619" t="n">
        <v>811</v>
      </c>
      <c r="J619" t="n">
        <v>469</v>
      </c>
      <c r="K619" t="n">
        <v>115.6918714555766</v>
      </c>
      <c r="L619" t="n">
        <v>120.413988657845</v>
      </c>
      <c r="M619">
        <f>2*SQRT(K619/PI())</f>
        <v/>
      </c>
      <c r="N619">
        <f>2*SQRT(L619/PI())</f>
        <v/>
      </c>
      <c r="P619" t="inlineStr">
        <is>
          <t>是</t>
        </is>
      </c>
      <c r="Q619" t="inlineStr">
        <is>
          <t>auto_pipeline;review_png_green</t>
        </is>
      </c>
      <c r="R619" t="inlineStr">
        <is>
          <t>样品57</t>
        </is>
      </c>
    </row>
    <row r="620">
      <c r="A620" t="n">
        <v>619</v>
      </c>
      <c r="B620" t="inlineStr">
        <is>
          <t>57 (8).tif</t>
        </is>
      </c>
      <c r="C620" t="inlineStr">
        <is>
          <t>57(8)-V01</t>
        </is>
      </c>
      <c r="D620" t="n">
        <v>1</v>
      </c>
      <c r="E620" t="inlineStr">
        <is>
          <t>primary</t>
        </is>
      </c>
      <c r="F620" t="n">
        <v>973.2041587901701</v>
      </c>
      <c r="G620">
        <f>2*SQRT(F620/PI())</f>
        <v/>
      </c>
      <c r="H620" t="n">
        <v>122.8227919599284</v>
      </c>
      <c r="I620" t="n">
        <v>663</v>
      </c>
      <c r="J620" t="n">
        <v>90</v>
      </c>
      <c r="K620" t="n">
        <v>953.7400756143667</v>
      </c>
      <c r="L620" t="n">
        <v>992.6682419659736</v>
      </c>
      <c r="M620">
        <f>2*SQRT(K620/PI())</f>
        <v/>
      </c>
      <c r="N620">
        <f>2*SQRT(L620/PI())</f>
        <v/>
      </c>
      <c r="P620" t="inlineStr">
        <is>
          <t>是</t>
        </is>
      </c>
      <c r="Q620" t="inlineStr">
        <is>
          <t>auto_pipeline;review_png_green</t>
        </is>
      </c>
      <c r="R620" t="inlineStr">
        <is>
          <t>样品57</t>
        </is>
      </c>
    </row>
    <row r="621">
      <c r="A621" t="n">
        <v>620</v>
      </c>
      <c r="B621" t="inlineStr">
        <is>
          <t>57 (8).tif</t>
        </is>
      </c>
      <c r="C621" t="inlineStr">
        <is>
          <t>57(8)-V02</t>
        </is>
      </c>
      <c r="D621" t="n">
        <v>2</v>
      </c>
      <c r="E621" t="inlineStr">
        <is>
          <t>primary</t>
        </is>
      </c>
      <c r="F621" t="n">
        <v>828.6862003780718</v>
      </c>
      <c r="G621">
        <f>2*SQRT(F621/PI())</f>
        <v/>
      </c>
      <c r="H621" t="n">
        <v>108.3822688849076</v>
      </c>
      <c r="I621" t="n">
        <v>928</v>
      </c>
      <c r="J621" t="n">
        <v>574</v>
      </c>
      <c r="K621" t="n">
        <v>812.1124763705104</v>
      </c>
      <c r="L621" t="n">
        <v>845.2599243856332</v>
      </c>
      <c r="M621">
        <f>2*SQRT(K621/PI())</f>
        <v/>
      </c>
      <c r="N621">
        <f>2*SQRT(L621/PI())</f>
        <v/>
      </c>
      <c r="P621" t="inlineStr">
        <is>
          <t>是</t>
        </is>
      </c>
      <c r="Q621" t="inlineStr">
        <is>
          <t>auto_pipeline;review_png_green</t>
        </is>
      </c>
      <c r="R621" t="inlineStr">
        <is>
          <t>样品57</t>
        </is>
      </c>
    </row>
    <row r="622">
      <c r="A622" t="n">
        <v>621</v>
      </c>
      <c r="B622" t="inlineStr">
        <is>
          <t>57 (8).tif</t>
        </is>
      </c>
      <c r="C622" t="inlineStr">
        <is>
          <t>57(8)-V03</t>
        </is>
      </c>
      <c r="D622" t="n">
        <v>3</v>
      </c>
      <c r="E622" t="inlineStr">
        <is>
          <t>primary</t>
        </is>
      </c>
      <c r="F622" t="n">
        <v>738.8232514177694</v>
      </c>
      <c r="G622">
        <f>2*SQRT(F622/PI())</f>
        <v/>
      </c>
      <c r="H622" t="n">
        <v>102.9757347055103</v>
      </c>
      <c r="I622" t="n">
        <v>607</v>
      </c>
      <c r="J622" t="n">
        <v>488</v>
      </c>
      <c r="K622" t="n">
        <v>724.046786389414</v>
      </c>
      <c r="L622" t="n">
        <v>753.5997164461247</v>
      </c>
      <c r="M622">
        <f>2*SQRT(K622/PI())</f>
        <v/>
      </c>
      <c r="N622">
        <f>2*SQRT(L622/PI())</f>
        <v/>
      </c>
      <c r="P622" t="inlineStr">
        <is>
          <t>是</t>
        </is>
      </c>
      <c r="Q622" t="inlineStr">
        <is>
          <t>auto_pipeline;review_png_green</t>
        </is>
      </c>
      <c r="R622" t="inlineStr">
        <is>
          <t>样品57</t>
        </is>
      </c>
    </row>
    <row r="623">
      <c r="A623" t="n">
        <v>622</v>
      </c>
      <c r="B623" t="inlineStr">
        <is>
          <t>57 (8).tif</t>
        </is>
      </c>
      <c r="C623" t="inlineStr">
        <is>
          <t>57(8)-V04</t>
        </is>
      </c>
      <c r="D623" t="n">
        <v>4</v>
      </c>
      <c r="E623" t="inlineStr">
        <is>
          <t>primary</t>
        </is>
      </c>
      <c r="F623" t="n">
        <v>567.6512287334593</v>
      </c>
      <c r="G623">
        <f>2*SQRT(F623/PI())</f>
        <v/>
      </c>
      <c r="H623" t="n">
        <v>91.71508480673251</v>
      </c>
      <c r="I623" t="n">
        <v>523</v>
      </c>
      <c r="J623" t="n">
        <v>307</v>
      </c>
      <c r="K623" t="n">
        <v>556.2982041587901</v>
      </c>
      <c r="L623" t="n">
        <v>579.0042533081286</v>
      </c>
      <c r="M623">
        <f>2*SQRT(K623/PI())</f>
        <v/>
      </c>
      <c r="N623">
        <f>2*SQRT(L623/PI())</f>
        <v/>
      </c>
      <c r="P623" t="inlineStr">
        <is>
          <t>是</t>
        </is>
      </c>
      <c r="Q623" t="inlineStr">
        <is>
          <t>auto_pipeline;review_png_green</t>
        </is>
      </c>
      <c r="R623" t="inlineStr">
        <is>
          <t>样品57</t>
        </is>
      </c>
    </row>
    <row r="624">
      <c r="A624" t="n">
        <v>623</v>
      </c>
      <c r="B624" t="inlineStr">
        <is>
          <t>57 (8).tif</t>
        </is>
      </c>
      <c r="C624" t="inlineStr">
        <is>
          <t>57(8)-V05</t>
        </is>
      </c>
      <c r="D624" t="n">
        <v>5</v>
      </c>
      <c r="E624" t="inlineStr">
        <is>
          <t>primary</t>
        </is>
      </c>
      <c r="F624" t="n">
        <v>477.4102079395085</v>
      </c>
      <c r="G624">
        <f>2*SQRT(F624/PI())</f>
        <v/>
      </c>
      <c r="H624" t="n">
        <v>82.68109591110893</v>
      </c>
      <c r="I624" t="n">
        <v>915</v>
      </c>
      <c r="J624" t="n">
        <v>168</v>
      </c>
      <c r="K624" t="n">
        <v>467.8620037807183</v>
      </c>
      <c r="L624" t="n">
        <v>486.9584120982987</v>
      </c>
      <c r="M624">
        <f>2*SQRT(K624/PI())</f>
        <v/>
      </c>
      <c r="N624">
        <f>2*SQRT(L624/PI())</f>
        <v/>
      </c>
      <c r="P624" t="inlineStr">
        <is>
          <t>是</t>
        </is>
      </c>
      <c r="Q624" t="inlineStr">
        <is>
          <t>auto_pipeline;review_png_green</t>
        </is>
      </c>
      <c r="R624" t="inlineStr">
        <is>
          <t>样品57</t>
        </is>
      </c>
    </row>
    <row r="625">
      <c r="A625" t="n">
        <v>624</v>
      </c>
      <c r="B625" t="inlineStr">
        <is>
          <t>57 (8).tif</t>
        </is>
      </c>
      <c r="C625" t="inlineStr">
        <is>
          <t>57(8)-V06</t>
        </is>
      </c>
      <c r="D625" t="n">
        <v>6</v>
      </c>
      <c r="E625" t="inlineStr">
        <is>
          <t>primary</t>
        </is>
      </c>
      <c r="F625" t="n">
        <v>476.2523629489603</v>
      </c>
      <c r="G625">
        <f>2*SQRT(F625/PI())</f>
        <v/>
      </c>
      <c r="H625" t="n">
        <v>82.80844079411548</v>
      </c>
      <c r="I625" t="n">
        <v>67</v>
      </c>
      <c r="J625" t="n">
        <v>488</v>
      </c>
      <c r="K625" t="n">
        <v>466.7273156899811</v>
      </c>
      <c r="L625" t="n">
        <v>485.7774102079395</v>
      </c>
      <c r="M625">
        <f>2*SQRT(K625/PI())</f>
        <v/>
      </c>
      <c r="N625">
        <f>2*SQRT(L625/PI())</f>
        <v/>
      </c>
      <c r="P625" t="inlineStr">
        <is>
          <t>是</t>
        </is>
      </c>
      <c r="Q625" t="inlineStr">
        <is>
          <t>auto_pipeline;review_png_green</t>
        </is>
      </c>
      <c r="R625" t="inlineStr">
        <is>
          <t>样品57</t>
        </is>
      </c>
    </row>
    <row r="626">
      <c r="A626" t="n">
        <v>625</v>
      </c>
      <c r="B626" t="inlineStr">
        <is>
          <t>58 (1).tif</t>
        </is>
      </c>
      <c r="C626" t="inlineStr">
        <is>
          <t>58(1)-V01</t>
        </is>
      </c>
      <c r="D626" t="n">
        <v>1</v>
      </c>
      <c r="E626" t="inlineStr">
        <is>
          <t>primary</t>
        </is>
      </c>
      <c r="F626" t="n">
        <v>594.0689981096408</v>
      </c>
      <c r="G626">
        <f>2*SQRT(F626/PI())</f>
        <v/>
      </c>
      <c r="H626" t="n">
        <v>91.71508480673251</v>
      </c>
      <c r="I626" t="n">
        <v>391</v>
      </c>
      <c r="J626" t="n">
        <v>346</v>
      </c>
      <c r="K626" t="n">
        <v>582.187618147448</v>
      </c>
      <c r="L626" t="n">
        <v>605.9503780718336</v>
      </c>
      <c r="M626">
        <f>2*SQRT(K626/PI())</f>
        <v/>
      </c>
      <c r="N626">
        <f>2*SQRT(L626/PI())</f>
        <v/>
      </c>
      <c r="P626" t="inlineStr">
        <is>
          <t>是</t>
        </is>
      </c>
      <c r="Q626" t="inlineStr">
        <is>
          <t>auto_pipeline;review_png_green</t>
        </is>
      </c>
      <c r="R626" t="inlineStr">
        <is>
          <t>样品58</t>
        </is>
      </c>
    </row>
    <row r="627">
      <c r="A627" t="n">
        <v>626</v>
      </c>
      <c r="B627" t="inlineStr">
        <is>
          <t>58 (1).tif</t>
        </is>
      </c>
      <c r="C627" t="inlineStr">
        <is>
          <t>58(1)-V02</t>
        </is>
      </c>
      <c r="D627" t="n">
        <v>2</v>
      </c>
      <c r="E627" t="inlineStr">
        <is>
          <t>primary</t>
        </is>
      </c>
      <c r="F627" t="n">
        <v>484.1918714555766</v>
      </c>
      <c r="G627">
        <f>2*SQRT(F627/PI())</f>
        <v/>
      </c>
      <c r="H627" t="n">
        <v>83.31782032614169</v>
      </c>
      <c r="I627" t="n">
        <v>875</v>
      </c>
      <c r="J627" t="n">
        <v>147</v>
      </c>
      <c r="K627" t="n">
        <v>474.5080340264651</v>
      </c>
      <c r="L627" t="n">
        <v>493.8757088846881</v>
      </c>
      <c r="M627">
        <f>2*SQRT(K627/PI())</f>
        <v/>
      </c>
      <c r="N627">
        <f>2*SQRT(L627/PI())</f>
        <v/>
      </c>
      <c r="P627" t="inlineStr">
        <is>
          <t>是</t>
        </is>
      </c>
      <c r="Q627" t="inlineStr">
        <is>
          <t>auto_pipeline;review_png_green</t>
        </is>
      </c>
      <c r="R627" t="inlineStr">
        <is>
          <t>样品58</t>
        </is>
      </c>
    </row>
    <row r="628">
      <c r="A628" t="n">
        <v>627</v>
      </c>
      <c r="B628" t="inlineStr">
        <is>
          <t>58 (1).tif</t>
        </is>
      </c>
      <c r="C628" t="inlineStr">
        <is>
          <t>58(1)-V03</t>
        </is>
      </c>
      <c r="D628" t="n">
        <v>3</v>
      </c>
      <c r="E628" t="inlineStr">
        <is>
          <t>primary</t>
        </is>
      </c>
      <c r="F628" t="n">
        <v>455.4820415879017</v>
      </c>
      <c r="G628">
        <f>2*SQRT(F628/PI())</f>
        <v/>
      </c>
      <c r="H628" t="n">
        <v>80.22159410559613</v>
      </c>
      <c r="I628" t="n">
        <v>530</v>
      </c>
      <c r="J628" t="n">
        <v>315</v>
      </c>
      <c r="K628" t="n">
        <v>446.3724007561436</v>
      </c>
      <c r="L628" t="n">
        <v>464.5916824196597</v>
      </c>
      <c r="M628">
        <f>2*SQRT(K628/PI())</f>
        <v/>
      </c>
      <c r="N628">
        <f>2*SQRT(L628/PI())</f>
        <v/>
      </c>
      <c r="P628" t="inlineStr">
        <is>
          <t>是</t>
        </is>
      </c>
      <c r="Q628" t="inlineStr">
        <is>
          <t>auto_pipeline;review_png_green</t>
        </is>
      </c>
      <c r="R628" t="inlineStr">
        <is>
          <t>样品58</t>
        </is>
      </c>
    </row>
    <row r="629">
      <c r="A629" t="n">
        <v>628</v>
      </c>
      <c r="B629" t="inlineStr">
        <is>
          <t>58 (1).tif</t>
        </is>
      </c>
      <c r="C629" t="inlineStr">
        <is>
          <t>58(1)-V04</t>
        </is>
      </c>
      <c r="D629" t="n">
        <v>4</v>
      </c>
      <c r="E629" t="inlineStr">
        <is>
          <t>primary</t>
        </is>
      </c>
      <c r="F629" t="n">
        <v>270.1086956521739</v>
      </c>
      <c r="G629">
        <f>2*SQRT(F629/PI())</f>
        <v/>
      </c>
      <c r="H629" t="n">
        <v>63.40521618075993</v>
      </c>
      <c r="I629" t="n">
        <v>263</v>
      </c>
      <c r="J629" t="n">
        <v>628</v>
      </c>
      <c r="K629" t="n">
        <v>264.7065217391304</v>
      </c>
      <c r="L629" t="n">
        <v>275.5108695652174</v>
      </c>
      <c r="M629">
        <f>2*SQRT(K629/PI())</f>
        <v/>
      </c>
      <c r="N629">
        <f>2*SQRT(L629/PI())</f>
        <v/>
      </c>
      <c r="P629" t="inlineStr">
        <is>
          <t>是</t>
        </is>
      </c>
      <c r="Q629" t="inlineStr">
        <is>
          <t>auto_pipeline;review_png_green</t>
        </is>
      </c>
      <c r="R629" t="inlineStr">
        <is>
          <t>样品58</t>
        </is>
      </c>
    </row>
    <row r="630">
      <c r="A630" t="n">
        <v>629</v>
      </c>
      <c r="B630" t="inlineStr">
        <is>
          <t>58 (1).tif</t>
        </is>
      </c>
      <c r="C630" t="inlineStr">
        <is>
          <t>58(1)-V05</t>
        </is>
      </c>
      <c r="D630" t="n">
        <v>5</v>
      </c>
      <c r="E630" t="inlineStr">
        <is>
          <t>primary</t>
        </is>
      </c>
      <c r="F630" t="n">
        <v>211.9092627599244</v>
      </c>
      <c r="G630">
        <f>2*SQRT(F630/PI())</f>
        <v/>
      </c>
      <c r="H630" t="n">
        <v>65.01700173253599</v>
      </c>
      <c r="I630" t="n">
        <v>871</v>
      </c>
      <c r="J630" t="n">
        <v>643</v>
      </c>
      <c r="K630" t="n">
        <v>207.6710775047259</v>
      </c>
      <c r="L630" t="n">
        <v>216.1474480151229</v>
      </c>
      <c r="M630">
        <f>2*SQRT(K630/PI())</f>
        <v/>
      </c>
      <c r="N630">
        <f>2*SQRT(L630/PI())</f>
        <v/>
      </c>
      <c r="P630" t="inlineStr">
        <is>
          <t>是</t>
        </is>
      </c>
      <c r="Q630" t="inlineStr">
        <is>
          <t>auto_pipeline;review_png_green</t>
        </is>
      </c>
      <c r="R630" t="inlineStr">
        <is>
          <t>样品58</t>
        </is>
      </c>
    </row>
    <row r="631">
      <c r="A631" t="n">
        <v>630</v>
      </c>
      <c r="B631" t="inlineStr">
        <is>
          <t>58 (1).tif</t>
        </is>
      </c>
      <c r="C631" t="inlineStr">
        <is>
          <t>58(1)-V06</t>
        </is>
      </c>
      <c r="D631" t="n">
        <v>6</v>
      </c>
      <c r="E631" t="inlineStr">
        <is>
          <t>primary</t>
        </is>
      </c>
      <c r="F631" t="n">
        <v>146.2192816635161</v>
      </c>
      <c r="G631">
        <f>2*SQRT(F631/PI())</f>
        <v/>
      </c>
      <c r="H631" t="n">
        <v>47.86228708598924</v>
      </c>
      <c r="I631" t="n">
        <v>117</v>
      </c>
      <c r="J631" t="n">
        <v>418</v>
      </c>
      <c r="K631" t="n">
        <v>143.2948960302457</v>
      </c>
      <c r="L631" t="n">
        <v>149.1436672967864</v>
      </c>
      <c r="M631">
        <f>2*SQRT(K631/PI())</f>
        <v/>
      </c>
      <c r="N631">
        <f>2*SQRT(L631/PI())</f>
        <v/>
      </c>
      <c r="P631" t="inlineStr">
        <is>
          <t>是</t>
        </is>
      </c>
      <c r="Q631" t="inlineStr">
        <is>
          <t>auto_pipeline;review_png_green</t>
        </is>
      </c>
      <c r="R631" t="inlineStr">
        <is>
          <t>样品58</t>
        </is>
      </c>
    </row>
    <row r="632">
      <c r="A632" t="n">
        <v>631</v>
      </c>
      <c r="B632" t="inlineStr">
        <is>
          <t>58 (2).tif</t>
        </is>
      </c>
      <c r="C632" t="inlineStr">
        <is>
          <t>58(2)-V01</t>
        </is>
      </c>
      <c r="D632" t="n">
        <v>1</v>
      </c>
      <c r="E632" t="inlineStr">
        <is>
          <t>primary</t>
        </is>
      </c>
      <c r="F632" t="n">
        <v>1032.301512287335</v>
      </c>
      <c r="G632">
        <f>2*SQRT(F632/PI())</f>
        <v/>
      </c>
      <c r="H632" t="n">
        <v>120.3851391180702</v>
      </c>
      <c r="I632" t="n">
        <v>387</v>
      </c>
      <c r="J632" t="n">
        <v>412</v>
      </c>
      <c r="K632" t="n">
        <v>1011.655482041588</v>
      </c>
      <c r="L632" t="n">
        <v>1052.947542533081</v>
      </c>
      <c r="M632">
        <f>2*SQRT(K632/PI())</f>
        <v/>
      </c>
      <c r="N632">
        <f>2*SQRT(L632/PI())</f>
        <v/>
      </c>
      <c r="O632" t="inlineStr">
        <is>
          <t>58(2)-P01</t>
        </is>
      </c>
      <c r="P632" t="inlineStr">
        <is>
          <t>是</t>
        </is>
      </c>
      <c r="Q632" t="inlineStr">
        <is>
          <t>auto_pipeline;review_png_green</t>
        </is>
      </c>
      <c r="R632" t="inlineStr">
        <is>
          <t>样品58</t>
        </is>
      </c>
    </row>
    <row r="633">
      <c r="A633" t="n">
        <v>632</v>
      </c>
      <c r="B633" t="inlineStr">
        <is>
          <t>58 (2).tif</t>
        </is>
      </c>
      <c r="C633" t="inlineStr">
        <is>
          <t>58(2)-V02</t>
        </is>
      </c>
      <c r="D633" t="n">
        <v>2</v>
      </c>
      <c r="E633" t="inlineStr">
        <is>
          <t>primary</t>
        </is>
      </c>
      <c r="F633" t="n">
        <v>705.7892249527411</v>
      </c>
      <c r="G633">
        <f>2*SQRT(F633/PI())</f>
        <v/>
      </c>
      <c r="H633" t="n">
        <v>100.3670390533364</v>
      </c>
      <c r="I633" t="n">
        <v>152</v>
      </c>
      <c r="J633" t="n">
        <v>442</v>
      </c>
      <c r="K633" t="n">
        <v>691.6734404536862</v>
      </c>
      <c r="L633" t="n">
        <v>719.9050094517959</v>
      </c>
      <c r="M633">
        <f>2*SQRT(K633/PI())</f>
        <v/>
      </c>
      <c r="N633">
        <f>2*SQRT(L633/PI())</f>
        <v/>
      </c>
      <c r="P633" t="inlineStr">
        <is>
          <t>是</t>
        </is>
      </c>
      <c r="Q633" t="inlineStr">
        <is>
          <t>auto_pipeline;review_png_green</t>
        </is>
      </c>
      <c r="R633" t="inlineStr">
        <is>
          <t>样品58</t>
        </is>
      </c>
    </row>
    <row r="634">
      <c r="A634" t="n">
        <v>633</v>
      </c>
      <c r="B634" t="inlineStr">
        <is>
          <t>58 (2).tif</t>
        </is>
      </c>
      <c r="C634" t="inlineStr">
        <is>
          <t>58(2)-V03</t>
        </is>
      </c>
      <c r="D634" t="n">
        <v>3</v>
      </c>
      <c r="E634" t="inlineStr">
        <is>
          <t>primary</t>
        </is>
      </c>
      <c r="F634" t="n">
        <v>621.5500945179584</v>
      </c>
      <c r="G634">
        <f>2*SQRT(F634/PI())</f>
        <v/>
      </c>
      <c r="H634" t="n">
        <v>93.94174580988677</v>
      </c>
      <c r="I634" t="n">
        <v>84</v>
      </c>
      <c r="J634" t="n">
        <v>85</v>
      </c>
      <c r="K634" t="n">
        <v>609.1190926275992</v>
      </c>
      <c r="L634" t="n">
        <v>633.9810964083176</v>
      </c>
      <c r="M634">
        <f>2*SQRT(K634/PI())</f>
        <v/>
      </c>
      <c r="N634">
        <f>2*SQRT(L634/PI())</f>
        <v/>
      </c>
      <c r="P634" t="inlineStr">
        <is>
          <t>是</t>
        </is>
      </c>
      <c r="Q634" t="inlineStr">
        <is>
          <t>auto_pipeline;review_png_green</t>
        </is>
      </c>
      <c r="R634" t="inlineStr">
        <is>
          <t>样品58</t>
        </is>
      </c>
    </row>
    <row r="635">
      <c r="A635" t="n">
        <v>634</v>
      </c>
      <c r="B635" t="inlineStr">
        <is>
          <t>58 (2).tif</t>
        </is>
      </c>
      <c r="C635" t="inlineStr">
        <is>
          <t>58(2)-V04</t>
        </is>
      </c>
      <c r="D635" t="n">
        <v>4</v>
      </c>
      <c r="E635" t="inlineStr">
        <is>
          <t>primary</t>
        </is>
      </c>
      <c r="F635" t="n">
        <v>489.7920604914934</v>
      </c>
      <c r="G635">
        <f>2*SQRT(F635/PI())</f>
        <v/>
      </c>
      <c r="H635" t="n">
        <v>82.93578567712203</v>
      </c>
      <c r="I635" t="n">
        <v>532</v>
      </c>
      <c r="J635" t="n">
        <v>383</v>
      </c>
      <c r="K635" t="n">
        <v>479.9962192816635</v>
      </c>
      <c r="L635" t="n">
        <v>499.5879017013232</v>
      </c>
      <c r="M635">
        <f>2*SQRT(K635/PI())</f>
        <v/>
      </c>
      <c r="N635">
        <f>2*SQRT(L635/PI())</f>
        <v/>
      </c>
      <c r="O635" t="inlineStr">
        <is>
          <t>58(2)-P01</t>
        </is>
      </c>
      <c r="P635" t="inlineStr">
        <is>
          <t>是</t>
        </is>
      </c>
      <c r="Q635" t="inlineStr">
        <is>
          <t>auto_pipeline;review_png_green</t>
        </is>
      </c>
      <c r="R635" t="inlineStr">
        <is>
          <t>样品58</t>
        </is>
      </c>
    </row>
    <row r="636">
      <c r="A636" t="n">
        <v>635</v>
      </c>
      <c r="B636" t="inlineStr">
        <is>
          <t>58 (2).tif</t>
        </is>
      </c>
      <c r="C636" t="inlineStr">
        <is>
          <t>58(2)-V05</t>
        </is>
      </c>
      <c r="D636" t="n">
        <v>5</v>
      </c>
      <c r="E636" t="inlineStr">
        <is>
          <t>primary</t>
        </is>
      </c>
      <c r="F636" t="n">
        <v>446.7155009451796</v>
      </c>
      <c r="G636">
        <f>2*SQRT(F636/PI())</f>
        <v/>
      </c>
      <c r="H636" t="n">
        <v>81.68418581071107</v>
      </c>
      <c r="I636" t="n">
        <v>885</v>
      </c>
      <c r="J636" t="n">
        <v>222</v>
      </c>
      <c r="K636" t="n">
        <v>437.781190926276</v>
      </c>
      <c r="L636" t="n">
        <v>455.6498109640832</v>
      </c>
      <c r="M636">
        <f>2*SQRT(K636/PI())</f>
        <v/>
      </c>
      <c r="N636">
        <f>2*SQRT(L636/PI())</f>
        <v/>
      </c>
      <c r="P636" t="inlineStr">
        <is>
          <t>是</t>
        </is>
      </c>
      <c r="Q636" t="inlineStr">
        <is>
          <t>auto_pipeline;review_png_green</t>
        </is>
      </c>
      <c r="R636" t="inlineStr">
        <is>
          <t>样品58</t>
        </is>
      </c>
    </row>
    <row r="637">
      <c r="A637" t="n">
        <v>636</v>
      </c>
      <c r="B637" t="inlineStr">
        <is>
          <t>58 (2).tif</t>
        </is>
      </c>
      <c r="C637" t="inlineStr">
        <is>
          <t>58(2)-V06</t>
        </is>
      </c>
      <c r="D637" t="n">
        <v>6</v>
      </c>
      <c r="E637" t="inlineStr">
        <is>
          <t>primary</t>
        </is>
      </c>
      <c r="F637" t="n">
        <v>109.1918714555766</v>
      </c>
      <c r="G637">
        <f>2*SQRT(F637/PI())</f>
        <v/>
      </c>
      <c r="H637" t="n">
        <v>40.05804909312207</v>
      </c>
      <c r="I637" t="n">
        <v>607</v>
      </c>
      <c r="J637" t="n">
        <v>374</v>
      </c>
      <c r="K637" t="n">
        <v>107.008034026465</v>
      </c>
      <c r="L637" t="n">
        <v>111.3757088846881</v>
      </c>
      <c r="M637">
        <f>2*SQRT(K637/PI())</f>
        <v/>
      </c>
      <c r="N637">
        <f>2*SQRT(L637/PI())</f>
        <v/>
      </c>
      <c r="P637" t="inlineStr">
        <is>
          <t>是</t>
        </is>
      </c>
      <c r="Q637" t="inlineStr">
        <is>
          <t>auto_pipeline;review_png_green</t>
        </is>
      </c>
      <c r="R637" t="inlineStr">
        <is>
          <t>样品58</t>
        </is>
      </c>
    </row>
    <row r="638">
      <c r="A638" t="n">
        <v>637</v>
      </c>
      <c r="B638" t="inlineStr">
        <is>
          <t>58 (3).tif</t>
        </is>
      </c>
      <c r="C638" t="inlineStr">
        <is>
          <t>58(3)-V01</t>
        </is>
      </c>
      <c r="D638" t="n">
        <v>1</v>
      </c>
      <c r="E638" t="inlineStr">
        <is>
          <t>primary</t>
        </is>
      </c>
      <c r="F638" t="n">
        <v>633.624763705104</v>
      </c>
      <c r="G638">
        <f>2*SQRT(F638/PI())</f>
        <v/>
      </c>
      <c r="H638" t="n">
        <v>100.3052410612936</v>
      </c>
      <c r="I638" t="n">
        <v>911</v>
      </c>
      <c r="J638" t="n">
        <v>251</v>
      </c>
      <c r="K638" t="n">
        <v>620.9522684310019</v>
      </c>
      <c r="L638" t="n">
        <v>646.297258979206</v>
      </c>
      <c r="M638">
        <f>2*SQRT(K638/PI())</f>
        <v/>
      </c>
      <c r="N638">
        <f>2*SQRT(L638/PI())</f>
        <v/>
      </c>
      <c r="P638" t="inlineStr">
        <is>
          <t>是</t>
        </is>
      </c>
      <c r="Q638" t="inlineStr">
        <is>
          <t>auto_pipeline;review_png_green</t>
        </is>
      </c>
      <c r="R638" t="inlineStr">
        <is>
          <t>样品58</t>
        </is>
      </c>
    </row>
    <row r="639">
      <c r="A639" t="n">
        <v>638</v>
      </c>
      <c r="B639" t="inlineStr">
        <is>
          <t>58 (3).tif</t>
        </is>
      </c>
      <c r="C639" t="inlineStr">
        <is>
          <t>58(3)-V02</t>
        </is>
      </c>
      <c r="D639" t="n">
        <v>2</v>
      </c>
      <c r="E639" t="inlineStr">
        <is>
          <t>primary</t>
        </is>
      </c>
      <c r="F639" t="n">
        <v>578.9933837429112</v>
      </c>
      <c r="G639">
        <f>2*SQRT(F639/PI())</f>
        <v/>
      </c>
      <c r="H639" t="n">
        <v>90.230644137963</v>
      </c>
      <c r="I639" t="n">
        <v>419</v>
      </c>
      <c r="J639" t="n">
        <v>399</v>
      </c>
      <c r="K639" t="n">
        <v>567.413516068053</v>
      </c>
      <c r="L639" t="n">
        <v>590.5732514177694</v>
      </c>
      <c r="M639">
        <f>2*SQRT(K639/PI())</f>
        <v/>
      </c>
      <c r="N639">
        <f>2*SQRT(L639/PI())</f>
        <v/>
      </c>
      <c r="P639" t="inlineStr">
        <is>
          <t>是</t>
        </is>
      </c>
      <c r="Q639" t="inlineStr">
        <is>
          <t>auto_pipeline;review_png_green</t>
        </is>
      </c>
      <c r="R639" t="inlineStr">
        <is>
          <t>样品58</t>
        </is>
      </c>
    </row>
    <row r="640">
      <c r="A640" t="n">
        <v>639</v>
      </c>
      <c r="B640" t="inlineStr">
        <is>
          <t>58 (3).tif</t>
        </is>
      </c>
      <c r="C640" t="inlineStr">
        <is>
          <t>58(3)-V03</t>
        </is>
      </c>
      <c r="D640" t="n">
        <v>3</v>
      </c>
      <c r="E640" t="inlineStr">
        <is>
          <t>primary</t>
        </is>
      </c>
      <c r="F640" t="n">
        <v>546.9990548204158</v>
      </c>
      <c r="G640">
        <f>2*SQRT(F640/PI())</f>
        <v/>
      </c>
      <c r="H640" t="n">
        <v>88.38601778382841</v>
      </c>
      <c r="I640" t="n">
        <v>559</v>
      </c>
      <c r="J640" t="n">
        <v>344</v>
      </c>
      <c r="K640" t="n">
        <v>536.0590737240075</v>
      </c>
      <c r="L640" t="n">
        <v>557.9390359168242</v>
      </c>
      <c r="M640">
        <f>2*SQRT(K640/PI())</f>
        <v/>
      </c>
      <c r="N640">
        <f>2*SQRT(L640/PI())</f>
        <v/>
      </c>
      <c r="P640" t="inlineStr">
        <is>
          <t>是</t>
        </is>
      </c>
      <c r="Q640" t="inlineStr">
        <is>
          <t>auto_pipeline;review_png_green</t>
        </is>
      </c>
      <c r="R640" t="inlineStr">
        <is>
          <t>样品58</t>
        </is>
      </c>
    </row>
    <row r="641">
      <c r="A641" t="n">
        <v>640</v>
      </c>
      <c r="B641" t="inlineStr">
        <is>
          <t>58 (3).tif</t>
        </is>
      </c>
      <c r="C641" t="inlineStr">
        <is>
          <t>58(3)-V04</t>
        </is>
      </c>
      <c r="D641" t="n">
        <v>4</v>
      </c>
      <c r="E641" t="inlineStr">
        <is>
          <t>primary</t>
        </is>
      </c>
      <c r="F641" t="n">
        <v>436.9801512287335</v>
      </c>
      <c r="G641">
        <f>2*SQRT(F641/PI())</f>
        <v/>
      </c>
      <c r="H641" t="n">
        <v>82.2372632700464</v>
      </c>
      <c r="I641" t="n">
        <v>903</v>
      </c>
      <c r="J641" t="n">
        <v>601</v>
      </c>
      <c r="K641" t="n">
        <v>428.2405482041588</v>
      </c>
      <c r="L641" t="n">
        <v>445.7197542533081</v>
      </c>
      <c r="M641">
        <f>2*SQRT(K641/PI())</f>
        <v/>
      </c>
      <c r="N641">
        <f>2*SQRT(L641/PI())</f>
        <v/>
      </c>
      <c r="P641" t="inlineStr">
        <is>
          <t>是</t>
        </is>
      </c>
      <c r="Q641" t="inlineStr">
        <is>
          <t>auto_pipeline;review_png_green</t>
        </is>
      </c>
      <c r="R641" t="inlineStr">
        <is>
          <t>样品58</t>
        </is>
      </c>
    </row>
    <row r="642">
      <c r="A642" t="n">
        <v>641</v>
      </c>
      <c r="B642" t="inlineStr">
        <is>
          <t>58 (3).tif</t>
        </is>
      </c>
      <c r="C642" t="inlineStr">
        <is>
          <t>58(3)-V05</t>
        </is>
      </c>
      <c r="D642" t="n">
        <v>5</v>
      </c>
      <c r="E642" t="inlineStr">
        <is>
          <t>primary</t>
        </is>
      </c>
      <c r="F642" t="n">
        <v>238.7523629489603</v>
      </c>
      <c r="G642">
        <f>2*SQRT(F642/PI())</f>
        <v/>
      </c>
      <c r="H642" t="n">
        <v>58.46436360607976</v>
      </c>
      <c r="I642" t="n">
        <v>74</v>
      </c>
      <c r="J642" t="n">
        <v>583</v>
      </c>
      <c r="K642" t="n">
        <v>233.9773156899811</v>
      </c>
      <c r="L642" t="n">
        <v>243.5274102079395</v>
      </c>
      <c r="M642">
        <f>2*SQRT(K642/PI())</f>
        <v/>
      </c>
      <c r="N642">
        <f>2*SQRT(L642/PI())</f>
        <v/>
      </c>
      <c r="P642" t="inlineStr">
        <is>
          <t>是</t>
        </is>
      </c>
      <c r="Q642" t="inlineStr">
        <is>
          <t>auto_pipeline;review_png_green</t>
        </is>
      </c>
      <c r="R642" t="inlineStr">
        <is>
          <t>样品58</t>
        </is>
      </c>
    </row>
    <row r="643">
      <c r="A643" t="n">
        <v>642</v>
      </c>
      <c r="B643" t="inlineStr">
        <is>
          <t>58 (4).tif</t>
        </is>
      </c>
      <c r="C643" t="inlineStr">
        <is>
          <t>58(4)-V01</t>
        </is>
      </c>
      <c r="D643" t="n">
        <v>1</v>
      </c>
      <c r="E643" t="inlineStr">
        <is>
          <t>primary</t>
        </is>
      </c>
      <c r="F643" t="n">
        <v>566.9187145557656</v>
      </c>
      <c r="G643">
        <f>2*SQRT(F643/PI())</f>
        <v/>
      </c>
      <c r="H643" t="n">
        <v>89.48842380357824</v>
      </c>
      <c r="I643" t="n">
        <v>431</v>
      </c>
      <c r="J643" t="n">
        <v>435</v>
      </c>
      <c r="K643" t="n">
        <v>555.5803402646503</v>
      </c>
      <c r="L643" t="n">
        <v>578.2570888468809</v>
      </c>
      <c r="M643">
        <f>2*SQRT(K643/PI())</f>
        <v/>
      </c>
      <c r="N643">
        <f>2*SQRT(L643/PI())</f>
        <v/>
      </c>
      <c r="O643" t="inlineStr">
        <is>
          <t>58(4)-P01</t>
        </is>
      </c>
      <c r="P643" t="inlineStr">
        <is>
          <t>是</t>
        </is>
      </c>
      <c r="Q643" t="inlineStr">
        <is>
          <t>auto_pipeline;review_png_green</t>
        </is>
      </c>
      <c r="R643" t="inlineStr">
        <is>
          <t>样品58</t>
        </is>
      </c>
    </row>
    <row r="644">
      <c r="A644" t="n">
        <v>643</v>
      </c>
      <c r="B644" t="inlineStr">
        <is>
          <t>58 (4).tif</t>
        </is>
      </c>
      <c r="C644" t="inlineStr">
        <is>
          <t>58(4)-V02</t>
        </is>
      </c>
      <c r="D644" t="n">
        <v>2</v>
      </c>
      <c r="E644" t="inlineStr">
        <is>
          <t>primary</t>
        </is>
      </c>
      <c r="F644" t="n">
        <v>497.1644612476371</v>
      </c>
      <c r="G644">
        <f>2*SQRT(F644/PI())</f>
        <v/>
      </c>
      <c r="H644" t="n">
        <v>83.55066112850024</v>
      </c>
      <c r="I644" t="n">
        <v>905</v>
      </c>
      <c r="J644" t="n">
        <v>602</v>
      </c>
      <c r="K644" t="n">
        <v>487.2211720226843</v>
      </c>
      <c r="L644" t="n">
        <v>507.1077504725898</v>
      </c>
      <c r="M644">
        <f>2*SQRT(K644/PI())</f>
        <v/>
      </c>
      <c r="N644">
        <f>2*SQRT(L644/PI())</f>
        <v/>
      </c>
      <c r="P644" t="inlineStr">
        <is>
          <t>是</t>
        </is>
      </c>
      <c r="Q644" t="inlineStr">
        <is>
          <t>auto_pipeline;review_png_green</t>
        </is>
      </c>
      <c r="R644" t="inlineStr">
        <is>
          <t>样品58</t>
        </is>
      </c>
    </row>
    <row r="645">
      <c r="A645" t="n">
        <v>644</v>
      </c>
      <c r="B645" t="inlineStr">
        <is>
          <t>58 (4).tif</t>
        </is>
      </c>
      <c r="C645" t="inlineStr">
        <is>
          <t>58(4)-V03</t>
        </is>
      </c>
      <c r="D645" t="n">
        <v>3</v>
      </c>
      <c r="E645" t="inlineStr">
        <is>
          <t>primary</t>
        </is>
      </c>
      <c r="F645" t="n">
        <v>448.5113421550095</v>
      </c>
      <c r="G645">
        <f>2*SQRT(F645/PI())</f>
        <v/>
      </c>
      <c r="H645" t="n">
        <v>80.45443490795466</v>
      </c>
      <c r="I645" t="n">
        <v>555</v>
      </c>
      <c r="J645" t="n">
        <v>329</v>
      </c>
      <c r="K645" t="n">
        <v>439.5411153119093</v>
      </c>
      <c r="L645" t="n">
        <v>457.4815689981097</v>
      </c>
      <c r="M645">
        <f>2*SQRT(K645/PI())</f>
        <v/>
      </c>
      <c r="N645">
        <f>2*SQRT(L645/PI())</f>
        <v/>
      </c>
      <c r="O645" t="inlineStr">
        <is>
          <t>58(4)-P01</t>
        </is>
      </c>
      <c r="P645" t="inlineStr">
        <is>
          <t>是</t>
        </is>
      </c>
      <c r="Q645" t="inlineStr">
        <is>
          <t>auto_pipeline;review_png_green</t>
        </is>
      </c>
      <c r="R645" t="inlineStr">
        <is>
          <t>样品58</t>
        </is>
      </c>
    </row>
    <row r="646">
      <c r="A646" t="n">
        <v>645</v>
      </c>
      <c r="B646" t="inlineStr">
        <is>
          <t>58 (4).tif</t>
        </is>
      </c>
      <c r="C646" t="inlineStr">
        <is>
          <t>58(4)-V04</t>
        </is>
      </c>
      <c r="D646" t="n">
        <v>4</v>
      </c>
      <c r="E646" t="inlineStr">
        <is>
          <t>primary</t>
        </is>
      </c>
      <c r="F646" t="n">
        <v>402.7646502835539</v>
      </c>
      <c r="G646">
        <f>2*SQRT(F646/PI())</f>
        <v/>
      </c>
      <c r="H646" t="n">
        <v>78.71530447317205</v>
      </c>
      <c r="I646" t="n">
        <v>256</v>
      </c>
      <c r="J646" t="n">
        <v>398</v>
      </c>
      <c r="K646" t="n">
        <v>394.7093572778828</v>
      </c>
      <c r="L646" t="n">
        <v>410.819943289225</v>
      </c>
      <c r="M646">
        <f>2*SQRT(K646/PI())</f>
        <v/>
      </c>
      <c r="N646">
        <f>2*SQRT(L646/PI())</f>
        <v/>
      </c>
      <c r="P646" t="inlineStr">
        <is>
          <t>是</t>
        </is>
      </c>
      <c r="Q646" t="inlineStr">
        <is>
          <t>auto_pipeline;review_png_green</t>
        </is>
      </c>
      <c r="R646" t="inlineStr">
        <is>
          <t>样品58</t>
        </is>
      </c>
    </row>
    <row r="647">
      <c r="A647" t="n">
        <v>646</v>
      </c>
      <c r="B647" t="inlineStr">
        <is>
          <t>58 (4).tif</t>
        </is>
      </c>
      <c r="C647" t="inlineStr">
        <is>
          <t>58(4)-V05</t>
        </is>
      </c>
      <c r="D647" t="n">
        <v>5</v>
      </c>
      <c r="E647" t="inlineStr">
        <is>
          <t>primary</t>
        </is>
      </c>
      <c r="F647" t="n">
        <v>106.687145557656</v>
      </c>
      <c r="G647">
        <f>2*SQRT(F647/PI())</f>
        <v/>
      </c>
      <c r="H647" t="n">
        <v>43.53630996268728</v>
      </c>
      <c r="I647" t="n">
        <v>88</v>
      </c>
      <c r="J647" t="n">
        <v>572</v>
      </c>
      <c r="K647" t="n">
        <v>104.5534026465028</v>
      </c>
      <c r="L647" t="n">
        <v>108.8208884688091</v>
      </c>
      <c r="M647">
        <f>2*SQRT(K647/PI())</f>
        <v/>
      </c>
      <c r="N647">
        <f>2*SQRT(L647/PI())</f>
        <v/>
      </c>
      <c r="P647" t="inlineStr">
        <is>
          <t>是</t>
        </is>
      </c>
      <c r="Q647" t="inlineStr">
        <is>
          <t>auto_pipeline;review_png_green</t>
        </is>
      </c>
      <c r="R647" t="inlineStr">
        <is>
          <t>样品58</t>
        </is>
      </c>
    </row>
    <row r="648">
      <c r="A648" t="n">
        <v>647</v>
      </c>
      <c r="B648" t="inlineStr">
        <is>
          <t>58 (4).tif</t>
        </is>
      </c>
      <c r="C648" t="inlineStr">
        <is>
          <t>58(4)-V06</t>
        </is>
      </c>
      <c r="D648" t="n">
        <v>6</v>
      </c>
      <c r="E648" t="inlineStr">
        <is>
          <t>primary</t>
        </is>
      </c>
      <c r="F648" t="n">
        <v>101.7485822306238</v>
      </c>
      <c r="G648">
        <f>2*SQRT(F648/PI())</f>
        <v/>
      </c>
      <c r="H648" t="n">
        <v>43.2160733057105</v>
      </c>
      <c r="I648" t="n">
        <v>158</v>
      </c>
      <c r="J648" t="n">
        <v>223</v>
      </c>
      <c r="K648" t="n">
        <v>99.71361058601134</v>
      </c>
      <c r="L648" t="n">
        <v>103.7835538752363</v>
      </c>
      <c r="M648">
        <f>2*SQRT(K648/PI())</f>
        <v/>
      </c>
      <c r="N648">
        <f>2*SQRT(L648/PI())</f>
        <v/>
      </c>
      <c r="P648" t="inlineStr">
        <is>
          <t>是</t>
        </is>
      </c>
      <c r="Q648" t="inlineStr">
        <is>
          <t>auto_pipeline;review_png_green</t>
        </is>
      </c>
      <c r="R648" t="inlineStr">
        <is>
          <t>样品58</t>
        </is>
      </c>
    </row>
    <row r="649">
      <c r="A649" t="n">
        <v>648</v>
      </c>
      <c r="B649" t="inlineStr">
        <is>
          <t>58 (5).tif</t>
        </is>
      </c>
      <c r="C649" t="inlineStr">
        <is>
          <t>58(5)-V01</t>
        </is>
      </c>
      <c r="D649" t="n">
        <v>1</v>
      </c>
      <c r="E649" t="inlineStr">
        <is>
          <t>primary</t>
        </is>
      </c>
      <c r="F649" t="n">
        <v>947.3298676748582</v>
      </c>
      <c r="G649">
        <f>2*SQRT(F649/PI())</f>
        <v/>
      </c>
      <c r="H649" t="n">
        <v>115.3169416603835</v>
      </c>
      <c r="I649" t="n">
        <v>463</v>
      </c>
      <c r="J649" t="n">
        <v>295</v>
      </c>
      <c r="K649" t="n">
        <v>928.383270321361</v>
      </c>
      <c r="L649" t="n">
        <v>966.2764650283553</v>
      </c>
      <c r="M649">
        <f>2*SQRT(K649/PI())</f>
        <v/>
      </c>
      <c r="N649">
        <f>2*SQRT(L649/PI())</f>
        <v/>
      </c>
      <c r="P649" t="inlineStr">
        <is>
          <t>是</t>
        </is>
      </c>
      <c r="Q649" t="inlineStr">
        <is>
          <t>auto_pipeline;review_png_green</t>
        </is>
      </c>
      <c r="R649" t="inlineStr">
        <is>
          <t>样品58</t>
        </is>
      </c>
    </row>
    <row r="650">
      <c r="A650" t="n">
        <v>649</v>
      </c>
      <c r="B650" t="inlineStr">
        <is>
          <t>58 (5).tif</t>
        </is>
      </c>
      <c r="C650" t="inlineStr">
        <is>
          <t>58(5)-V02</t>
        </is>
      </c>
      <c r="D650" t="n">
        <v>2</v>
      </c>
      <c r="E650" t="inlineStr">
        <is>
          <t>primary</t>
        </is>
      </c>
      <c r="F650" t="n">
        <v>407.8686200378072</v>
      </c>
      <c r="G650">
        <f>2*SQRT(F650/PI())</f>
        <v/>
      </c>
      <c r="H650" t="n">
        <v>75.89561698229416</v>
      </c>
      <c r="I650" t="n">
        <v>485</v>
      </c>
      <c r="J650" t="n">
        <v>431</v>
      </c>
      <c r="K650" t="n">
        <v>399.711247637051</v>
      </c>
      <c r="L650" t="n">
        <v>416.0259924385634</v>
      </c>
      <c r="M650">
        <f>2*SQRT(K650/PI())</f>
        <v/>
      </c>
      <c r="N650">
        <f>2*SQRT(L650/PI())</f>
        <v/>
      </c>
      <c r="P650" t="inlineStr">
        <is>
          <t>是</t>
        </is>
      </c>
      <c r="Q650" t="inlineStr">
        <is>
          <t>auto_pipeline;review_png_green</t>
        </is>
      </c>
      <c r="R650" t="inlineStr">
        <is>
          <t>样品58</t>
        </is>
      </c>
    </row>
    <row r="651">
      <c r="A651" t="n">
        <v>650</v>
      </c>
      <c r="B651" t="inlineStr">
        <is>
          <t>58 (6).tif</t>
        </is>
      </c>
      <c r="C651" t="inlineStr">
        <is>
          <t>58(6)-V01</t>
        </is>
      </c>
      <c r="D651" t="n">
        <v>1</v>
      </c>
      <c r="E651" t="inlineStr">
        <is>
          <t>primary</t>
        </is>
      </c>
      <c r="F651" t="n">
        <v>841.8005671077505</v>
      </c>
      <c r="G651">
        <f>2*SQRT(F651/PI())</f>
        <v/>
      </c>
      <c r="H651" t="n">
        <v>109.0189932999403</v>
      </c>
      <c r="I651" t="n">
        <v>551</v>
      </c>
      <c r="J651" t="n">
        <v>462</v>
      </c>
      <c r="K651" t="n">
        <v>824.9645557655954</v>
      </c>
      <c r="L651" t="n">
        <v>858.6365784499055</v>
      </c>
      <c r="M651">
        <f>2*SQRT(K651/PI())</f>
        <v/>
      </c>
      <c r="N651">
        <f>2*SQRT(L651/PI())</f>
        <v/>
      </c>
      <c r="O651" t="inlineStr">
        <is>
          <t>58(6)-P01</t>
        </is>
      </c>
      <c r="P651" t="inlineStr">
        <is>
          <t>是</t>
        </is>
      </c>
      <c r="Q651" t="inlineStr">
        <is>
          <t>auto_pipeline;review_png_green</t>
        </is>
      </c>
      <c r="R651" t="inlineStr">
        <is>
          <t>样品58</t>
        </is>
      </c>
    </row>
    <row r="652">
      <c r="A652" t="n">
        <v>651</v>
      </c>
      <c r="B652" t="inlineStr">
        <is>
          <t>58 (6).tif</t>
        </is>
      </c>
      <c r="C652" t="inlineStr">
        <is>
          <t>58(6)-V02</t>
        </is>
      </c>
      <c r="D652" t="n">
        <v>2</v>
      </c>
      <c r="E652" t="inlineStr">
        <is>
          <t>primary</t>
        </is>
      </c>
      <c r="F652" t="n">
        <v>664.7448015122874</v>
      </c>
      <c r="G652">
        <f>2*SQRT(F652/PI())</f>
        <v/>
      </c>
      <c r="H652" t="n">
        <v>96.65593738141267</v>
      </c>
      <c r="I652" t="n">
        <v>336</v>
      </c>
      <c r="J652" t="n">
        <v>150</v>
      </c>
      <c r="K652" t="n">
        <v>651.4499054820416</v>
      </c>
      <c r="L652" t="n">
        <v>678.0396975425332</v>
      </c>
      <c r="M652">
        <f>2*SQRT(K652/PI())</f>
        <v/>
      </c>
      <c r="N652">
        <f>2*SQRT(L652/PI())</f>
        <v/>
      </c>
      <c r="P652" t="inlineStr">
        <is>
          <t>是</t>
        </is>
      </c>
      <c r="Q652" t="inlineStr">
        <is>
          <t>auto_pipeline;review_png_green</t>
        </is>
      </c>
      <c r="R652" t="inlineStr">
        <is>
          <t>样品58</t>
        </is>
      </c>
    </row>
    <row r="653">
      <c r="A653" t="n">
        <v>652</v>
      </c>
      <c r="B653" t="inlineStr">
        <is>
          <t>58 (6).tif</t>
        </is>
      </c>
      <c r="C653" t="inlineStr">
        <is>
          <t>58(6)-V03</t>
        </is>
      </c>
      <c r="D653" t="n">
        <v>3</v>
      </c>
      <c r="E653" t="inlineStr">
        <is>
          <t>primary</t>
        </is>
      </c>
      <c r="F653" t="n">
        <v>640.8317580340265</v>
      </c>
      <c r="G653">
        <f>2*SQRT(F653/PI())</f>
        <v/>
      </c>
      <c r="H653" t="n">
        <v>96.76143330076466</v>
      </c>
      <c r="I653" t="n">
        <v>460</v>
      </c>
      <c r="J653" t="n">
        <v>335</v>
      </c>
      <c r="K653" t="n">
        <v>628.0151228733459</v>
      </c>
      <c r="L653" t="n">
        <v>653.6483931947071</v>
      </c>
      <c r="M653">
        <f>2*SQRT(K653/PI())</f>
        <v/>
      </c>
      <c r="N653">
        <f>2*SQRT(L653/PI())</f>
        <v/>
      </c>
      <c r="O653" t="inlineStr">
        <is>
          <t>58(6)-P01</t>
        </is>
      </c>
      <c r="P653" t="inlineStr">
        <is>
          <t>是</t>
        </is>
      </c>
      <c r="Q653" t="inlineStr">
        <is>
          <t>auto_pipeline;review_png_green</t>
        </is>
      </c>
      <c r="R653" t="inlineStr">
        <is>
          <t>样品58</t>
        </is>
      </c>
    </row>
    <row r="654">
      <c r="A654" t="n">
        <v>653</v>
      </c>
      <c r="B654" t="inlineStr">
        <is>
          <t>58 (6).tif</t>
        </is>
      </c>
      <c r="C654" t="inlineStr">
        <is>
          <t>58(6)-V04</t>
        </is>
      </c>
      <c r="D654" t="n">
        <v>4</v>
      </c>
      <c r="E654" t="inlineStr">
        <is>
          <t>primary</t>
        </is>
      </c>
      <c r="F654" t="n">
        <v>448.3931947069943</v>
      </c>
      <c r="G654">
        <f>2*SQRT(F654/PI())</f>
        <v/>
      </c>
      <c r="H654" t="n">
        <v>79.35202888820483</v>
      </c>
      <c r="I654" t="n">
        <v>146</v>
      </c>
      <c r="J654" t="n">
        <v>606</v>
      </c>
      <c r="K654" t="n">
        <v>439.4253308128544</v>
      </c>
      <c r="L654" t="n">
        <v>457.3610586011342</v>
      </c>
      <c r="M654">
        <f>2*SQRT(K654/PI())</f>
        <v/>
      </c>
      <c r="N654">
        <f>2*SQRT(L654/PI())</f>
        <v/>
      </c>
      <c r="P654" t="inlineStr">
        <is>
          <t>是</t>
        </is>
      </c>
      <c r="Q654" t="inlineStr">
        <is>
          <t>auto_pipeline;review_png_green</t>
        </is>
      </c>
      <c r="R654" t="inlineStr">
        <is>
          <t>样品58</t>
        </is>
      </c>
    </row>
    <row r="655">
      <c r="A655" t="n">
        <v>654</v>
      </c>
      <c r="B655" t="inlineStr">
        <is>
          <t>58 (6).tif</t>
        </is>
      </c>
      <c r="C655" t="inlineStr">
        <is>
          <t>58(6)-V05</t>
        </is>
      </c>
      <c r="D655" t="n">
        <v>5</v>
      </c>
      <c r="E655" t="inlineStr">
        <is>
          <t>primary</t>
        </is>
      </c>
      <c r="F655" t="n">
        <v>147.3534971644613</v>
      </c>
      <c r="G655">
        <f>2*SQRT(F655/PI())</f>
        <v/>
      </c>
      <c r="H655" t="n">
        <v>45.97396280454553</v>
      </c>
      <c r="I655" t="n">
        <v>405</v>
      </c>
      <c r="J655" t="n">
        <v>269</v>
      </c>
      <c r="K655" t="n">
        <v>144.406427221172</v>
      </c>
      <c r="L655" t="n">
        <v>150.3005671077505</v>
      </c>
      <c r="M655">
        <f>2*SQRT(K655/PI())</f>
        <v/>
      </c>
      <c r="N655">
        <f>2*SQRT(L655/PI())</f>
        <v/>
      </c>
      <c r="P655" t="inlineStr">
        <is>
          <t>是</t>
        </is>
      </c>
      <c r="Q655" t="inlineStr">
        <is>
          <t>auto_pipeline;review_png_green</t>
        </is>
      </c>
      <c r="R655" t="inlineStr">
        <is>
          <t>样品58</t>
        </is>
      </c>
    </row>
    <row r="656">
      <c r="A656" t="n">
        <v>655</v>
      </c>
      <c r="B656" t="inlineStr">
        <is>
          <t>58 (6).tif</t>
        </is>
      </c>
      <c r="C656" t="inlineStr">
        <is>
          <t>58(6)-V06</t>
        </is>
      </c>
      <c r="D656" t="n">
        <v>6</v>
      </c>
      <c r="E656" t="inlineStr">
        <is>
          <t>primary</t>
        </is>
      </c>
      <c r="F656" t="n">
        <v>141.9659735349717</v>
      </c>
      <c r="G656">
        <f>2*SQRT(F656/PI())</f>
        <v/>
      </c>
      <c r="H656" t="n">
        <v>56.68153524398804</v>
      </c>
      <c r="I656" t="n">
        <v>635</v>
      </c>
      <c r="J656" t="n">
        <v>67</v>
      </c>
      <c r="K656" t="n">
        <v>139.1266540642722</v>
      </c>
      <c r="L656" t="n">
        <v>144.8052930056711</v>
      </c>
      <c r="M656">
        <f>2*SQRT(K656/PI())</f>
        <v/>
      </c>
      <c r="N656">
        <f>2*SQRT(L656/PI())</f>
        <v/>
      </c>
      <c r="P656" t="inlineStr">
        <is>
          <t>是</t>
        </is>
      </c>
      <c r="Q656" t="inlineStr">
        <is>
          <t>auto_pipeline;review_png_green</t>
        </is>
      </c>
      <c r="R656" t="inlineStr">
        <is>
          <t>样品58</t>
        </is>
      </c>
    </row>
    <row r="657">
      <c r="A657" t="n">
        <v>656</v>
      </c>
      <c r="B657" t="inlineStr">
        <is>
          <t>58 (6).tif</t>
        </is>
      </c>
      <c r="C657" t="inlineStr">
        <is>
          <t>58(6)-V07</t>
        </is>
      </c>
      <c r="D657" t="n">
        <v>7</v>
      </c>
      <c r="E657" t="inlineStr">
        <is>
          <t>primary</t>
        </is>
      </c>
      <c r="F657" t="n">
        <v>139.1540642722117</v>
      </c>
      <c r="G657">
        <f>2*SQRT(F657/PI())</f>
        <v/>
      </c>
      <c r="H657" t="n">
        <v>55.89561698229416</v>
      </c>
      <c r="I657" t="n">
        <v>409</v>
      </c>
      <c r="J657" t="n">
        <v>77</v>
      </c>
      <c r="K657" t="n">
        <v>136.3709829867675</v>
      </c>
      <c r="L657" t="n">
        <v>141.937145557656</v>
      </c>
      <c r="M657">
        <f>2*SQRT(K657/PI())</f>
        <v/>
      </c>
      <c r="N657">
        <f>2*SQRT(L657/PI())</f>
        <v/>
      </c>
      <c r="P657" t="inlineStr">
        <is>
          <t>是</t>
        </is>
      </c>
      <c r="Q657" t="inlineStr">
        <is>
          <t>auto_pipeline;review_png_green</t>
        </is>
      </c>
      <c r="R657" t="inlineStr">
        <is>
          <t>样品58</t>
        </is>
      </c>
    </row>
    <row r="658">
      <c r="A658" t="n">
        <v>657</v>
      </c>
      <c r="B658" t="inlineStr">
        <is>
          <t>58 (6).tif</t>
        </is>
      </c>
      <c r="C658" t="inlineStr">
        <is>
          <t>58(6)-V08</t>
        </is>
      </c>
      <c r="D658" t="n">
        <v>8</v>
      </c>
      <c r="E658" t="inlineStr">
        <is>
          <t>primary</t>
        </is>
      </c>
      <c r="F658" t="n">
        <v>133.5775047258979</v>
      </c>
      <c r="G658">
        <f>2*SQRT(F658/PI())</f>
        <v/>
      </c>
      <c r="H658" t="n">
        <v>46.10130768755208</v>
      </c>
      <c r="I658" t="n">
        <v>469</v>
      </c>
      <c r="J658" t="n">
        <v>162</v>
      </c>
      <c r="K658" t="n">
        <v>130.90595463138</v>
      </c>
      <c r="L658" t="n">
        <v>136.2490548204159</v>
      </c>
      <c r="M658">
        <f>2*SQRT(K658/PI())</f>
        <v/>
      </c>
      <c r="N658">
        <f>2*SQRT(L658/PI())</f>
        <v/>
      </c>
      <c r="P658" t="inlineStr">
        <is>
          <t>是</t>
        </is>
      </c>
      <c r="Q658" t="inlineStr">
        <is>
          <t>auto_pipeline;review_png_green</t>
        </is>
      </c>
      <c r="R658" t="inlineStr">
        <is>
          <t>样品58</t>
        </is>
      </c>
    </row>
    <row r="659">
      <c r="A659" t="n">
        <v>658</v>
      </c>
      <c r="B659" t="inlineStr">
        <is>
          <t>58 (7).tif</t>
        </is>
      </c>
      <c r="C659" t="inlineStr">
        <is>
          <t>58(7)-V01</t>
        </is>
      </c>
      <c r="D659" t="n">
        <v>1</v>
      </c>
      <c r="E659" t="inlineStr">
        <is>
          <t>primary</t>
        </is>
      </c>
      <c r="F659" t="n">
        <v>861.8856332703214</v>
      </c>
      <c r="G659">
        <f>2*SQRT(F659/PI())</f>
        <v/>
      </c>
      <c r="H659" t="n">
        <v>111.7331848714663</v>
      </c>
      <c r="I659" t="n">
        <v>136</v>
      </c>
      <c r="J659" t="n">
        <v>217</v>
      </c>
      <c r="K659" t="n">
        <v>844.6479206049149</v>
      </c>
      <c r="L659" t="n">
        <v>879.1233459357278</v>
      </c>
      <c r="M659">
        <f>2*SQRT(K659/PI())</f>
        <v/>
      </c>
      <c r="N659">
        <f>2*SQRT(L659/PI())</f>
        <v/>
      </c>
      <c r="P659" t="inlineStr">
        <is>
          <t>是</t>
        </is>
      </c>
      <c r="Q659" t="inlineStr">
        <is>
          <t>auto_pipeline;review_png_green</t>
        </is>
      </c>
      <c r="R659" t="inlineStr">
        <is>
          <t>样品58</t>
        </is>
      </c>
    </row>
    <row r="660">
      <c r="A660" t="n">
        <v>659</v>
      </c>
      <c r="B660" t="inlineStr">
        <is>
          <t>58 (7).tif</t>
        </is>
      </c>
      <c r="C660" t="inlineStr">
        <is>
          <t>58(7)-V02</t>
        </is>
      </c>
      <c r="D660" t="n">
        <v>2</v>
      </c>
      <c r="E660" t="inlineStr">
        <is>
          <t>primary</t>
        </is>
      </c>
      <c r="F660" t="n">
        <v>435.6805293005671</v>
      </c>
      <c r="G660">
        <f>2*SQRT(F660/PI())</f>
        <v/>
      </c>
      <c r="H660" t="n">
        <v>79.35202888820483</v>
      </c>
      <c r="I660" t="n">
        <v>460</v>
      </c>
      <c r="J660" t="n">
        <v>337</v>
      </c>
      <c r="K660" t="n">
        <v>426.9669187145558</v>
      </c>
      <c r="L660" t="n">
        <v>444.3941398865784</v>
      </c>
      <c r="M660">
        <f>2*SQRT(K660/PI())</f>
        <v/>
      </c>
      <c r="N660">
        <f>2*SQRT(L660/PI())</f>
        <v/>
      </c>
      <c r="O660" t="inlineStr">
        <is>
          <t>58(7)-P01</t>
        </is>
      </c>
      <c r="P660" t="inlineStr">
        <is>
          <t>是</t>
        </is>
      </c>
      <c r="Q660" t="inlineStr">
        <is>
          <t>auto_pipeline;review_png_green</t>
        </is>
      </c>
      <c r="R660" t="inlineStr">
        <is>
          <t>样品58</t>
        </is>
      </c>
    </row>
    <row r="661">
      <c r="A661" t="n">
        <v>660</v>
      </c>
      <c r="B661" t="inlineStr">
        <is>
          <t>58 (7).tif</t>
        </is>
      </c>
      <c r="C661" t="inlineStr">
        <is>
          <t>58(7)-V03</t>
        </is>
      </c>
      <c r="D661" t="n">
        <v>3</v>
      </c>
      <c r="E661" t="inlineStr">
        <is>
          <t>primary</t>
        </is>
      </c>
      <c r="F661" t="n">
        <v>419.5888468809074</v>
      </c>
      <c r="G661">
        <f>2*SQRT(F661/PI())</f>
        <v/>
      </c>
      <c r="H661" t="n">
        <v>77.38005765106367</v>
      </c>
      <c r="I661" t="n">
        <v>557</v>
      </c>
      <c r="J661" t="n">
        <v>407</v>
      </c>
      <c r="K661" t="n">
        <v>411.1970699432893</v>
      </c>
      <c r="L661" t="n">
        <v>427.9806238185255</v>
      </c>
      <c r="M661">
        <f>2*SQRT(K661/PI())</f>
        <v/>
      </c>
      <c r="N661">
        <f>2*SQRT(L661/PI())</f>
        <v/>
      </c>
      <c r="O661" t="inlineStr">
        <is>
          <t>58(7)-P01</t>
        </is>
      </c>
      <c r="P661" t="inlineStr">
        <is>
          <t>是</t>
        </is>
      </c>
      <c r="Q661" t="inlineStr">
        <is>
          <t>auto_pipeline;review_png_green</t>
        </is>
      </c>
      <c r="R661" t="inlineStr">
        <is>
          <t>样品58</t>
        </is>
      </c>
    </row>
    <row r="662">
      <c r="A662" t="n">
        <v>661</v>
      </c>
      <c r="B662" t="inlineStr">
        <is>
          <t>58 (7).tif</t>
        </is>
      </c>
      <c r="C662" t="inlineStr">
        <is>
          <t>58(7)-V04</t>
        </is>
      </c>
      <c r="D662" t="n">
        <v>4</v>
      </c>
      <c r="E662" t="inlineStr">
        <is>
          <t>primary</t>
        </is>
      </c>
      <c r="F662" t="n">
        <v>311.8620037807183</v>
      </c>
      <c r="G662">
        <f>2*SQRT(F662/PI())</f>
        <v/>
      </c>
      <c r="H662" t="n">
        <v>99.36263115509696</v>
      </c>
      <c r="I662" t="n">
        <v>261</v>
      </c>
      <c r="J662" t="n">
        <v>431</v>
      </c>
      <c r="K662" t="n">
        <v>305.624763705104</v>
      </c>
      <c r="L662" t="n">
        <v>318.0992438563327</v>
      </c>
      <c r="M662">
        <f>2*SQRT(K662/PI())</f>
        <v/>
      </c>
      <c r="N662">
        <f>2*SQRT(L662/PI())</f>
        <v/>
      </c>
      <c r="P662" t="inlineStr">
        <is>
          <t>是</t>
        </is>
      </c>
      <c r="Q662" t="inlineStr">
        <is>
          <t>auto_pipeline;review_png_green</t>
        </is>
      </c>
      <c r="R662" t="inlineStr">
        <is>
          <t>样品58</t>
        </is>
      </c>
    </row>
    <row r="663">
      <c r="A663" t="n">
        <v>662</v>
      </c>
      <c r="B663" t="inlineStr">
        <is>
          <t>58 (7).tif</t>
        </is>
      </c>
      <c r="C663" t="inlineStr">
        <is>
          <t>58(7)-V05</t>
        </is>
      </c>
      <c r="D663" t="n">
        <v>5</v>
      </c>
      <c r="E663" t="inlineStr">
        <is>
          <t>primary</t>
        </is>
      </c>
      <c r="F663" t="n">
        <v>182.9158790170132</v>
      </c>
      <c r="G663">
        <f>2*SQRT(F663/PI())</f>
        <v/>
      </c>
      <c r="H663" t="n">
        <v>51.78438059661699</v>
      </c>
      <c r="I663" t="n">
        <v>767</v>
      </c>
      <c r="J663" t="n">
        <v>141</v>
      </c>
      <c r="K663" t="n">
        <v>179.2575614366729</v>
      </c>
      <c r="L663" t="n">
        <v>186.5741965973535</v>
      </c>
      <c r="M663">
        <f>2*SQRT(K663/PI())</f>
        <v/>
      </c>
      <c r="N663">
        <f>2*SQRT(L663/PI())</f>
        <v/>
      </c>
      <c r="P663" t="inlineStr">
        <is>
          <t>是</t>
        </is>
      </c>
      <c r="Q663" t="inlineStr">
        <is>
          <t>auto_pipeline;review_png_green</t>
        </is>
      </c>
      <c r="R663" t="inlineStr">
        <is>
          <t>样品58</t>
        </is>
      </c>
    </row>
    <row r="664">
      <c r="A664" t="n">
        <v>663</v>
      </c>
      <c r="B664" t="inlineStr">
        <is>
          <t>58 (8).tif</t>
        </is>
      </c>
      <c r="C664" t="inlineStr">
        <is>
          <t>58(8)-V01</t>
        </is>
      </c>
      <c r="D664" t="n">
        <v>1</v>
      </c>
      <c r="E664" t="inlineStr">
        <is>
          <t>primary</t>
        </is>
      </c>
      <c r="F664" t="n">
        <v>958.8374291115312</v>
      </c>
      <c r="G664">
        <f>2*SQRT(F664/PI())</f>
        <v/>
      </c>
      <c r="H664" t="n">
        <v>116.3138517607813</v>
      </c>
      <c r="I664" t="n">
        <v>584</v>
      </c>
      <c r="J664" t="n">
        <v>386</v>
      </c>
      <c r="K664" t="n">
        <v>939.6606805293005</v>
      </c>
      <c r="L664" t="n">
        <v>978.0141776937618</v>
      </c>
      <c r="M664">
        <f>2*SQRT(K664/PI())</f>
        <v/>
      </c>
      <c r="N664">
        <f>2*SQRT(L664/PI())</f>
        <v/>
      </c>
      <c r="O664" t="inlineStr">
        <is>
          <t>58(8)-P01</t>
        </is>
      </c>
      <c r="P664" t="inlineStr">
        <is>
          <t>是</t>
        </is>
      </c>
      <c r="Q664" t="inlineStr">
        <is>
          <t>auto_pipeline;review_png_green</t>
        </is>
      </c>
      <c r="R664" t="inlineStr">
        <is>
          <t>样品58</t>
        </is>
      </c>
    </row>
    <row r="665">
      <c r="A665" t="n">
        <v>664</v>
      </c>
      <c r="B665" t="inlineStr">
        <is>
          <t>58 (8).tif</t>
        </is>
      </c>
      <c r="C665" t="inlineStr">
        <is>
          <t>58(8)-V02</t>
        </is>
      </c>
      <c r="D665" t="n">
        <v>2</v>
      </c>
      <c r="E665" t="inlineStr">
        <is>
          <t>primary</t>
        </is>
      </c>
      <c r="F665" t="n">
        <v>656.3327032136106</v>
      </c>
      <c r="G665">
        <f>2*SQRT(F665/PI())</f>
        <v/>
      </c>
      <c r="H665" t="n">
        <v>95.78637216402136</v>
      </c>
      <c r="I665" t="n">
        <v>420</v>
      </c>
      <c r="J665" t="n">
        <v>327</v>
      </c>
      <c r="K665" t="n">
        <v>643.2060491493384</v>
      </c>
      <c r="L665" t="n">
        <v>669.4593572778828</v>
      </c>
      <c r="M665">
        <f>2*SQRT(K665/PI())</f>
        <v/>
      </c>
      <c r="N665">
        <f>2*SQRT(L665/PI())</f>
        <v/>
      </c>
      <c r="O665" t="inlineStr">
        <is>
          <t>58(8)-P01</t>
        </is>
      </c>
      <c r="P665" t="inlineStr">
        <is>
          <t>是</t>
        </is>
      </c>
      <c r="Q665" t="inlineStr">
        <is>
          <t>auto_pipeline;review_png_green</t>
        </is>
      </c>
      <c r="R665" t="inlineStr">
        <is>
          <t>样品58</t>
        </is>
      </c>
    </row>
    <row r="666">
      <c r="A666" t="n">
        <v>665</v>
      </c>
      <c r="B666" t="inlineStr">
        <is>
          <t>58 (8).tif</t>
        </is>
      </c>
      <c r="C666" t="inlineStr">
        <is>
          <t>58(8)-V03</t>
        </is>
      </c>
      <c r="D666" t="n">
        <v>3</v>
      </c>
      <c r="E666" t="inlineStr">
        <is>
          <t>primary</t>
        </is>
      </c>
      <c r="F666" t="n">
        <v>449.054820415879</v>
      </c>
      <c r="G666">
        <f>2*SQRT(F666/PI())</f>
        <v/>
      </c>
      <c r="H666" t="n">
        <v>79.35202888820483</v>
      </c>
      <c r="I666" t="n">
        <v>839</v>
      </c>
      <c r="J666" t="n">
        <v>464</v>
      </c>
      <c r="K666" t="n">
        <v>440.0737240075615</v>
      </c>
      <c r="L666" t="n">
        <v>458.0359168241966</v>
      </c>
      <c r="M666">
        <f>2*SQRT(K666/PI())</f>
        <v/>
      </c>
      <c r="N666">
        <f>2*SQRT(L666/PI())</f>
        <v/>
      </c>
      <c r="P666" t="inlineStr">
        <is>
          <t>是</t>
        </is>
      </c>
      <c r="Q666" t="inlineStr">
        <is>
          <t>auto_pipeline;review_png_green</t>
        </is>
      </c>
      <c r="R666" t="inlineStr">
        <is>
          <t>样品58</t>
        </is>
      </c>
    </row>
    <row r="667">
      <c r="A667" t="n">
        <v>666</v>
      </c>
      <c r="B667" t="inlineStr">
        <is>
          <t>58 (8).tif</t>
        </is>
      </c>
      <c r="C667" t="inlineStr">
        <is>
          <t>58(8)-V04</t>
        </is>
      </c>
      <c r="D667" t="n">
        <v>4</v>
      </c>
      <c r="E667" t="inlineStr">
        <is>
          <t>primary</t>
        </is>
      </c>
      <c r="F667" t="n">
        <v>276.4886578449905</v>
      </c>
      <c r="G667">
        <f>2*SQRT(F667/PI())</f>
        <v/>
      </c>
      <c r="H667" t="n">
        <v>63.04503049539483</v>
      </c>
      <c r="I667" t="n">
        <v>241</v>
      </c>
      <c r="J667" t="n">
        <v>63</v>
      </c>
      <c r="K667" t="n">
        <v>270.9588846880907</v>
      </c>
      <c r="L667" t="n">
        <v>282.0184310018903</v>
      </c>
      <c r="M667">
        <f>2*SQRT(K667/PI())</f>
        <v/>
      </c>
      <c r="N667">
        <f>2*SQRT(L667/PI())</f>
        <v/>
      </c>
      <c r="P667" t="inlineStr">
        <is>
          <t>是</t>
        </is>
      </c>
      <c r="Q667" t="inlineStr">
        <is>
          <t>auto_pipeline;review_png_green</t>
        </is>
      </c>
      <c r="R667" t="inlineStr">
        <is>
          <t>样品58</t>
        </is>
      </c>
    </row>
    <row r="668">
      <c r="A668" t="n">
        <v>667</v>
      </c>
      <c r="B668" t="inlineStr">
        <is>
          <t>58 (8).tif</t>
        </is>
      </c>
      <c r="C668" t="inlineStr">
        <is>
          <t>58(8)-V05</t>
        </is>
      </c>
      <c r="D668" t="n">
        <v>5</v>
      </c>
      <c r="E668" t="inlineStr">
        <is>
          <t>primary</t>
        </is>
      </c>
      <c r="F668" t="n">
        <v>150.0945179584121</v>
      </c>
      <c r="G668">
        <f>2*SQRT(F668/PI())</f>
        <v/>
      </c>
      <c r="H668" t="n">
        <v>50.42728481085404</v>
      </c>
      <c r="I668" t="n">
        <v>56</v>
      </c>
      <c r="J668" t="n">
        <v>174</v>
      </c>
      <c r="K668" t="n">
        <v>147.0926275992439</v>
      </c>
      <c r="L668" t="n">
        <v>153.0964083175803</v>
      </c>
      <c r="M668">
        <f>2*SQRT(K668/PI())</f>
        <v/>
      </c>
      <c r="N668">
        <f>2*SQRT(L668/PI())</f>
        <v/>
      </c>
      <c r="P668" t="inlineStr">
        <is>
          <t>是</t>
        </is>
      </c>
      <c r="Q668" t="inlineStr">
        <is>
          <t>auto_pipeline;review_png_green</t>
        </is>
      </c>
      <c r="R668" t="inlineStr">
        <is>
          <t>样品58</t>
        </is>
      </c>
    </row>
    <row r="669">
      <c r="A669" t="n">
        <v>668</v>
      </c>
      <c r="B669" t="inlineStr">
        <is>
          <t>58 (8).tif</t>
        </is>
      </c>
      <c r="C669" t="inlineStr">
        <is>
          <t>58(8)-V06</t>
        </is>
      </c>
      <c r="D669" t="n">
        <v>6</v>
      </c>
      <c r="E669" t="inlineStr">
        <is>
          <t>primary</t>
        </is>
      </c>
      <c r="F669" t="n">
        <v>118.6200378071834</v>
      </c>
      <c r="G669">
        <f>2*SQRT(F669/PI())</f>
        <v/>
      </c>
      <c r="H669" t="n">
        <v>43.61995691838472</v>
      </c>
      <c r="I669" t="n">
        <v>511</v>
      </c>
      <c r="J669" t="n">
        <v>553</v>
      </c>
      <c r="K669" t="n">
        <v>116.2476370510397</v>
      </c>
      <c r="L669" t="n">
        <v>120.992438563327</v>
      </c>
      <c r="M669">
        <f>2*SQRT(K669/PI())</f>
        <v/>
      </c>
      <c r="N669">
        <f>2*SQRT(L669/PI())</f>
        <v/>
      </c>
      <c r="P669" t="inlineStr">
        <is>
          <t>是</t>
        </is>
      </c>
      <c r="Q669" t="inlineStr">
        <is>
          <t>auto_pipeline;review_png_green</t>
        </is>
      </c>
      <c r="R669" t="inlineStr">
        <is>
          <t>样品58</t>
        </is>
      </c>
    </row>
    <row r="670">
      <c r="A670" t="n">
        <v>669</v>
      </c>
      <c r="B670" t="inlineStr">
        <is>
          <t>59 (1).tif</t>
        </is>
      </c>
      <c r="C670" t="inlineStr">
        <is>
          <t>59(1)-V01</t>
        </is>
      </c>
      <c r="D670" t="n">
        <v>1</v>
      </c>
      <c r="E670" t="inlineStr">
        <is>
          <t>primary</t>
        </is>
      </c>
      <c r="F670" t="n">
        <v>745.2741020793951</v>
      </c>
      <c r="G670">
        <f>2*SQRT(F670/PI())</f>
        <v/>
      </c>
      <c r="H670" t="n">
        <v>102.5937000564907</v>
      </c>
      <c r="I670" t="n">
        <v>417</v>
      </c>
      <c r="J670" t="n">
        <v>360</v>
      </c>
      <c r="K670" t="n">
        <v>730.3686200378072</v>
      </c>
      <c r="L670" t="n">
        <v>760.179584120983</v>
      </c>
      <c r="M670">
        <f>2*SQRT(K670/PI())</f>
        <v/>
      </c>
      <c r="N670">
        <f>2*SQRT(L670/PI())</f>
        <v/>
      </c>
      <c r="P670" t="inlineStr">
        <is>
          <t>是</t>
        </is>
      </c>
      <c r="Q670" t="inlineStr">
        <is>
          <t>auto_pipeline;review_png_green</t>
        </is>
      </c>
      <c r="R670" t="inlineStr">
        <is>
          <t>样品59</t>
        </is>
      </c>
    </row>
    <row r="671">
      <c r="A671" t="n">
        <v>670</v>
      </c>
      <c r="B671" t="inlineStr">
        <is>
          <t>59 (1).tif</t>
        </is>
      </c>
      <c r="C671" t="inlineStr">
        <is>
          <t>59(1)-V02</t>
        </is>
      </c>
      <c r="D671" t="n">
        <v>2</v>
      </c>
      <c r="E671" t="inlineStr">
        <is>
          <t>primary</t>
        </is>
      </c>
      <c r="F671" t="n">
        <v>160.0661625708885</v>
      </c>
      <c r="G671">
        <f>2*SQRT(F671/PI())</f>
        <v/>
      </c>
      <c r="H671" t="n">
        <v>47.45840347331503</v>
      </c>
      <c r="I671" t="n">
        <v>196</v>
      </c>
      <c r="J671" t="n">
        <v>367</v>
      </c>
      <c r="K671" t="n">
        <v>156.8648393194707</v>
      </c>
      <c r="L671" t="n">
        <v>163.2674858223062</v>
      </c>
      <c r="M671">
        <f>2*SQRT(K671/PI())</f>
        <v/>
      </c>
      <c r="N671">
        <f>2*SQRT(L671/PI())</f>
        <v/>
      </c>
      <c r="P671" t="inlineStr">
        <is>
          <t>是</t>
        </is>
      </c>
      <c r="Q671" t="inlineStr">
        <is>
          <t>auto_pipeline;review_png_green</t>
        </is>
      </c>
      <c r="R671" t="inlineStr">
        <is>
          <t>样品59</t>
        </is>
      </c>
    </row>
    <row r="672">
      <c r="A672" t="n">
        <v>671</v>
      </c>
      <c r="B672" t="inlineStr">
        <is>
          <t>59 (1).tif</t>
        </is>
      </c>
      <c r="C672" t="inlineStr">
        <is>
          <t>59(1)-V03</t>
        </is>
      </c>
      <c r="D672" t="n">
        <v>3</v>
      </c>
      <c r="E672" t="inlineStr">
        <is>
          <t>primary</t>
        </is>
      </c>
      <c r="F672" t="n">
        <v>156.1436672967864</v>
      </c>
      <c r="G672">
        <f>2*SQRT(F672/PI())</f>
        <v/>
      </c>
      <c r="H672" t="n">
        <v>48.58265845671944</v>
      </c>
      <c r="I672" t="n">
        <v>115</v>
      </c>
      <c r="J672" t="n">
        <v>360</v>
      </c>
      <c r="K672" t="n">
        <v>153.0207939508506</v>
      </c>
      <c r="L672" t="n">
        <v>159.2665406427221</v>
      </c>
      <c r="M672">
        <f>2*SQRT(K672/PI())</f>
        <v/>
      </c>
      <c r="N672">
        <f>2*SQRT(L672/PI())</f>
        <v/>
      </c>
      <c r="P672" t="inlineStr">
        <is>
          <t>是</t>
        </is>
      </c>
      <c r="Q672" t="inlineStr">
        <is>
          <t>auto_pipeline;review_png_green</t>
        </is>
      </c>
      <c r="R672" t="inlineStr">
        <is>
          <t>样品59</t>
        </is>
      </c>
    </row>
    <row r="673">
      <c r="A673" t="n">
        <v>672</v>
      </c>
      <c r="B673" t="inlineStr">
        <is>
          <t>59 (1).tif</t>
        </is>
      </c>
      <c r="C673" t="inlineStr">
        <is>
          <t>59(1)-V04</t>
        </is>
      </c>
      <c r="D673" t="n">
        <v>4</v>
      </c>
      <c r="E673" t="inlineStr">
        <is>
          <t>primary</t>
        </is>
      </c>
      <c r="F673" t="n">
        <v>140.5245746691872</v>
      </c>
      <c r="G673">
        <f>2*SQRT(F673/PI())</f>
        <v/>
      </c>
      <c r="H673" t="n">
        <v>44.87155678479568</v>
      </c>
      <c r="I673" t="n">
        <v>955</v>
      </c>
      <c r="J673" t="n">
        <v>268</v>
      </c>
      <c r="K673" t="n">
        <v>137.7140831758034</v>
      </c>
      <c r="L673" t="n">
        <v>143.3350661625709</v>
      </c>
      <c r="M673">
        <f>2*SQRT(K673/PI())</f>
        <v/>
      </c>
      <c r="N673">
        <f>2*SQRT(L673/PI())</f>
        <v/>
      </c>
      <c r="P673" t="inlineStr">
        <is>
          <t>是</t>
        </is>
      </c>
      <c r="Q673" t="inlineStr">
        <is>
          <t>auto_pipeline;review_png_green</t>
        </is>
      </c>
      <c r="R673" t="inlineStr">
        <is>
          <t>样品59</t>
        </is>
      </c>
    </row>
    <row r="674">
      <c r="A674" t="n">
        <v>673</v>
      </c>
      <c r="B674" t="inlineStr">
        <is>
          <t>59 (1).tif</t>
        </is>
      </c>
      <c r="C674" t="inlineStr">
        <is>
          <t>59(1)-V05</t>
        </is>
      </c>
      <c r="D674" t="n">
        <v>5</v>
      </c>
      <c r="E674" t="inlineStr">
        <is>
          <t>primary</t>
        </is>
      </c>
      <c r="F674" t="n">
        <v>127.4574669187146</v>
      </c>
      <c r="G674">
        <f>2*SQRT(F674/PI())</f>
        <v/>
      </c>
      <c r="H674" t="n">
        <v>44.99890166780223</v>
      </c>
      <c r="I674" t="n">
        <v>600</v>
      </c>
      <c r="J674" t="n">
        <v>179</v>
      </c>
      <c r="K674" t="n">
        <v>124.9083175803403</v>
      </c>
      <c r="L674" t="n">
        <v>130.0066162570889</v>
      </c>
      <c r="M674">
        <f>2*SQRT(K674/PI())</f>
        <v/>
      </c>
      <c r="N674">
        <f>2*SQRT(L674/PI())</f>
        <v/>
      </c>
      <c r="P674" t="inlineStr">
        <is>
          <t>是</t>
        </is>
      </c>
      <c r="Q674" t="inlineStr">
        <is>
          <t>auto_pipeline;review_png_green</t>
        </is>
      </c>
      <c r="R674" t="inlineStr">
        <is>
          <t>样品59</t>
        </is>
      </c>
    </row>
    <row r="675">
      <c r="A675" t="n">
        <v>674</v>
      </c>
      <c r="B675" t="inlineStr">
        <is>
          <t>59 (1).tif</t>
        </is>
      </c>
      <c r="C675" t="inlineStr">
        <is>
          <t>59(1)-V06</t>
        </is>
      </c>
      <c r="D675" t="n">
        <v>6</v>
      </c>
      <c r="E675" t="inlineStr">
        <is>
          <t>primary</t>
        </is>
      </c>
      <c r="F675" t="n">
        <v>123.8894139886579</v>
      </c>
      <c r="G675">
        <f>2*SQRT(F675/PI())</f>
        <v/>
      </c>
      <c r="H675" t="n">
        <v>42.15736521326977</v>
      </c>
      <c r="I675" t="n">
        <v>547</v>
      </c>
      <c r="J675" t="n">
        <v>125</v>
      </c>
      <c r="K675" t="n">
        <v>121.4116257088847</v>
      </c>
      <c r="L675" t="n">
        <v>126.367202268431</v>
      </c>
      <c r="M675">
        <f>2*SQRT(K675/PI())</f>
        <v/>
      </c>
      <c r="N675">
        <f>2*SQRT(L675/PI())</f>
        <v/>
      </c>
      <c r="P675" t="inlineStr">
        <is>
          <t>是</t>
        </is>
      </c>
      <c r="Q675" t="inlineStr">
        <is>
          <t>auto_pipeline;review_png_green</t>
        </is>
      </c>
      <c r="R675" t="inlineStr">
        <is>
          <t>样品59</t>
        </is>
      </c>
    </row>
    <row r="676">
      <c r="A676" t="n">
        <v>675</v>
      </c>
      <c r="B676" t="inlineStr">
        <is>
          <t>59 (2).tif</t>
        </is>
      </c>
      <c r="C676" t="inlineStr">
        <is>
          <t>59(2)-V01</t>
        </is>
      </c>
      <c r="D676" t="n">
        <v>1</v>
      </c>
      <c r="E676" t="inlineStr">
        <is>
          <t>primary</t>
        </is>
      </c>
      <c r="F676" t="n">
        <v>785.6568998109641</v>
      </c>
      <c r="G676">
        <f>2*SQRT(F676/PI())</f>
        <v/>
      </c>
      <c r="H676" t="n">
        <v>105.4352365110231</v>
      </c>
      <c r="I676" t="n">
        <v>785</v>
      </c>
      <c r="J676" t="n">
        <v>104</v>
      </c>
      <c r="K676" t="n">
        <v>769.9437618147448</v>
      </c>
      <c r="L676" t="n">
        <v>801.3700378071834</v>
      </c>
      <c r="M676">
        <f>2*SQRT(K676/PI())</f>
        <v/>
      </c>
      <c r="N676">
        <f>2*SQRT(L676/PI())</f>
        <v/>
      </c>
      <c r="P676" t="inlineStr">
        <is>
          <t>是</t>
        </is>
      </c>
      <c r="Q676" t="inlineStr">
        <is>
          <t>auto_pipeline;review_png_green</t>
        </is>
      </c>
      <c r="R676" t="inlineStr">
        <is>
          <t>样品59</t>
        </is>
      </c>
    </row>
    <row r="677">
      <c r="A677" t="n">
        <v>676</v>
      </c>
      <c r="B677" t="inlineStr">
        <is>
          <t>59 (2).tif</t>
        </is>
      </c>
      <c r="C677" t="inlineStr">
        <is>
          <t>59(2)-V02</t>
        </is>
      </c>
      <c r="D677" t="n">
        <v>2</v>
      </c>
      <c r="E677" t="inlineStr">
        <is>
          <t>primary</t>
        </is>
      </c>
      <c r="F677" t="n">
        <v>703.2136105860113</v>
      </c>
      <c r="G677">
        <f>2*SQRT(F677/PI())</f>
        <v/>
      </c>
      <c r="H677" t="n">
        <v>99.62481871895167</v>
      </c>
      <c r="I677" t="n">
        <v>512</v>
      </c>
      <c r="J677" t="n">
        <v>433</v>
      </c>
      <c r="K677" t="n">
        <v>689.1493383742911</v>
      </c>
      <c r="L677" t="n">
        <v>717.2778827977315</v>
      </c>
      <c r="M677">
        <f>2*SQRT(K677/PI())</f>
        <v/>
      </c>
      <c r="N677">
        <f>2*SQRT(L677/PI())</f>
        <v/>
      </c>
      <c r="P677" t="inlineStr">
        <is>
          <t>是</t>
        </is>
      </c>
      <c r="Q677" t="inlineStr">
        <is>
          <t>auto_pipeline;review_png_green</t>
        </is>
      </c>
      <c r="R677" t="inlineStr">
        <is>
          <t>样品59</t>
        </is>
      </c>
    </row>
    <row r="678">
      <c r="A678" t="n">
        <v>677</v>
      </c>
      <c r="B678" t="inlineStr">
        <is>
          <t>59 (2).tif</t>
        </is>
      </c>
      <c r="C678" t="inlineStr">
        <is>
          <t>59(2)-V03</t>
        </is>
      </c>
      <c r="D678" t="n">
        <v>3</v>
      </c>
      <c r="E678" t="inlineStr">
        <is>
          <t>primary</t>
        </is>
      </c>
      <c r="F678" t="n">
        <v>116.3988657844991</v>
      </c>
      <c r="G678">
        <f>2*SQRT(F678/PI())</f>
        <v/>
      </c>
      <c r="H678" t="n">
        <v>51.5696398589922</v>
      </c>
      <c r="I678" t="n">
        <v>119</v>
      </c>
      <c r="J678" t="n">
        <v>514</v>
      </c>
      <c r="K678" t="n">
        <v>114.0708884688091</v>
      </c>
      <c r="L678" t="n">
        <v>118.726843100189</v>
      </c>
      <c r="M678">
        <f>2*SQRT(K678/PI())</f>
        <v/>
      </c>
      <c r="N678">
        <f>2*SQRT(L678/PI())</f>
        <v/>
      </c>
      <c r="P678" t="inlineStr">
        <is>
          <t>是</t>
        </is>
      </c>
      <c r="Q678" t="inlineStr">
        <is>
          <t>auto_pipeline;review_png_green</t>
        </is>
      </c>
      <c r="R678" t="inlineStr">
        <is>
          <t>样品59</t>
        </is>
      </c>
    </row>
    <row r="679">
      <c r="A679" t="n">
        <v>678</v>
      </c>
      <c r="B679" t="inlineStr">
        <is>
          <t>59 (3).tif</t>
        </is>
      </c>
      <c r="C679" t="inlineStr">
        <is>
          <t>59(3)-V01</t>
        </is>
      </c>
      <c r="D679" t="n">
        <v>1</v>
      </c>
      <c r="E679" t="inlineStr">
        <is>
          <t>primary</t>
        </is>
      </c>
      <c r="F679" t="n">
        <v>950.8506616257089</v>
      </c>
      <c r="G679">
        <f>2*SQRT(F679/PI())</f>
        <v/>
      </c>
      <c r="H679" t="n">
        <v>116.0591619947682</v>
      </c>
      <c r="I679" t="n">
        <v>583</v>
      </c>
      <c r="J679" t="n">
        <v>482</v>
      </c>
      <c r="K679" t="n">
        <v>931.8336483931947</v>
      </c>
      <c r="L679" t="n">
        <v>969.867674858223</v>
      </c>
      <c r="M679">
        <f>2*SQRT(K679/PI())</f>
        <v/>
      </c>
      <c r="N679">
        <f>2*SQRT(L679/PI())</f>
        <v/>
      </c>
      <c r="P679" t="inlineStr">
        <is>
          <t>是</t>
        </is>
      </c>
      <c r="Q679" t="inlineStr">
        <is>
          <t>auto_pipeline;review_png_green</t>
        </is>
      </c>
      <c r="R679" t="inlineStr">
        <is>
          <t>样品59</t>
        </is>
      </c>
    </row>
    <row r="680">
      <c r="A680" t="n">
        <v>679</v>
      </c>
      <c r="B680" t="inlineStr">
        <is>
          <t>59 (3).tif</t>
        </is>
      </c>
      <c r="C680" t="inlineStr">
        <is>
          <t>59(3)-V02</t>
        </is>
      </c>
      <c r="D680" t="n">
        <v>2</v>
      </c>
      <c r="E680" t="inlineStr">
        <is>
          <t>primary</t>
        </is>
      </c>
      <c r="F680" t="n">
        <v>621.9990548204158</v>
      </c>
      <c r="G680">
        <f>2*SQRT(F680/PI())</f>
        <v/>
      </c>
      <c r="H680" t="n">
        <v>93.81440092688021</v>
      </c>
      <c r="I680" t="n">
        <v>920</v>
      </c>
      <c r="J680" t="n">
        <v>258</v>
      </c>
      <c r="K680" t="n">
        <v>609.5590737240075</v>
      </c>
      <c r="L680" t="n">
        <v>634.4390359168242</v>
      </c>
      <c r="M680">
        <f>2*SQRT(K680/PI())</f>
        <v/>
      </c>
      <c r="N680">
        <f>2*SQRT(L680/PI())</f>
        <v/>
      </c>
      <c r="P680" t="inlineStr">
        <is>
          <t>是</t>
        </is>
      </c>
      <c r="Q680" t="inlineStr">
        <is>
          <t>auto_pipeline;review_png_green</t>
        </is>
      </c>
      <c r="R680" t="inlineStr">
        <is>
          <t>样品59</t>
        </is>
      </c>
    </row>
    <row r="681">
      <c r="A681" t="n">
        <v>680</v>
      </c>
      <c r="B681" t="inlineStr">
        <is>
          <t>59 (3).tif</t>
        </is>
      </c>
      <c r="C681" t="inlineStr">
        <is>
          <t>59(3)-V03</t>
        </is>
      </c>
      <c r="D681" t="n">
        <v>3</v>
      </c>
      <c r="E681" t="inlineStr">
        <is>
          <t>primary</t>
        </is>
      </c>
      <c r="F681" t="n">
        <v>528.7098298676749</v>
      </c>
      <c r="G681">
        <f>2*SQRT(F681/PI())</f>
        <v/>
      </c>
      <c r="H681" t="n">
        <v>89.21188507391058</v>
      </c>
      <c r="I681" t="n">
        <v>202</v>
      </c>
      <c r="J681" t="n">
        <v>278</v>
      </c>
      <c r="K681" t="n">
        <v>518.1356332703214</v>
      </c>
      <c r="L681" t="n">
        <v>539.2840264650284</v>
      </c>
      <c r="M681">
        <f>2*SQRT(K681/PI())</f>
        <v/>
      </c>
      <c r="N681">
        <f>2*SQRT(L681/PI())</f>
        <v/>
      </c>
      <c r="P681" t="inlineStr">
        <is>
          <t>是</t>
        </is>
      </c>
      <c r="Q681" t="inlineStr">
        <is>
          <t>auto_pipeline;review_png_green</t>
        </is>
      </c>
      <c r="R681" t="inlineStr">
        <is>
          <t>样品59</t>
        </is>
      </c>
    </row>
    <row r="682">
      <c r="A682" t="n">
        <v>681</v>
      </c>
      <c r="B682" t="inlineStr">
        <is>
          <t>59 (3).tif</t>
        </is>
      </c>
      <c r="C682" t="inlineStr">
        <is>
          <t>59(3)-V04</t>
        </is>
      </c>
      <c r="D682" t="n">
        <v>4</v>
      </c>
      <c r="E682" t="inlineStr">
        <is>
          <t>primary</t>
        </is>
      </c>
      <c r="F682" t="n">
        <v>498.3931947069943</v>
      </c>
      <c r="G682">
        <f>2*SQRT(F682/PI())</f>
        <v/>
      </c>
      <c r="H682" t="n">
        <v>83.80535089451334</v>
      </c>
      <c r="I682" t="n">
        <v>555</v>
      </c>
      <c r="J682" t="n">
        <v>298</v>
      </c>
      <c r="K682" t="n">
        <v>488.4253308128544</v>
      </c>
      <c r="L682" t="n">
        <v>508.3610586011342</v>
      </c>
      <c r="M682">
        <f>2*SQRT(K682/PI())</f>
        <v/>
      </c>
      <c r="N682">
        <f>2*SQRT(L682/PI())</f>
        <v/>
      </c>
      <c r="O682" t="inlineStr">
        <is>
          <t>59(3)-P01</t>
        </is>
      </c>
      <c r="P682" t="inlineStr">
        <is>
          <t>是</t>
        </is>
      </c>
      <c r="Q682" t="inlineStr">
        <is>
          <t>auto_pipeline;review_png_green</t>
        </is>
      </c>
      <c r="R682" t="inlineStr">
        <is>
          <t>样品59</t>
        </is>
      </c>
    </row>
    <row r="683">
      <c r="A683" t="n">
        <v>682</v>
      </c>
      <c r="B683" t="inlineStr">
        <is>
          <t>59 (3).tif</t>
        </is>
      </c>
      <c r="C683" t="inlineStr">
        <is>
          <t>59(3)-V05</t>
        </is>
      </c>
      <c r="D683" t="n">
        <v>5</v>
      </c>
      <c r="E683" t="inlineStr">
        <is>
          <t>primary</t>
        </is>
      </c>
      <c r="F683" t="n">
        <v>432.2542533081286</v>
      </c>
      <c r="G683">
        <f>2*SQRT(F683/PI())</f>
        <v/>
      </c>
      <c r="H683" t="n">
        <v>77.99493310244186</v>
      </c>
      <c r="I683" t="n">
        <v>465</v>
      </c>
      <c r="J683" t="n">
        <v>401</v>
      </c>
      <c r="K683" t="n">
        <v>423.609168241966</v>
      </c>
      <c r="L683" t="n">
        <v>440.8993383742911</v>
      </c>
      <c r="M683">
        <f>2*SQRT(K683/PI())</f>
        <v/>
      </c>
      <c r="N683">
        <f>2*SQRT(L683/PI())</f>
        <v/>
      </c>
      <c r="O683" t="inlineStr">
        <is>
          <t>59(3)-P01</t>
        </is>
      </c>
      <c r="P683" t="inlineStr">
        <is>
          <t>是</t>
        </is>
      </c>
      <c r="Q683" t="inlineStr">
        <is>
          <t>auto_pipeline;review_png_green</t>
        </is>
      </c>
      <c r="R683" t="inlineStr">
        <is>
          <t>样品59</t>
        </is>
      </c>
    </row>
    <row r="684">
      <c r="A684" t="n">
        <v>683</v>
      </c>
      <c r="B684" t="inlineStr">
        <is>
          <t>59 (3).tif</t>
        </is>
      </c>
      <c r="C684" t="inlineStr">
        <is>
          <t>59(3)-V06</t>
        </is>
      </c>
      <c r="D684" t="n">
        <v>6</v>
      </c>
      <c r="E684" t="inlineStr">
        <is>
          <t>primary</t>
        </is>
      </c>
      <c r="F684" t="n">
        <v>136.8856332703214</v>
      </c>
      <c r="G684">
        <f>2*SQRT(F684/PI())</f>
        <v/>
      </c>
      <c r="H684" t="n">
        <v>49.79056039582128</v>
      </c>
      <c r="I684" t="n">
        <v>867</v>
      </c>
      <c r="J684" t="n">
        <v>611</v>
      </c>
      <c r="K684" t="n">
        <v>134.1479206049149</v>
      </c>
      <c r="L684" t="n">
        <v>139.6233459357278</v>
      </c>
      <c r="M684">
        <f>2*SQRT(K684/PI())</f>
        <v/>
      </c>
      <c r="N684">
        <f>2*SQRT(L684/PI())</f>
        <v/>
      </c>
      <c r="P684" t="inlineStr">
        <is>
          <t>是</t>
        </is>
      </c>
      <c r="Q684" t="inlineStr">
        <is>
          <t>auto_pipeline;review_png_green</t>
        </is>
      </c>
      <c r="R684" t="inlineStr">
        <is>
          <t>样品59</t>
        </is>
      </c>
    </row>
    <row r="685">
      <c r="A685" t="n">
        <v>684</v>
      </c>
      <c r="B685" t="inlineStr">
        <is>
          <t>59 (3).tif</t>
        </is>
      </c>
      <c r="C685" t="inlineStr">
        <is>
          <t>59(3)-V07</t>
        </is>
      </c>
      <c r="D685" t="n">
        <v>7</v>
      </c>
      <c r="E685" t="inlineStr">
        <is>
          <t>primary</t>
        </is>
      </c>
      <c r="F685" t="n">
        <v>124.5037807183365</v>
      </c>
      <c r="G685">
        <f>2*SQRT(F685/PI())</f>
        <v/>
      </c>
      <c r="H685" t="n">
        <v>47.28736066299936</v>
      </c>
      <c r="I685" t="n">
        <v>99</v>
      </c>
      <c r="J685" t="n">
        <v>487</v>
      </c>
      <c r="K685" t="n">
        <v>122.0137051039698</v>
      </c>
      <c r="L685" t="n">
        <v>126.9938563327032</v>
      </c>
      <c r="M685">
        <f>2*SQRT(K685/PI())</f>
        <v/>
      </c>
      <c r="N685">
        <f>2*SQRT(L685/PI())</f>
        <v/>
      </c>
      <c r="P685" t="inlineStr">
        <is>
          <t>是</t>
        </is>
      </c>
      <c r="Q685" t="inlineStr">
        <is>
          <t>auto_pipeline;review_png_green</t>
        </is>
      </c>
      <c r="R685" t="inlineStr">
        <is>
          <t>样品59</t>
        </is>
      </c>
    </row>
    <row r="686">
      <c r="A686" t="n">
        <v>685</v>
      </c>
      <c r="B686" t="inlineStr">
        <is>
          <t>59 (4).tif</t>
        </is>
      </c>
      <c r="C686" t="inlineStr">
        <is>
          <t>59(4)-V01</t>
        </is>
      </c>
      <c r="D686" t="n">
        <v>1</v>
      </c>
      <c r="E686" t="inlineStr">
        <is>
          <t>primary</t>
        </is>
      </c>
      <c r="F686" t="n">
        <v>899.6455576559547</v>
      </c>
      <c r="G686">
        <f>2*SQRT(F686/PI())</f>
        <v/>
      </c>
      <c r="H686" t="n">
        <v>113.2176255402358</v>
      </c>
      <c r="I686" t="n">
        <v>378</v>
      </c>
      <c r="J686" t="n">
        <v>397</v>
      </c>
      <c r="K686" t="n">
        <v>881.6526465028355</v>
      </c>
      <c r="L686" t="n">
        <v>917.6384688090739</v>
      </c>
      <c r="M686">
        <f>2*SQRT(K686/PI())</f>
        <v/>
      </c>
      <c r="N686">
        <f>2*SQRT(L686/PI())</f>
        <v/>
      </c>
      <c r="O686" t="inlineStr">
        <is>
          <t>59(4)-P01</t>
        </is>
      </c>
      <c r="P686" t="inlineStr">
        <is>
          <t>是</t>
        </is>
      </c>
      <c r="Q686" t="inlineStr">
        <is>
          <t>auto_pipeline;review_png_green</t>
        </is>
      </c>
      <c r="R686" t="inlineStr">
        <is>
          <t>样品59</t>
        </is>
      </c>
    </row>
    <row r="687">
      <c r="A687" t="n">
        <v>686</v>
      </c>
      <c r="B687" t="inlineStr">
        <is>
          <t>59 (4).tif</t>
        </is>
      </c>
      <c r="C687" t="inlineStr">
        <is>
          <t>59(4)-V02</t>
        </is>
      </c>
      <c r="D687" t="n">
        <v>2</v>
      </c>
      <c r="E687" t="inlineStr">
        <is>
          <t>primary</t>
        </is>
      </c>
      <c r="F687" t="n">
        <v>778.6862003780718</v>
      </c>
      <c r="G687">
        <f>2*SQRT(F687/PI())</f>
        <v/>
      </c>
      <c r="H687" t="n">
        <v>104.4383264106253</v>
      </c>
      <c r="I687" t="n">
        <v>527</v>
      </c>
      <c r="J687" t="n">
        <v>301</v>
      </c>
      <c r="K687" t="n">
        <v>763.1124763705104</v>
      </c>
      <c r="L687" t="n">
        <v>794.2599243856332</v>
      </c>
      <c r="M687">
        <f>2*SQRT(K687/PI())</f>
        <v/>
      </c>
      <c r="N687">
        <f>2*SQRT(L687/PI())</f>
        <v/>
      </c>
      <c r="O687" t="inlineStr">
        <is>
          <t>59(4)-P01</t>
        </is>
      </c>
      <c r="P687" t="inlineStr">
        <is>
          <t>是</t>
        </is>
      </c>
      <c r="Q687" t="inlineStr">
        <is>
          <t>auto_pipeline;review_png_green</t>
        </is>
      </c>
      <c r="R687" t="inlineStr">
        <is>
          <t>样品59</t>
        </is>
      </c>
    </row>
    <row r="688">
      <c r="A688" t="n">
        <v>687</v>
      </c>
      <c r="B688" t="inlineStr">
        <is>
          <t>59 (4).tif</t>
        </is>
      </c>
      <c r="C688" t="inlineStr">
        <is>
          <t>59(4)-V03</t>
        </is>
      </c>
      <c r="D688" t="n">
        <v>3</v>
      </c>
      <c r="E688" t="inlineStr">
        <is>
          <t>primary</t>
        </is>
      </c>
      <c r="F688" t="n">
        <v>155.1275992438563</v>
      </c>
      <c r="G688">
        <f>2*SQRT(F688/PI())</f>
        <v/>
      </c>
      <c r="H688" t="n">
        <v>58.50431263446808</v>
      </c>
      <c r="I688" t="n">
        <v>298</v>
      </c>
      <c r="J688" t="n">
        <v>342</v>
      </c>
      <c r="K688" t="n">
        <v>152.0250472589792</v>
      </c>
      <c r="L688" t="n">
        <v>158.2301512287335</v>
      </c>
      <c r="M688">
        <f>2*SQRT(K688/PI())</f>
        <v/>
      </c>
      <c r="N688">
        <f>2*SQRT(L688/PI())</f>
        <v/>
      </c>
      <c r="P688" t="inlineStr">
        <is>
          <t>是</t>
        </is>
      </c>
      <c r="Q688" t="inlineStr">
        <is>
          <t>auto_pipeline;review_png_green</t>
        </is>
      </c>
      <c r="R688" t="inlineStr">
        <is>
          <t>样品59</t>
        </is>
      </c>
    </row>
    <row r="689">
      <c r="A689" t="n">
        <v>688</v>
      </c>
      <c r="B689" t="inlineStr">
        <is>
          <t>59 (5).tif</t>
        </is>
      </c>
      <c r="C689" t="inlineStr">
        <is>
          <t>59(5)-V01</t>
        </is>
      </c>
      <c r="D689" t="n">
        <v>1</v>
      </c>
      <c r="E689" t="inlineStr">
        <is>
          <t>primary</t>
        </is>
      </c>
      <c r="F689" t="n">
        <v>598.5113421550094</v>
      </c>
      <c r="G689">
        <f>2*SQRT(F689/PI())</f>
        <v/>
      </c>
      <c r="H689" t="n">
        <v>91.4603950407194</v>
      </c>
      <c r="I689" t="n">
        <v>518</v>
      </c>
      <c r="J689" t="n">
        <v>330</v>
      </c>
      <c r="K689" t="n">
        <v>586.5411153119092</v>
      </c>
      <c r="L689" t="n">
        <v>610.4815689981097</v>
      </c>
      <c r="M689">
        <f>2*SQRT(K689/PI())</f>
        <v/>
      </c>
      <c r="N689">
        <f>2*SQRT(L689/PI())</f>
        <v/>
      </c>
      <c r="O689" t="inlineStr">
        <is>
          <t>59(5)-P01</t>
        </is>
      </c>
      <c r="P689" t="inlineStr">
        <is>
          <t>是</t>
        </is>
      </c>
      <c r="Q689" t="inlineStr">
        <is>
          <t>auto_pipeline;review_png_green</t>
        </is>
      </c>
      <c r="R689" t="inlineStr">
        <is>
          <t>样品59</t>
        </is>
      </c>
    </row>
    <row r="690">
      <c r="A690" t="n">
        <v>689</v>
      </c>
      <c r="B690" t="inlineStr">
        <is>
          <t>59 (5).tif</t>
        </is>
      </c>
      <c r="C690" t="inlineStr">
        <is>
          <t>59(5)-V02</t>
        </is>
      </c>
      <c r="D690" t="n">
        <v>2</v>
      </c>
      <c r="E690" t="inlineStr">
        <is>
          <t>primary</t>
        </is>
      </c>
      <c r="F690" t="n">
        <v>520.250472589792</v>
      </c>
      <c r="G690">
        <f>2*SQRT(F690/PI())</f>
        <v/>
      </c>
      <c r="H690" t="n">
        <v>88.13132801781529</v>
      </c>
      <c r="I690" t="n">
        <v>932</v>
      </c>
      <c r="J690" t="n">
        <v>196</v>
      </c>
      <c r="K690" t="n">
        <v>509.8454631379961</v>
      </c>
      <c r="L690" t="n">
        <v>530.6554820415879</v>
      </c>
      <c r="M690">
        <f>2*SQRT(K690/PI())</f>
        <v/>
      </c>
      <c r="N690">
        <f>2*SQRT(L690/PI())</f>
        <v/>
      </c>
      <c r="P690" t="inlineStr">
        <is>
          <t>是</t>
        </is>
      </c>
      <c r="Q690" t="inlineStr">
        <is>
          <t>auto_pipeline;review_png_green</t>
        </is>
      </c>
      <c r="R690" t="inlineStr">
        <is>
          <t>样品59</t>
        </is>
      </c>
    </row>
    <row r="691">
      <c r="A691" t="n">
        <v>690</v>
      </c>
      <c r="B691" t="inlineStr">
        <is>
          <t>59 (5).tif</t>
        </is>
      </c>
      <c r="C691" t="inlineStr">
        <is>
          <t>59(5)-V03</t>
        </is>
      </c>
      <c r="D691" t="n">
        <v>3</v>
      </c>
      <c r="E691" t="inlineStr">
        <is>
          <t>primary</t>
        </is>
      </c>
      <c r="F691" t="n">
        <v>515.5482041587902</v>
      </c>
      <c r="G691">
        <f>2*SQRT(F691/PI())</f>
        <v/>
      </c>
      <c r="H691" t="n">
        <v>85.03510179726973</v>
      </c>
      <c r="I691" t="n">
        <v>389</v>
      </c>
      <c r="J691" t="n">
        <v>360</v>
      </c>
      <c r="K691" t="n">
        <v>505.2372400756144</v>
      </c>
      <c r="L691" t="n">
        <v>525.859168241966</v>
      </c>
      <c r="M691">
        <f>2*SQRT(K691/PI())</f>
        <v/>
      </c>
      <c r="N691">
        <f>2*SQRT(L691/PI())</f>
        <v/>
      </c>
      <c r="O691" t="inlineStr">
        <is>
          <t>59(5)-P01</t>
        </is>
      </c>
      <c r="P691" t="inlineStr">
        <is>
          <t>是</t>
        </is>
      </c>
      <c r="Q691" t="inlineStr">
        <is>
          <t>auto_pipeline;review_png_green</t>
        </is>
      </c>
      <c r="R691" t="inlineStr">
        <is>
          <t>样品59</t>
        </is>
      </c>
    </row>
    <row r="692">
      <c r="A692" t="n">
        <v>691</v>
      </c>
      <c r="B692" t="inlineStr">
        <is>
          <t>59 (5).tif</t>
        </is>
      </c>
      <c r="C692" t="inlineStr">
        <is>
          <t>59(5)-V04</t>
        </is>
      </c>
      <c r="D692" t="n">
        <v>4</v>
      </c>
      <c r="E692" t="inlineStr">
        <is>
          <t>primary</t>
        </is>
      </c>
      <c r="F692" t="n">
        <v>513.7051039697543</v>
      </c>
      <c r="G692">
        <f>2*SQRT(F692/PI())</f>
        <v/>
      </c>
      <c r="H692" t="n">
        <v>85.90466701466104</v>
      </c>
      <c r="I692" t="n">
        <v>641</v>
      </c>
      <c r="J692" t="n">
        <v>89</v>
      </c>
      <c r="K692" t="n">
        <v>503.4310018903592</v>
      </c>
      <c r="L692" t="n">
        <v>523.9792060491494</v>
      </c>
      <c r="M692">
        <f>2*SQRT(K692/PI())</f>
        <v/>
      </c>
      <c r="N692">
        <f>2*SQRT(L692/PI())</f>
        <v/>
      </c>
      <c r="O692" t="inlineStr">
        <is>
          <t>59(5)-P02</t>
        </is>
      </c>
      <c r="P692" t="inlineStr">
        <is>
          <t>是</t>
        </is>
      </c>
      <c r="Q692" t="inlineStr">
        <is>
          <t>auto_pipeline;review_png_green</t>
        </is>
      </c>
      <c r="R692" t="inlineStr">
        <is>
          <t>样品59</t>
        </is>
      </c>
    </row>
    <row r="693">
      <c r="A693" t="n">
        <v>692</v>
      </c>
      <c r="B693" t="inlineStr">
        <is>
          <t>59 (5).tif</t>
        </is>
      </c>
      <c r="C693" t="inlineStr">
        <is>
          <t>59(5)-V05</t>
        </is>
      </c>
      <c r="D693" t="n">
        <v>5</v>
      </c>
      <c r="E693" t="inlineStr">
        <is>
          <t>primary</t>
        </is>
      </c>
      <c r="F693" t="n">
        <v>512.5708884688091</v>
      </c>
      <c r="G693">
        <f>2*SQRT(F693/PI())</f>
        <v/>
      </c>
      <c r="H693" t="n">
        <v>86.87972815140434</v>
      </c>
      <c r="I693" t="n">
        <v>494</v>
      </c>
      <c r="J693" t="n">
        <v>120</v>
      </c>
      <c r="K693" t="n">
        <v>502.3194706994329</v>
      </c>
      <c r="L693" t="n">
        <v>522.8223062381853</v>
      </c>
      <c r="M693">
        <f>2*SQRT(K693/PI())</f>
        <v/>
      </c>
      <c r="N693">
        <f>2*SQRT(L693/PI())</f>
        <v/>
      </c>
      <c r="O693" t="inlineStr">
        <is>
          <t>59(5)-P02</t>
        </is>
      </c>
      <c r="P693" t="inlineStr">
        <is>
          <t>是</t>
        </is>
      </c>
      <c r="Q693" t="inlineStr">
        <is>
          <t>auto_pipeline;review_png_green</t>
        </is>
      </c>
      <c r="R693" t="inlineStr">
        <is>
          <t>样品59</t>
        </is>
      </c>
    </row>
    <row r="694">
      <c r="A694" t="n">
        <v>693</v>
      </c>
      <c r="B694" t="inlineStr">
        <is>
          <t>59 (5).tif</t>
        </is>
      </c>
      <c r="C694" t="inlineStr">
        <is>
          <t>59(5)-V06</t>
        </is>
      </c>
      <c r="D694" t="n">
        <v>6</v>
      </c>
      <c r="E694" t="inlineStr">
        <is>
          <t>primary</t>
        </is>
      </c>
      <c r="F694" t="n">
        <v>487.3345935727788</v>
      </c>
      <c r="G694">
        <f>2*SQRT(F694/PI())</f>
        <v/>
      </c>
      <c r="H694" t="n">
        <v>86.51954246603924</v>
      </c>
      <c r="I694" t="n">
        <v>943</v>
      </c>
      <c r="J694" t="n">
        <v>310</v>
      </c>
      <c r="K694" t="n">
        <v>477.5879017013232</v>
      </c>
      <c r="L694" t="n">
        <v>497.0812854442344</v>
      </c>
      <c r="M694">
        <f>2*SQRT(K694/PI())</f>
        <v/>
      </c>
      <c r="N694">
        <f>2*SQRT(L694/PI())</f>
        <v/>
      </c>
      <c r="P694" t="inlineStr">
        <is>
          <t>是</t>
        </is>
      </c>
      <c r="Q694" t="inlineStr">
        <is>
          <t>auto_pipeline;review_png_green</t>
        </is>
      </c>
      <c r="R694" t="inlineStr">
        <is>
          <t>样品59</t>
        </is>
      </c>
    </row>
    <row r="695">
      <c r="A695" t="n">
        <v>694</v>
      </c>
      <c r="B695" t="inlineStr">
        <is>
          <t>59 (6).tif</t>
        </is>
      </c>
      <c r="C695" t="inlineStr">
        <is>
          <t>59(6)-V01</t>
        </is>
      </c>
      <c r="D695" t="n">
        <v>1</v>
      </c>
      <c r="E695" t="inlineStr">
        <is>
          <t>primary</t>
        </is>
      </c>
      <c r="F695" t="n">
        <v>1145.557655954631</v>
      </c>
      <c r="G695">
        <f>2*SQRT(F695/PI())</f>
        <v/>
      </c>
      <c r="H695" t="n">
        <v>126.8104323615199</v>
      </c>
      <c r="I695" t="n">
        <v>453</v>
      </c>
      <c r="J695" t="n">
        <v>326</v>
      </c>
      <c r="K695" t="n">
        <v>1122.646502835539</v>
      </c>
      <c r="L695" t="n">
        <v>1168.468809073724</v>
      </c>
      <c r="M695">
        <f>2*SQRT(K695/PI())</f>
        <v/>
      </c>
      <c r="N695">
        <f>2*SQRT(L695/PI())</f>
        <v/>
      </c>
      <c r="O695" t="inlineStr">
        <is>
          <t>59(6)-P01</t>
        </is>
      </c>
      <c r="P695" t="inlineStr">
        <is>
          <t>是</t>
        </is>
      </c>
      <c r="Q695" t="inlineStr">
        <is>
          <t>auto_pipeline;review_png_green</t>
        </is>
      </c>
      <c r="R695" t="inlineStr">
        <is>
          <t>样品59</t>
        </is>
      </c>
    </row>
    <row r="696">
      <c r="A696" t="n">
        <v>695</v>
      </c>
      <c r="B696" t="inlineStr">
        <is>
          <t>59 (6).tif</t>
        </is>
      </c>
      <c r="C696" t="inlineStr">
        <is>
          <t>59(6)-V02</t>
        </is>
      </c>
      <c r="D696" t="n">
        <v>2</v>
      </c>
      <c r="E696" t="inlineStr">
        <is>
          <t>primary</t>
        </is>
      </c>
      <c r="F696" t="n">
        <v>558.0340264650283</v>
      </c>
      <c r="G696">
        <f>2*SQRT(F696/PI())</f>
        <v/>
      </c>
      <c r="H696" t="n">
        <v>88.61885858618695</v>
      </c>
      <c r="I696" t="n">
        <v>599</v>
      </c>
      <c r="J696" t="n">
        <v>414</v>
      </c>
      <c r="K696" t="n">
        <v>546.8733459357278</v>
      </c>
      <c r="L696" t="n">
        <v>569.1947069943288</v>
      </c>
      <c r="M696">
        <f>2*SQRT(K696/PI())</f>
        <v/>
      </c>
      <c r="N696">
        <f>2*SQRT(L696/PI())</f>
        <v/>
      </c>
      <c r="O696" t="inlineStr">
        <is>
          <t>59(6)-P01</t>
        </is>
      </c>
      <c r="P696" t="inlineStr">
        <is>
          <t>是</t>
        </is>
      </c>
      <c r="Q696" t="inlineStr">
        <is>
          <t>auto_pipeline;review_png_green</t>
        </is>
      </c>
      <c r="R696" t="inlineStr">
        <is>
          <t>样品59</t>
        </is>
      </c>
    </row>
    <row r="697">
      <c r="A697" t="n">
        <v>696</v>
      </c>
      <c r="B697" t="inlineStr">
        <is>
          <t>59 (7).tif</t>
        </is>
      </c>
      <c r="C697" t="inlineStr">
        <is>
          <t>59(7)-V01</t>
        </is>
      </c>
      <c r="D697" t="n">
        <v>1</v>
      </c>
      <c r="E697" t="inlineStr">
        <is>
          <t>primary</t>
        </is>
      </c>
      <c r="F697" t="n">
        <v>793.4782608695652</v>
      </c>
      <c r="G697">
        <f>2*SQRT(F697/PI())</f>
        <v/>
      </c>
      <c r="H697" t="n">
        <v>106.1774568454079</v>
      </c>
      <c r="I697" t="n">
        <v>469</v>
      </c>
      <c r="J697" t="n">
        <v>444</v>
      </c>
      <c r="K697" t="n">
        <v>777.6086956521739</v>
      </c>
      <c r="L697" t="n">
        <v>809.3478260869566</v>
      </c>
      <c r="M697">
        <f>2*SQRT(K697/PI())</f>
        <v/>
      </c>
      <c r="N697">
        <f>2*SQRT(L697/PI())</f>
        <v/>
      </c>
      <c r="P697" t="inlineStr">
        <is>
          <t>是</t>
        </is>
      </c>
      <c r="Q697" t="inlineStr">
        <is>
          <t>auto_pipeline;review_png_green</t>
        </is>
      </c>
      <c r="R697" t="inlineStr">
        <is>
          <t>样品59</t>
        </is>
      </c>
    </row>
    <row r="698">
      <c r="A698" t="n">
        <v>697</v>
      </c>
      <c r="B698" t="inlineStr">
        <is>
          <t>59 (7).tif</t>
        </is>
      </c>
      <c r="C698" t="inlineStr">
        <is>
          <t>59(7)-V02</t>
        </is>
      </c>
      <c r="D698" t="n">
        <v>2</v>
      </c>
      <c r="E698" t="inlineStr">
        <is>
          <t>primary</t>
        </is>
      </c>
      <c r="F698" t="n">
        <v>768.194706994329</v>
      </c>
      <c r="G698">
        <f>2*SQRT(F698/PI())</f>
        <v/>
      </c>
      <c r="H698" t="n">
        <v>104.0781407252602</v>
      </c>
      <c r="I698" t="n">
        <v>945</v>
      </c>
      <c r="J698" t="n">
        <v>343</v>
      </c>
      <c r="K698" t="n">
        <v>752.8308128544423</v>
      </c>
      <c r="L698" t="n">
        <v>783.5586011342156</v>
      </c>
      <c r="M698">
        <f>2*SQRT(K698/PI())</f>
        <v/>
      </c>
      <c r="N698">
        <f>2*SQRT(L698/PI())</f>
        <v/>
      </c>
      <c r="P698" t="inlineStr">
        <is>
          <t>是</t>
        </is>
      </c>
      <c r="Q698" t="inlineStr">
        <is>
          <t>auto_pipeline;review_png_green</t>
        </is>
      </c>
      <c r="R698" t="inlineStr">
        <is>
          <t>样品59</t>
        </is>
      </c>
    </row>
    <row r="699">
      <c r="A699" t="n">
        <v>698</v>
      </c>
      <c r="B699" t="inlineStr">
        <is>
          <t>59 (7).tif</t>
        </is>
      </c>
      <c r="C699" t="inlineStr">
        <is>
          <t>59(7)-V03</t>
        </is>
      </c>
      <c r="D699" t="n">
        <v>3</v>
      </c>
      <c r="E699" t="inlineStr">
        <is>
          <t>primary</t>
        </is>
      </c>
      <c r="F699" t="n">
        <v>560.8931947069943</v>
      </c>
      <c r="G699">
        <f>2*SQRT(F699/PI())</f>
        <v/>
      </c>
      <c r="H699" t="n">
        <v>88.7462034691935</v>
      </c>
      <c r="I699" t="n">
        <v>925</v>
      </c>
      <c r="J699" t="n">
        <v>165</v>
      </c>
      <c r="K699" t="n">
        <v>549.6753308128544</v>
      </c>
      <c r="L699" t="n">
        <v>572.1110586011342</v>
      </c>
      <c r="M699">
        <f>2*SQRT(K699/PI())</f>
        <v/>
      </c>
      <c r="N699">
        <f>2*SQRT(L699/PI())</f>
        <v/>
      </c>
      <c r="P699" t="inlineStr">
        <is>
          <t>是</t>
        </is>
      </c>
      <c r="Q699" t="inlineStr">
        <is>
          <t>auto_pipeline;review_png_green</t>
        </is>
      </c>
      <c r="R699" t="inlineStr">
        <is>
          <t>样品59</t>
        </is>
      </c>
    </row>
    <row r="700">
      <c r="A700" t="n">
        <v>699</v>
      </c>
      <c r="B700" t="inlineStr">
        <is>
          <t>59 (7).tif</t>
        </is>
      </c>
      <c r="C700" t="inlineStr">
        <is>
          <t>59(7)-V04</t>
        </is>
      </c>
      <c r="D700" t="n">
        <v>4</v>
      </c>
      <c r="E700" t="inlineStr">
        <is>
          <t>primary</t>
        </is>
      </c>
      <c r="F700" t="n">
        <v>144.1398865784499</v>
      </c>
      <c r="G700">
        <f>2*SQRT(F700/PI())</f>
        <v/>
      </c>
      <c r="H700" t="n">
        <v>45.61377711918043</v>
      </c>
      <c r="I700" t="n">
        <v>346</v>
      </c>
      <c r="J700" t="n">
        <v>260</v>
      </c>
      <c r="K700" t="n">
        <v>141.2570888468809</v>
      </c>
      <c r="L700" t="n">
        <v>147.0226843100189</v>
      </c>
      <c r="M700">
        <f>2*SQRT(K700/PI())</f>
        <v/>
      </c>
      <c r="N700">
        <f>2*SQRT(L700/PI())</f>
        <v/>
      </c>
      <c r="P700" t="inlineStr">
        <is>
          <t>是</t>
        </is>
      </c>
      <c r="Q700" t="inlineStr">
        <is>
          <t>auto_pipeline;review_png_green</t>
        </is>
      </c>
      <c r="R700" t="inlineStr">
        <is>
          <t>样品59</t>
        </is>
      </c>
    </row>
    <row r="701">
      <c r="A701" t="n">
        <v>700</v>
      </c>
      <c r="B701" t="inlineStr">
        <is>
          <t>59 (7).tif</t>
        </is>
      </c>
      <c r="C701" t="inlineStr">
        <is>
          <t>59(7)-V05</t>
        </is>
      </c>
      <c r="D701" t="n">
        <v>5</v>
      </c>
      <c r="E701" t="inlineStr">
        <is>
          <t>primary</t>
        </is>
      </c>
      <c r="F701" t="n">
        <v>137.5945179584121</v>
      </c>
      <c r="G701">
        <f>2*SQRT(F701/PI())</f>
        <v/>
      </c>
      <c r="H701" t="n">
        <v>48.604507420374</v>
      </c>
      <c r="I701" t="n">
        <v>838</v>
      </c>
      <c r="J701" t="n">
        <v>120</v>
      </c>
      <c r="K701" t="n">
        <v>134.8426275992439</v>
      </c>
      <c r="L701" t="n">
        <v>140.3464083175803</v>
      </c>
      <c r="M701">
        <f>2*SQRT(K701/PI())</f>
        <v/>
      </c>
      <c r="N701">
        <f>2*SQRT(L701/PI())</f>
        <v/>
      </c>
      <c r="P701" t="inlineStr">
        <is>
          <t>是</t>
        </is>
      </c>
      <c r="Q701" t="inlineStr">
        <is>
          <t>auto_pipeline;review_png_green</t>
        </is>
      </c>
      <c r="R701" t="inlineStr">
        <is>
          <t>样品59</t>
        </is>
      </c>
    </row>
    <row r="702">
      <c r="A702" t="n">
        <v>701</v>
      </c>
      <c r="B702" t="inlineStr">
        <is>
          <t>59 (7).tif</t>
        </is>
      </c>
      <c r="C702" t="inlineStr">
        <is>
          <t>59(7)-V06</t>
        </is>
      </c>
      <c r="D702" t="n">
        <v>6</v>
      </c>
      <c r="E702" t="inlineStr">
        <is>
          <t>primary</t>
        </is>
      </c>
      <c r="F702" t="n">
        <v>116.1862003780718</v>
      </c>
      <c r="G702">
        <f>2*SQRT(F702/PI())</f>
        <v/>
      </c>
      <c r="H702" t="n">
        <v>41.54248976189157</v>
      </c>
      <c r="I702" t="n">
        <v>355</v>
      </c>
      <c r="J702" t="n">
        <v>167</v>
      </c>
      <c r="K702" t="n">
        <v>113.8624763705104</v>
      </c>
      <c r="L702" t="n">
        <v>118.5099243856333</v>
      </c>
      <c r="M702">
        <f>2*SQRT(K702/PI())</f>
        <v/>
      </c>
      <c r="N702">
        <f>2*SQRT(L702/PI())</f>
        <v/>
      </c>
      <c r="P702" t="inlineStr">
        <is>
          <t>是</t>
        </is>
      </c>
      <c r="Q702" t="inlineStr">
        <is>
          <t>auto_pipeline;review_png_green</t>
        </is>
      </c>
      <c r="R702" t="inlineStr">
        <is>
          <t>样品59</t>
        </is>
      </c>
    </row>
    <row r="703">
      <c r="A703" t="n">
        <v>702</v>
      </c>
      <c r="B703" t="inlineStr">
        <is>
          <t>59 (8).tif</t>
        </is>
      </c>
      <c r="C703" t="inlineStr">
        <is>
          <t>59(8)-V01</t>
        </is>
      </c>
      <c r="D703" t="n">
        <v>1</v>
      </c>
      <c r="E703" t="inlineStr">
        <is>
          <t>primary</t>
        </is>
      </c>
      <c r="F703" t="n">
        <v>876.7958412098299</v>
      </c>
      <c r="G703">
        <f>2*SQRT(F703/PI())</f>
        <v/>
      </c>
      <c r="H703" t="n">
        <v>111.2456543030946</v>
      </c>
      <c r="I703" t="n">
        <v>433</v>
      </c>
      <c r="J703" t="n">
        <v>442</v>
      </c>
      <c r="K703" t="n">
        <v>859.2599243856332</v>
      </c>
      <c r="L703" t="n">
        <v>894.3317580340265</v>
      </c>
      <c r="M703">
        <f>2*SQRT(K703/PI())</f>
        <v/>
      </c>
      <c r="N703">
        <f>2*SQRT(L703/PI())</f>
        <v/>
      </c>
      <c r="O703" t="inlineStr">
        <is>
          <t>59(8)-P01</t>
        </is>
      </c>
      <c r="P703" t="inlineStr">
        <is>
          <t>是</t>
        </is>
      </c>
      <c r="Q703" t="inlineStr">
        <is>
          <t>auto_pipeline;review_png_green</t>
        </is>
      </c>
      <c r="R703" t="inlineStr">
        <is>
          <t>样品59</t>
        </is>
      </c>
    </row>
    <row r="704">
      <c r="A704" t="n">
        <v>703</v>
      </c>
      <c r="B704" t="inlineStr">
        <is>
          <t>59 (8).tif</t>
        </is>
      </c>
      <c r="C704" t="inlineStr">
        <is>
          <t>59(8)-V02</t>
        </is>
      </c>
      <c r="D704" t="n">
        <v>2</v>
      </c>
      <c r="E704" t="inlineStr">
        <is>
          <t>primary</t>
        </is>
      </c>
      <c r="F704" t="n">
        <v>844.234404536862</v>
      </c>
      <c r="G704">
        <f>2*SQRT(F704/PI())</f>
        <v/>
      </c>
      <c r="H704" t="n">
        <v>108.8916484169338</v>
      </c>
      <c r="I704" t="n">
        <v>559</v>
      </c>
      <c r="J704" t="n">
        <v>314</v>
      </c>
      <c r="K704" t="n">
        <v>827.3497164461248</v>
      </c>
      <c r="L704" t="n">
        <v>861.1190926275992</v>
      </c>
      <c r="M704">
        <f>2*SQRT(K704/PI())</f>
        <v/>
      </c>
      <c r="N704">
        <f>2*SQRT(L704/PI())</f>
        <v/>
      </c>
      <c r="O704" t="inlineStr">
        <is>
          <t>59(8)-P01</t>
        </is>
      </c>
      <c r="P704" t="inlineStr">
        <is>
          <t>是</t>
        </is>
      </c>
      <c r="Q704" t="inlineStr">
        <is>
          <t>auto_pipeline;review_png_green</t>
        </is>
      </c>
      <c r="R704" t="inlineStr">
        <is>
          <t>样品59</t>
        </is>
      </c>
    </row>
    <row r="705">
      <c r="A705" t="n">
        <v>704</v>
      </c>
      <c r="B705" t="inlineStr">
        <is>
          <t>59 (8).tif</t>
        </is>
      </c>
      <c r="C705" t="inlineStr">
        <is>
          <t>59(8)-V03</t>
        </is>
      </c>
      <c r="D705" t="n">
        <v>3</v>
      </c>
      <c r="E705" t="inlineStr">
        <is>
          <t>primary</t>
        </is>
      </c>
      <c r="F705" t="n">
        <v>169.8015122873346</v>
      </c>
      <c r="G705">
        <f>2*SQRT(F705/PI())</f>
        <v/>
      </c>
      <c r="H705" t="n">
        <v>55.43368427649788</v>
      </c>
      <c r="I705" t="n">
        <v>141</v>
      </c>
      <c r="J705" t="n">
        <v>614</v>
      </c>
      <c r="K705" t="n">
        <v>166.4054820415879</v>
      </c>
      <c r="L705" t="n">
        <v>173.1975425330813</v>
      </c>
      <c r="M705">
        <f>2*SQRT(K705/PI())</f>
        <v/>
      </c>
      <c r="N705">
        <f>2*SQRT(L705/PI())</f>
        <v/>
      </c>
      <c r="P705" t="inlineStr">
        <is>
          <t>是</t>
        </is>
      </c>
      <c r="Q705" t="inlineStr">
        <is>
          <t>auto_pipeline;review_png_green</t>
        </is>
      </c>
      <c r="R705" t="inlineStr">
        <is>
          <t>样品59</t>
        </is>
      </c>
    </row>
    <row r="706">
      <c r="A706" t="n">
        <v>705</v>
      </c>
      <c r="B706" t="inlineStr">
        <is>
          <t>59 (8).tif</t>
        </is>
      </c>
      <c r="C706" t="inlineStr">
        <is>
          <t>59(8)-V04</t>
        </is>
      </c>
      <c r="D706" t="n">
        <v>4</v>
      </c>
      <c r="E706" t="inlineStr">
        <is>
          <t>primary</t>
        </is>
      </c>
      <c r="F706" t="n">
        <v>139.3194706994329</v>
      </c>
      <c r="G706">
        <f>2*SQRT(F706/PI())</f>
        <v/>
      </c>
      <c r="H706" t="n">
        <v>45.10439758715422</v>
      </c>
      <c r="I706" t="n">
        <v>336</v>
      </c>
      <c r="J706" t="n">
        <v>92</v>
      </c>
      <c r="K706" t="n">
        <v>136.5330812854442</v>
      </c>
      <c r="L706" t="n">
        <v>142.1058601134216</v>
      </c>
      <c r="M706">
        <f>2*SQRT(K706/PI())</f>
        <v/>
      </c>
      <c r="N706">
        <f>2*SQRT(L706/PI())</f>
        <v/>
      </c>
      <c r="P706" t="inlineStr">
        <is>
          <t>是</t>
        </is>
      </c>
      <c r="Q706" t="inlineStr">
        <is>
          <t>auto_pipeline;review_png_green</t>
        </is>
      </c>
      <c r="R706" t="inlineStr">
        <is>
          <t>样品59</t>
        </is>
      </c>
    </row>
    <row r="707">
      <c r="A707" t="n">
        <v>706</v>
      </c>
      <c r="B707" t="inlineStr">
        <is>
          <t>59 (8).tif</t>
        </is>
      </c>
      <c r="C707" t="inlineStr">
        <is>
          <t>59(8)-V05</t>
        </is>
      </c>
      <c r="D707" t="n">
        <v>5</v>
      </c>
      <c r="E707" t="inlineStr">
        <is>
          <t>primary</t>
        </is>
      </c>
      <c r="F707" t="n">
        <v>135.2788279773157</v>
      </c>
      <c r="G707">
        <f>2*SQRT(F707/PI())</f>
        <v/>
      </c>
      <c r="H707" t="n">
        <v>45.84661792153897</v>
      </c>
      <c r="I707" t="n">
        <v>228</v>
      </c>
      <c r="J707" t="n">
        <v>205</v>
      </c>
      <c r="K707" t="n">
        <v>132.5732514177694</v>
      </c>
      <c r="L707" t="n">
        <v>137.984404536862</v>
      </c>
      <c r="M707">
        <f>2*SQRT(K707/PI())</f>
        <v/>
      </c>
      <c r="N707">
        <f>2*SQRT(L707/PI())</f>
        <v/>
      </c>
      <c r="P707" t="inlineStr">
        <is>
          <t>是</t>
        </is>
      </c>
      <c r="Q707" t="inlineStr">
        <is>
          <t>auto_pipeline;review_png_green</t>
        </is>
      </c>
      <c r="R707" t="inlineStr">
        <is>
          <t>样品59</t>
        </is>
      </c>
    </row>
    <row r="708">
      <c r="A708" t="n">
        <v>707</v>
      </c>
      <c r="B708" t="inlineStr">
        <is>
          <t>59 (8).tif</t>
        </is>
      </c>
      <c r="C708" t="inlineStr">
        <is>
          <t>59(8)-V06</t>
        </is>
      </c>
      <c r="D708" t="n">
        <v>6</v>
      </c>
      <c r="E708" t="inlineStr">
        <is>
          <t>primary</t>
        </is>
      </c>
      <c r="F708" t="n">
        <v>120.5576559546314</v>
      </c>
      <c r="G708">
        <f>2*SQRT(F708/PI())</f>
        <v/>
      </c>
      <c r="H708" t="n">
        <v>43.00508146700652</v>
      </c>
      <c r="I708" t="n">
        <v>919</v>
      </c>
      <c r="J708" t="n">
        <v>395</v>
      </c>
      <c r="K708" t="n">
        <v>118.1465028355388</v>
      </c>
      <c r="L708" t="n">
        <v>122.968809073724</v>
      </c>
      <c r="M708">
        <f>2*SQRT(K708/PI())</f>
        <v/>
      </c>
      <c r="N708">
        <f>2*SQRT(L708/PI())</f>
        <v/>
      </c>
      <c r="P708" t="inlineStr">
        <is>
          <t>是</t>
        </is>
      </c>
      <c r="Q708" t="inlineStr">
        <is>
          <t>auto_pipeline;review_png_green</t>
        </is>
      </c>
      <c r="R708" t="inlineStr">
        <is>
          <t>样品59</t>
        </is>
      </c>
    </row>
    <row r="709">
      <c r="A709" t="n">
        <v>708</v>
      </c>
      <c r="B709" t="inlineStr">
        <is>
          <t>59 (8).tif</t>
        </is>
      </c>
      <c r="C709" t="inlineStr">
        <is>
          <t>59(8)-V07</t>
        </is>
      </c>
      <c r="D709" t="n">
        <v>7</v>
      </c>
      <c r="E709" t="inlineStr">
        <is>
          <t>primary</t>
        </is>
      </c>
      <c r="F709" t="n">
        <v>111.1058601134216</v>
      </c>
      <c r="G709">
        <f>2*SQRT(F709/PI())</f>
        <v/>
      </c>
      <c r="H709" t="n">
        <v>40.90576534685881</v>
      </c>
      <c r="I709" t="n">
        <v>171</v>
      </c>
      <c r="J709" t="n">
        <v>269</v>
      </c>
      <c r="K709" t="n">
        <v>108.8837429111531</v>
      </c>
      <c r="L709" t="n">
        <v>113.32797731569</v>
      </c>
      <c r="M709">
        <f>2*SQRT(K709/PI())</f>
        <v/>
      </c>
      <c r="N709">
        <f>2*SQRT(L709/PI())</f>
        <v/>
      </c>
      <c r="P709" t="inlineStr">
        <is>
          <t>是</t>
        </is>
      </c>
      <c r="Q709" t="inlineStr">
        <is>
          <t>auto_pipeline;review_png_green</t>
        </is>
      </c>
      <c r="R709" t="inlineStr">
        <is>
          <t>样品59</t>
        </is>
      </c>
    </row>
    <row r="710">
      <c r="A710" t="n">
        <v>709</v>
      </c>
      <c r="B710" t="inlineStr">
        <is>
          <t>59 (8).tif</t>
        </is>
      </c>
      <c r="C710" t="inlineStr">
        <is>
          <t>59(8)-V08</t>
        </is>
      </c>
      <c r="D710" t="n">
        <v>8</v>
      </c>
      <c r="E710" t="inlineStr">
        <is>
          <t>primary</t>
        </is>
      </c>
      <c r="F710" t="n">
        <v>109.5463137996219</v>
      </c>
      <c r="G710">
        <f>2*SQRT(F710/PI())</f>
        <v/>
      </c>
      <c r="H710" t="n">
        <v>40.18539397612862</v>
      </c>
      <c r="I710" t="n">
        <v>904</v>
      </c>
      <c r="J710" t="n">
        <v>129</v>
      </c>
      <c r="K710" t="n">
        <v>107.3553875236295</v>
      </c>
      <c r="L710" t="n">
        <v>111.7372400756144</v>
      </c>
      <c r="M710">
        <f>2*SQRT(K710/PI())</f>
        <v/>
      </c>
      <c r="N710">
        <f>2*SQRT(L710/PI())</f>
        <v/>
      </c>
      <c r="P710" t="inlineStr">
        <is>
          <t>是</t>
        </is>
      </c>
      <c r="Q710" t="inlineStr">
        <is>
          <t>auto_pipeline;review_png_green</t>
        </is>
      </c>
      <c r="R710" t="inlineStr">
        <is>
          <t>样品59</t>
        </is>
      </c>
    </row>
    <row r="711">
      <c r="A711" t="n">
        <v>710</v>
      </c>
      <c r="B711" t="inlineStr">
        <is>
          <t>60 (1).tif</t>
        </is>
      </c>
      <c r="C711" t="inlineStr">
        <is>
          <t>60(1)-V01</t>
        </is>
      </c>
      <c r="D711" t="n">
        <v>1</v>
      </c>
      <c r="E711" t="inlineStr">
        <is>
          <t>primary</t>
        </is>
      </c>
      <c r="F711" t="n">
        <v>705.6710775047259</v>
      </c>
      <c r="G711">
        <f>2*SQRT(F711/PI())</f>
        <v/>
      </c>
      <c r="H711" t="n">
        <v>99.62481871895167</v>
      </c>
      <c r="I711" t="n">
        <v>468</v>
      </c>
      <c r="J711" t="n">
        <v>308</v>
      </c>
      <c r="K711" t="n">
        <v>691.5576559546313</v>
      </c>
      <c r="L711" t="n">
        <v>719.7844990548205</v>
      </c>
      <c r="M711">
        <f>2*SQRT(K711/PI())</f>
        <v/>
      </c>
      <c r="N711">
        <f>2*SQRT(L711/PI())</f>
        <v/>
      </c>
      <c r="O711" t="inlineStr">
        <is>
          <t>60(1)-P01</t>
        </is>
      </c>
      <c r="P711" t="inlineStr">
        <is>
          <t>是</t>
        </is>
      </c>
      <c r="Q711" t="inlineStr">
        <is>
          <t>auto_pipeline;review_png_green</t>
        </is>
      </c>
      <c r="R711" t="inlineStr">
        <is>
          <t>样品60</t>
        </is>
      </c>
    </row>
    <row r="712">
      <c r="A712" t="n">
        <v>711</v>
      </c>
      <c r="B712" t="inlineStr">
        <is>
          <t>60 (1).tif</t>
        </is>
      </c>
      <c r="C712" t="inlineStr">
        <is>
          <t>60(1)-V02</t>
        </is>
      </c>
      <c r="D712" t="n">
        <v>2</v>
      </c>
      <c r="E712" t="inlineStr">
        <is>
          <t>primary</t>
        </is>
      </c>
      <c r="F712" t="n">
        <v>686.4366729678638</v>
      </c>
      <c r="G712">
        <f>2*SQRT(F712/PI())</f>
        <v/>
      </c>
      <c r="H712" t="n">
        <v>98.14037805018218</v>
      </c>
      <c r="I712" t="n">
        <v>535</v>
      </c>
      <c r="J712" t="n">
        <v>442</v>
      </c>
      <c r="K712" t="n">
        <v>672.7079395085066</v>
      </c>
      <c r="L712" t="n">
        <v>700.1654064272211</v>
      </c>
      <c r="M712">
        <f>2*SQRT(K712/PI())</f>
        <v/>
      </c>
      <c r="N712">
        <f>2*SQRT(L712/PI())</f>
        <v/>
      </c>
      <c r="O712" t="inlineStr">
        <is>
          <t>60(1)-P01</t>
        </is>
      </c>
      <c r="P712" t="inlineStr">
        <is>
          <t>是</t>
        </is>
      </c>
      <c r="Q712" t="inlineStr">
        <is>
          <t>auto_pipeline;review_png_green</t>
        </is>
      </c>
      <c r="R712" t="inlineStr">
        <is>
          <t>样品60</t>
        </is>
      </c>
    </row>
    <row r="713">
      <c r="A713" t="n">
        <v>712</v>
      </c>
      <c r="B713" t="inlineStr">
        <is>
          <t>60 (1).tif</t>
        </is>
      </c>
      <c r="C713" t="inlineStr">
        <is>
          <t>60(1)-V03</t>
        </is>
      </c>
      <c r="D713" t="n">
        <v>3</v>
      </c>
      <c r="E713" t="inlineStr">
        <is>
          <t>primary</t>
        </is>
      </c>
      <c r="F713" t="n">
        <v>241.6824196597354</v>
      </c>
      <c r="G713">
        <f>2*SQRT(F713/PI())</f>
        <v/>
      </c>
      <c r="H713" t="n">
        <v>68.40786674748296</v>
      </c>
      <c r="I713" t="n">
        <v>114</v>
      </c>
      <c r="J713" t="n">
        <v>241</v>
      </c>
      <c r="K713" t="n">
        <v>236.8487712665406</v>
      </c>
      <c r="L713" t="n">
        <v>246.5160680529301</v>
      </c>
      <c r="M713">
        <f>2*SQRT(K713/PI())</f>
        <v/>
      </c>
      <c r="N713">
        <f>2*SQRT(L713/PI())</f>
        <v/>
      </c>
      <c r="P713" t="inlineStr">
        <is>
          <t>是</t>
        </is>
      </c>
      <c r="Q713" t="inlineStr">
        <is>
          <t>auto_pipeline;review_png_green</t>
        </is>
      </c>
      <c r="R713" t="inlineStr">
        <is>
          <t>样品60</t>
        </is>
      </c>
    </row>
    <row r="714">
      <c r="A714" t="n">
        <v>713</v>
      </c>
      <c r="B714" t="inlineStr">
        <is>
          <t>60 (1).tif</t>
        </is>
      </c>
      <c r="C714" t="inlineStr">
        <is>
          <t>60(1)-V04</t>
        </is>
      </c>
      <c r="D714" t="n">
        <v>4</v>
      </c>
      <c r="E714" t="inlineStr">
        <is>
          <t>primary</t>
        </is>
      </c>
      <c r="F714" t="n">
        <v>160.2079395085066</v>
      </c>
      <c r="G714">
        <f>2*SQRT(F714/PI())</f>
        <v/>
      </c>
      <c r="H714" t="n">
        <v>51.86802755231442</v>
      </c>
      <c r="I714" t="n">
        <v>116</v>
      </c>
      <c r="J714" t="n">
        <v>533</v>
      </c>
      <c r="K714" t="n">
        <v>157.0037807183365</v>
      </c>
      <c r="L714" t="n">
        <v>163.4120982986768</v>
      </c>
      <c r="M714">
        <f>2*SQRT(K714/PI())</f>
        <v/>
      </c>
      <c r="N714">
        <f>2*SQRT(L714/PI())</f>
        <v/>
      </c>
      <c r="P714" t="inlineStr">
        <is>
          <t>是</t>
        </is>
      </c>
      <c r="Q714" t="inlineStr">
        <is>
          <t>auto_pipeline;review_png_green</t>
        </is>
      </c>
      <c r="R714" t="inlineStr">
        <is>
          <t>样品60</t>
        </is>
      </c>
    </row>
    <row r="715">
      <c r="A715" t="n">
        <v>714</v>
      </c>
      <c r="B715" t="inlineStr">
        <is>
          <t>60 (1).tif</t>
        </is>
      </c>
      <c r="C715" t="inlineStr">
        <is>
          <t>60(1)-V05</t>
        </is>
      </c>
      <c r="D715" t="n">
        <v>5</v>
      </c>
      <c r="E715" t="inlineStr">
        <is>
          <t>primary</t>
        </is>
      </c>
      <c r="F715" t="n">
        <v>159.9716446124764</v>
      </c>
      <c r="G715">
        <f>2*SQRT(F715/PI())</f>
        <v/>
      </c>
      <c r="H715" t="n">
        <v>51.95542340693267</v>
      </c>
      <c r="I715" t="n">
        <v>916</v>
      </c>
      <c r="J715" t="n">
        <v>196</v>
      </c>
      <c r="K715" t="n">
        <v>156.7722117202269</v>
      </c>
      <c r="L715" t="n">
        <v>163.1710775047259</v>
      </c>
      <c r="M715">
        <f>2*SQRT(K715/PI())</f>
        <v/>
      </c>
      <c r="N715">
        <f>2*SQRT(L715/PI())</f>
        <v/>
      </c>
      <c r="P715" t="inlineStr">
        <is>
          <t>是</t>
        </is>
      </c>
      <c r="Q715" t="inlineStr">
        <is>
          <t>auto_pipeline;review_png_green</t>
        </is>
      </c>
      <c r="R715" t="inlineStr">
        <is>
          <t>样品60</t>
        </is>
      </c>
    </row>
    <row r="716">
      <c r="A716" t="n">
        <v>715</v>
      </c>
      <c r="B716" t="inlineStr">
        <is>
          <t>60 (1).tif</t>
        </is>
      </c>
      <c r="C716" t="inlineStr">
        <is>
          <t>60(1)-V06</t>
        </is>
      </c>
      <c r="D716" t="n">
        <v>6</v>
      </c>
      <c r="E716" t="inlineStr">
        <is>
          <t>primary</t>
        </is>
      </c>
      <c r="F716" t="n">
        <v>150.5671077504726</v>
      </c>
      <c r="G716">
        <f>2*SQRT(F716/PI())</f>
        <v/>
      </c>
      <c r="H716" t="n">
        <v>46.22865257055863</v>
      </c>
      <c r="I716" t="n">
        <v>356</v>
      </c>
      <c r="J716" t="n">
        <v>248</v>
      </c>
      <c r="K716" t="n">
        <v>147.5557655954631</v>
      </c>
      <c r="L716" t="n">
        <v>153.578449905482</v>
      </c>
      <c r="M716">
        <f>2*SQRT(K716/PI())</f>
        <v/>
      </c>
      <c r="N716">
        <f>2*SQRT(L716/PI())</f>
        <v/>
      </c>
      <c r="P716" t="inlineStr">
        <is>
          <t>是</t>
        </is>
      </c>
      <c r="Q716" t="inlineStr">
        <is>
          <t>auto_pipeline;review_png_green</t>
        </is>
      </c>
      <c r="R716" t="inlineStr">
        <is>
          <t>样品60</t>
        </is>
      </c>
    </row>
    <row r="717">
      <c r="A717" t="n">
        <v>716</v>
      </c>
      <c r="B717" t="inlineStr">
        <is>
          <t>60 (1).tif</t>
        </is>
      </c>
      <c r="C717" t="inlineStr">
        <is>
          <t>60(1)-V07</t>
        </is>
      </c>
      <c r="D717" t="n">
        <v>7</v>
      </c>
      <c r="E717" t="inlineStr">
        <is>
          <t>primary</t>
        </is>
      </c>
      <c r="F717" t="n">
        <v>136.2712665406427</v>
      </c>
      <c r="G717">
        <f>2*SQRT(F717/PI())</f>
        <v/>
      </c>
      <c r="H717" t="n">
        <v>46.71618313893028</v>
      </c>
      <c r="I717" t="n">
        <v>60</v>
      </c>
      <c r="J717" t="n">
        <v>447</v>
      </c>
      <c r="K717" t="n">
        <v>133.5458412098299</v>
      </c>
      <c r="L717" t="n">
        <v>138.9966918714556</v>
      </c>
      <c r="M717">
        <f>2*SQRT(K717/PI())</f>
        <v/>
      </c>
      <c r="N717">
        <f>2*SQRT(L717/PI())</f>
        <v/>
      </c>
      <c r="P717" t="inlineStr">
        <is>
          <t>是</t>
        </is>
      </c>
      <c r="Q717" t="inlineStr">
        <is>
          <t>auto_pipeline;review_png_green</t>
        </is>
      </c>
      <c r="R717" t="inlineStr">
        <is>
          <t>样品60</t>
        </is>
      </c>
    </row>
    <row r="718">
      <c r="A718" t="n">
        <v>717</v>
      </c>
      <c r="B718" t="inlineStr">
        <is>
          <t>60 (1).tif</t>
        </is>
      </c>
      <c r="C718" t="inlineStr">
        <is>
          <t>60(1)-V08</t>
        </is>
      </c>
      <c r="D718" t="n">
        <v>8</v>
      </c>
      <c r="E718" t="inlineStr">
        <is>
          <t>primary</t>
        </is>
      </c>
      <c r="F718" t="n">
        <v>121.4083175803403</v>
      </c>
      <c r="G718">
        <f>2*SQRT(F718/PI())</f>
        <v/>
      </c>
      <c r="H718" t="n">
        <v>46.58883825592373</v>
      </c>
      <c r="I718" t="n">
        <v>408</v>
      </c>
      <c r="J718" t="n">
        <v>414</v>
      </c>
      <c r="K718" t="n">
        <v>118.9801512287335</v>
      </c>
      <c r="L718" t="n">
        <v>123.8364839319471</v>
      </c>
      <c r="M718">
        <f>2*SQRT(K718/PI())</f>
        <v/>
      </c>
      <c r="N718">
        <f>2*SQRT(L718/PI())</f>
        <v/>
      </c>
      <c r="P718" t="inlineStr">
        <is>
          <t>是</t>
        </is>
      </c>
      <c r="Q718" t="inlineStr">
        <is>
          <t>auto_pipeline;review_png_green</t>
        </is>
      </c>
      <c r="R718" t="inlineStr">
        <is>
          <t>样品60</t>
        </is>
      </c>
    </row>
    <row r="719">
      <c r="A719" t="n">
        <v>718</v>
      </c>
      <c r="B719" t="inlineStr">
        <is>
          <t>60 (2).tif</t>
        </is>
      </c>
      <c r="C719" t="inlineStr">
        <is>
          <t>60(2)-V01</t>
        </is>
      </c>
      <c r="D719" t="n">
        <v>1</v>
      </c>
      <c r="E719" t="inlineStr">
        <is>
          <t>primary</t>
        </is>
      </c>
      <c r="F719" t="n">
        <v>867.4385633270322</v>
      </c>
      <c r="G719">
        <f>2*SQRT(F719/PI())</f>
        <v/>
      </c>
      <c r="H719" t="n">
        <v>110.3760890857033</v>
      </c>
      <c r="I719" t="n">
        <v>417</v>
      </c>
      <c r="J719" t="n">
        <v>356</v>
      </c>
      <c r="K719" t="n">
        <v>850.0897920604915</v>
      </c>
      <c r="L719" t="n">
        <v>884.7873345935728</v>
      </c>
      <c r="M719">
        <f>2*SQRT(K719/PI())</f>
        <v/>
      </c>
      <c r="N719">
        <f>2*SQRT(L719/PI())</f>
        <v/>
      </c>
      <c r="O719" t="inlineStr">
        <is>
          <t>60(2)-P01</t>
        </is>
      </c>
      <c r="P719" t="inlineStr">
        <is>
          <t>是</t>
        </is>
      </c>
      <c r="Q719" t="inlineStr">
        <is>
          <t>auto_pipeline;review_png_green</t>
        </is>
      </c>
      <c r="R719" t="inlineStr">
        <is>
          <t>样品60</t>
        </is>
      </c>
    </row>
    <row r="720">
      <c r="A720" t="n">
        <v>719</v>
      </c>
      <c r="B720" t="inlineStr">
        <is>
          <t>60 (2).tif</t>
        </is>
      </c>
      <c r="C720" t="inlineStr">
        <is>
          <t>60(2)-V02</t>
        </is>
      </c>
      <c r="D720" t="n">
        <v>2</v>
      </c>
      <c r="E720" t="inlineStr">
        <is>
          <t>primary</t>
        </is>
      </c>
      <c r="F720" t="n">
        <v>779.4896030245746</v>
      </c>
      <c r="G720">
        <f>2*SQRT(F720/PI())</f>
        <v/>
      </c>
      <c r="H720" t="n">
        <v>104.4383264106253</v>
      </c>
      <c r="I720" t="n">
        <v>570</v>
      </c>
      <c r="J720" t="n">
        <v>386</v>
      </c>
      <c r="K720" t="n">
        <v>763.8998109640831</v>
      </c>
      <c r="L720" t="n">
        <v>795.0793950850662</v>
      </c>
      <c r="M720">
        <f>2*SQRT(K720/PI())</f>
        <v/>
      </c>
      <c r="N720">
        <f>2*SQRT(L720/PI())</f>
        <v/>
      </c>
      <c r="O720" t="inlineStr">
        <is>
          <t>60(2)-P01</t>
        </is>
      </c>
      <c r="P720" t="inlineStr">
        <is>
          <t>是</t>
        </is>
      </c>
      <c r="Q720" t="inlineStr">
        <is>
          <t>auto_pipeline;review_png_green</t>
        </is>
      </c>
      <c r="R720" t="inlineStr">
        <is>
          <t>样品60</t>
        </is>
      </c>
    </row>
    <row r="721">
      <c r="A721" t="n">
        <v>720</v>
      </c>
      <c r="B721" t="inlineStr">
        <is>
          <t>60 (2).tif</t>
        </is>
      </c>
      <c r="C721" t="inlineStr">
        <is>
          <t>60(2)-V03</t>
        </is>
      </c>
      <c r="D721" t="n">
        <v>3</v>
      </c>
      <c r="E721" t="inlineStr">
        <is>
          <t>primary</t>
        </is>
      </c>
      <c r="F721" t="n">
        <v>652.4574669187145</v>
      </c>
      <c r="G721">
        <f>2*SQRT(F721/PI())</f>
        <v/>
      </c>
      <c r="H721" t="n">
        <v>95.78637216402136</v>
      </c>
      <c r="I721" t="n">
        <v>759</v>
      </c>
      <c r="J721" t="n">
        <v>424</v>
      </c>
      <c r="K721" t="n">
        <v>639.4083175803403</v>
      </c>
      <c r="L721" t="n">
        <v>665.5066162570888</v>
      </c>
      <c r="M721">
        <f>2*SQRT(K721/PI())</f>
        <v/>
      </c>
      <c r="N721">
        <f>2*SQRT(L721/PI())</f>
        <v/>
      </c>
      <c r="P721" t="inlineStr">
        <is>
          <t>是</t>
        </is>
      </c>
      <c r="Q721" t="inlineStr">
        <is>
          <t>auto_pipeline;review_png_green</t>
        </is>
      </c>
      <c r="R721" t="inlineStr">
        <is>
          <t>样品60</t>
        </is>
      </c>
    </row>
    <row r="722">
      <c r="A722" t="n">
        <v>721</v>
      </c>
      <c r="B722" t="inlineStr">
        <is>
          <t>60 (2).tif</t>
        </is>
      </c>
      <c r="C722" t="inlineStr">
        <is>
          <t>60(2)-V04</t>
        </is>
      </c>
      <c r="D722" t="n">
        <v>4</v>
      </c>
      <c r="E722" t="inlineStr">
        <is>
          <t>primary</t>
        </is>
      </c>
      <c r="F722" t="n">
        <v>588.5396975425331</v>
      </c>
      <c r="G722">
        <f>2*SQRT(F722/PI())</f>
        <v/>
      </c>
      <c r="H722" t="n">
        <v>91.35489912136741</v>
      </c>
      <c r="I722" t="n">
        <v>227</v>
      </c>
      <c r="J722" t="n">
        <v>291</v>
      </c>
      <c r="K722" t="n">
        <v>576.7689035916824</v>
      </c>
      <c r="L722" t="n">
        <v>600.3104914933838</v>
      </c>
      <c r="M722">
        <f>2*SQRT(K722/PI())</f>
        <v/>
      </c>
      <c r="N722">
        <f>2*SQRT(L722/PI())</f>
        <v/>
      </c>
      <c r="P722" t="inlineStr">
        <is>
          <t>是</t>
        </is>
      </c>
      <c r="Q722" t="inlineStr">
        <is>
          <t>auto_pipeline;review_png_green</t>
        </is>
      </c>
      <c r="R722" t="inlineStr">
        <is>
          <t>样品60</t>
        </is>
      </c>
    </row>
    <row r="723">
      <c r="A723" t="n">
        <v>722</v>
      </c>
      <c r="B723" t="inlineStr">
        <is>
          <t>60 (2).tif</t>
        </is>
      </c>
      <c r="C723" t="inlineStr">
        <is>
          <t>60(2)-V05</t>
        </is>
      </c>
      <c r="D723" t="n">
        <v>5</v>
      </c>
      <c r="E723" t="inlineStr">
        <is>
          <t>primary</t>
        </is>
      </c>
      <c r="F723" t="n">
        <v>172.9206049149338</v>
      </c>
      <c r="G723">
        <f>2*SQRT(F723/PI())</f>
        <v/>
      </c>
      <c r="H723" t="n">
        <v>56.25955156658006</v>
      </c>
      <c r="I723" t="n">
        <v>313</v>
      </c>
      <c r="J723" t="n">
        <v>326</v>
      </c>
      <c r="K723" t="n">
        <v>169.4621928166352</v>
      </c>
      <c r="L723" t="n">
        <v>176.3790170132325</v>
      </c>
      <c r="M723">
        <f>2*SQRT(K723/PI())</f>
        <v/>
      </c>
      <c r="N723">
        <f>2*SQRT(L723/PI())</f>
        <v/>
      </c>
      <c r="P723" t="inlineStr">
        <is>
          <t>是</t>
        </is>
      </c>
      <c r="Q723" t="inlineStr">
        <is>
          <t>auto_pipeline;review_png_green</t>
        </is>
      </c>
      <c r="R723" t="inlineStr">
        <is>
          <t>样品60</t>
        </is>
      </c>
    </row>
    <row r="724">
      <c r="A724" t="n">
        <v>723</v>
      </c>
      <c r="B724" t="inlineStr">
        <is>
          <t>60 (2).tif</t>
        </is>
      </c>
      <c r="C724" t="inlineStr">
        <is>
          <t>60(2)-V06</t>
        </is>
      </c>
      <c r="D724" t="n">
        <v>6</v>
      </c>
      <c r="E724" t="inlineStr">
        <is>
          <t>primary</t>
        </is>
      </c>
      <c r="F724" t="n">
        <v>144.0453686200378</v>
      </c>
      <c r="G724">
        <f>2*SQRT(F724/PI())</f>
        <v/>
      </c>
      <c r="H724" t="n">
        <v>57.4275044772936</v>
      </c>
      <c r="I724" t="n">
        <v>463</v>
      </c>
      <c r="J724" t="n">
        <v>125</v>
      </c>
      <c r="K724" t="n">
        <v>141.164461247637</v>
      </c>
      <c r="L724" t="n">
        <v>146.9262759924386</v>
      </c>
      <c r="M724">
        <f>2*SQRT(K724/PI())</f>
        <v/>
      </c>
      <c r="N724">
        <f>2*SQRT(L724/PI())</f>
        <v/>
      </c>
      <c r="P724" t="inlineStr">
        <is>
          <t>是</t>
        </is>
      </c>
      <c r="Q724" t="inlineStr">
        <is>
          <t>auto_pipeline;review_png_green</t>
        </is>
      </c>
      <c r="R724" t="inlineStr">
        <is>
          <t>样品60</t>
        </is>
      </c>
    </row>
    <row r="725">
      <c r="A725" t="n">
        <v>724</v>
      </c>
      <c r="B725" t="inlineStr">
        <is>
          <t>60 (2).tif</t>
        </is>
      </c>
      <c r="C725" t="inlineStr">
        <is>
          <t>60(2)-V07</t>
        </is>
      </c>
      <c r="D725" t="n">
        <v>7</v>
      </c>
      <c r="E725" t="inlineStr">
        <is>
          <t>primary</t>
        </is>
      </c>
      <c r="F725" t="n">
        <v>121.195652173913</v>
      </c>
      <c r="G725">
        <f>2*SQRT(F725/PI())</f>
        <v/>
      </c>
      <c r="H725" t="n">
        <v>45.27544039746989</v>
      </c>
      <c r="I725" t="n">
        <v>319</v>
      </c>
      <c r="J725" t="n">
        <v>196</v>
      </c>
      <c r="K725" t="n">
        <v>118.7717391304348</v>
      </c>
      <c r="L725" t="n">
        <v>123.6195652173913</v>
      </c>
      <c r="M725">
        <f>2*SQRT(K725/PI())</f>
        <v/>
      </c>
      <c r="N725">
        <f>2*SQRT(L725/PI())</f>
        <v/>
      </c>
      <c r="P725" t="inlineStr">
        <is>
          <t>是</t>
        </is>
      </c>
      <c r="Q725" t="inlineStr">
        <is>
          <t>auto_pipeline;review_png_green</t>
        </is>
      </c>
      <c r="R725" t="inlineStr">
        <is>
          <t>样品60</t>
        </is>
      </c>
    </row>
    <row r="726">
      <c r="A726" t="n">
        <v>725</v>
      </c>
      <c r="B726" t="inlineStr">
        <is>
          <t>60 (3).tif</t>
        </is>
      </c>
      <c r="C726" t="inlineStr">
        <is>
          <t>60(3)-V01</t>
        </is>
      </c>
      <c r="D726" t="n">
        <v>1</v>
      </c>
      <c r="E726" t="inlineStr">
        <is>
          <t>primary</t>
        </is>
      </c>
      <c r="F726" t="n">
        <v>923.2277882797731</v>
      </c>
      <c r="G726">
        <f>2*SQRT(F726/PI())</f>
        <v/>
      </c>
      <c r="H726" t="n">
        <v>119.7265657393829</v>
      </c>
      <c r="I726" t="n">
        <v>444</v>
      </c>
      <c r="J726" t="n">
        <v>338</v>
      </c>
      <c r="K726" t="n">
        <v>904.7632325141776</v>
      </c>
      <c r="L726" t="n">
        <v>941.6923440453686</v>
      </c>
      <c r="M726">
        <f>2*SQRT(K726/PI())</f>
        <v/>
      </c>
      <c r="N726">
        <f>2*SQRT(L726/PI())</f>
        <v/>
      </c>
      <c r="O726" t="inlineStr">
        <is>
          <t>60(3)-P01</t>
        </is>
      </c>
      <c r="P726" t="inlineStr">
        <is>
          <t>是</t>
        </is>
      </c>
      <c r="Q726" t="inlineStr">
        <is>
          <t>auto_pipeline;review_png_green</t>
        </is>
      </c>
      <c r="R726" t="inlineStr">
        <is>
          <t>样品60</t>
        </is>
      </c>
    </row>
    <row r="727">
      <c r="A727" t="n">
        <v>726</v>
      </c>
      <c r="B727" t="inlineStr">
        <is>
          <t>60 (3).tif</t>
        </is>
      </c>
      <c r="C727" t="inlineStr">
        <is>
          <t>60(3)-V02</t>
        </is>
      </c>
      <c r="D727" t="n">
        <v>2</v>
      </c>
      <c r="E727" t="inlineStr">
        <is>
          <t>primary</t>
        </is>
      </c>
      <c r="F727" t="n">
        <v>724.952741020794</v>
      </c>
      <c r="G727">
        <f>2*SQRT(F727/PI())</f>
        <v/>
      </c>
      <c r="H727" t="n">
        <v>101.9788246051125</v>
      </c>
      <c r="I727" t="n">
        <v>657</v>
      </c>
      <c r="J727" t="n">
        <v>535</v>
      </c>
      <c r="K727" t="n">
        <v>710.4536862003781</v>
      </c>
      <c r="L727" t="n">
        <v>739.4517958412098</v>
      </c>
      <c r="M727">
        <f>2*SQRT(K727/PI())</f>
        <v/>
      </c>
      <c r="N727">
        <f>2*SQRT(L727/PI())</f>
        <v/>
      </c>
      <c r="P727" t="inlineStr">
        <is>
          <t>是</t>
        </is>
      </c>
      <c r="Q727" t="inlineStr">
        <is>
          <t>auto_pipeline;review_png_green</t>
        </is>
      </c>
      <c r="R727" t="inlineStr">
        <is>
          <t>样品60</t>
        </is>
      </c>
    </row>
    <row r="728">
      <c r="A728" t="n">
        <v>727</v>
      </c>
      <c r="B728" t="inlineStr">
        <is>
          <t>60 (3).tif</t>
        </is>
      </c>
      <c r="C728" t="inlineStr">
        <is>
          <t>60(3)-V03</t>
        </is>
      </c>
      <c r="D728" t="n">
        <v>3</v>
      </c>
      <c r="E728" t="inlineStr">
        <is>
          <t>primary</t>
        </is>
      </c>
      <c r="F728" t="n">
        <v>578.9224952741021</v>
      </c>
      <c r="G728">
        <f>2*SQRT(F728/PI())</f>
        <v/>
      </c>
      <c r="H728" t="n">
        <v>90.35798902096955</v>
      </c>
      <c r="I728" t="n">
        <v>570</v>
      </c>
      <c r="J728" t="n">
        <v>341</v>
      </c>
      <c r="K728" t="n">
        <v>567.34404536862</v>
      </c>
      <c r="L728" t="n">
        <v>590.5009451795842</v>
      </c>
      <c r="M728">
        <f>2*SQRT(K728/PI())</f>
        <v/>
      </c>
      <c r="N728">
        <f>2*SQRT(L728/PI())</f>
        <v/>
      </c>
      <c r="O728" t="inlineStr">
        <is>
          <t>60(3)-P01</t>
        </is>
      </c>
      <c r="P728" t="inlineStr">
        <is>
          <t>是</t>
        </is>
      </c>
      <c r="Q728" t="inlineStr">
        <is>
          <t>auto_pipeline;review_png_green</t>
        </is>
      </c>
      <c r="R728" t="inlineStr">
        <is>
          <t>样品60</t>
        </is>
      </c>
    </row>
    <row r="729">
      <c r="A729" t="n">
        <v>728</v>
      </c>
      <c r="B729" t="inlineStr">
        <is>
          <t>60 (4).tif</t>
        </is>
      </c>
      <c r="C729" t="inlineStr">
        <is>
          <t>60(4)-V01</t>
        </is>
      </c>
      <c r="D729" t="n">
        <v>1</v>
      </c>
      <c r="E729" t="inlineStr">
        <is>
          <t>primary</t>
        </is>
      </c>
      <c r="F729" t="n">
        <v>968.9508506616257</v>
      </c>
      <c r="G729">
        <f>2*SQRT(F729/PI())</f>
        <v/>
      </c>
      <c r="H729" t="n">
        <v>116.9287272121595</v>
      </c>
      <c r="I729" t="n">
        <v>139</v>
      </c>
      <c r="J729" t="n">
        <v>526</v>
      </c>
      <c r="K729" t="n">
        <v>949.5718336483932</v>
      </c>
      <c r="L729" t="n">
        <v>988.3298676748583</v>
      </c>
      <c r="M729">
        <f>2*SQRT(K729/PI())</f>
        <v/>
      </c>
      <c r="N729">
        <f>2*SQRT(L729/PI())</f>
        <v/>
      </c>
      <c r="P729" t="inlineStr">
        <is>
          <t>是</t>
        </is>
      </c>
      <c r="Q729" t="inlineStr">
        <is>
          <t>auto_pipeline;review_png_green</t>
        </is>
      </c>
      <c r="R729" t="inlineStr">
        <is>
          <t>样品60</t>
        </is>
      </c>
    </row>
    <row r="730">
      <c r="A730" t="n">
        <v>729</v>
      </c>
      <c r="B730" t="inlineStr">
        <is>
          <t>60 (4).tif</t>
        </is>
      </c>
      <c r="C730" t="inlineStr">
        <is>
          <t>60(4)-V02</t>
        </is>
      </c>
      <c r="D730" t="n">
        <v>2</v>
      </c>
      <c r="E730" t="inlineStr">
        <is>
          <t>primary</t>
        </is>
      </c>
      <c r="F730" t="n">
        <v>902.81190926276</v>
      </c>
      <c r="G730">
        <f>2*SQRT(F730/PI())</f>
        <v/>
      </c>
      <c r="H730" t="n">
        <v>112.6027500888576</v>
      </c>
      <c r="I730" t="n">
        <v>407</v>
      </c>
      <c r="J730" t="n">
        <v>304</v>
      </c>
      <c r="K730" t="n">
        <v>884.7556710775048</v>
      </c>
      <c r="L730" t="n">
        <v>920.8681474480152</v>
      </c>
      <c r="M730">
        <f>2*SQRT(K730/PI())</f>
        <v/>
      </c>
      <c r="N730">
        <f>2*SQRT(L730/PI())</f>
        <v/>
      </c>
      <c r="O730" t="inlineStr">
        <is>
          <t>60(4)-P01</t>
        </is>
      </c>
      <c r="P730" t="inlineStr">
        <is>
          <t>是</t>
        </is>
      </c>
      <c r="Q730" t="inlineStr">
        <is>
          <t>auto_pipeline;review_png_green</t>
        </is>
      </c>
      <c r="R730" t="inlineStr">
        <is>
          <t>样品60</t>
        </is>
      </c>
    </row>
    <row r="731">
      <c r="A731" t="n">
        <v>730</v>
      </c>
      <c r="B731" t="inlineStr">
        <is>
          <t>60 (4).tif</t>
        </is>
      </c>
      <c r="C731" t="inlineStr">
        <is>
          <t>60(4)-V03</t>
        </is>
      </c>
      <c r="D731" t="n">
        <v>3</v>
      </c>
      <c r="E731" t="inlineStr">
        <is>
          <t>primary</t>
        </is>
      </c>
      <c r="F731" t="n">
        <v>725.6616257088847</v>
      </c>
      <c r="G731">
        <f>2*SQRT(F731/PI())</f>
        <v/>
      </c>
      <c r="H731" t="n">
        <v>100.8545696217081</v>
      </c>
      <c r="I731" t="n">
        <v>565</v>
      </c>
      <c r="J731" t="n">
        <v>364</v>
      </c>
      <c r="K731" t="n">
        <v>711.148393194707</v>
      </c>
      <c r="L731" t="n">
        <v>740.1748582230624</v>
      </c>
      <c r="M731">
        <f>2*SQRT(K731/PI())</f>
        <v/>
      </c>
      <c r="N731">
        <f>2*SQRT(L731/PI())</f>
        <v/>
      </c>
      <c r="O731" t="inlineStr">
        <is>
          <t>60(4)-P01</t>
        </is>
      </c>
      <c r="P731" t="inlineStr">
        <is>
          <t>是</t>
        </is>
      </c>
      <c r="Q731" t="inlineStr">
        <is>
          <t>auto_pipeline;review_png_green</t>
        </is>
      </c>
      <c r="R731" t="inlineStr">
        <is>
          <t>样品60</t>
        </is>
      </c>
    </row>
    <row r="732">
      <c r="A732" t="n">
        <v>731</v>
      </c>
      <c r="B732" t="inlineStr">
        <is>
          <t>60 (4).tif</t>
        </is>
      </c>
      <c r="C732" t="inlineStr">
        <is>
          <t>60(4)-V04</t>
        </is>
      </c>
      <c r="D732" t="n">
        <v>4</v>
      </c>
      <c r="E732" t="inlineStr">
        <is>
          <t>primary</t>
        </is>
      </c>
      <c r="F732" t="n">
        <v>372.7315689981097</v>
      </c>
      <c r="G732">
        <f>2*SQRT(F732/PI())</f>
        <v/>
      </c>
      <c r="H732" t="n">
        <v>73.05408052776171</v>
      </c>
      <c r="I732" t="n">
        <v>313</v>
      </c>
      <c r="J732" t="n">
        <v>600</v>
      </c>
      <c r="K732" t="n">
        <v>365.2769376181474</v>
      </c>
      <c r="L732" t="n">
        <v>380.1862003780719</v>
      </c>
      <c r="M732">
        <f>2*SQRT(K732/PI())</f>
        <v/>
      </c>
      <c r="N732">
        <f>2*SQRT(L732/PI())</f>
        <v/>
      </c>
      <c r="P732" t="inlineStr">
        <is>
          <t>是</t>
        </is>
      </c>
      <c r="Q732" t="inlineStr">
        <is>
          <t>auto_pipeline;review_png_green</t>
        </is>
      </c>
      <c r="R732" t="inlineStr">
        <is>
          <t>样品60</t>
        </is>
      </c>
    </row>
    <row r="733">
      <c r="A733" t="n">
        <v>732</v>
      </c>
      <c r="B733" t="inlineStr">
        <is>
          <t>60 (4).tif</t>
        </is>
      </c>
      <c r="C733" t="inlineStr">
        <is>
          <t>60(4)-V05</t>
        </is>
      </c>
      <c r="D733" t="n">
        <v>5</v>
      </c>
      <c r="E733" t="inlineStr">
        <is>
          <t>primary</t>
        </is>
      </c>
      <c r="F733" t="n">
        <v>193.3601134215501</v>
      </c>
      <c r="G733">
        <f>2*SQRT(F733/PI())</f>
        <v/>
      </c>
      <c r="H733" t="n">
        <v>52.9086355800214</v>
      </c>
      <c r="I733" t="n">
        <v>784</v>
      </c>
      <c r="J733" t="n">
        <v>438</v>
      </c>
      <c r="K733" t="n">
        <v>189.4929111531191</v>
      </c>
      <c r="L733" t="n">
        <v>197.2273156899811</v>
      </c>
      <c r="M733">
        <f>2*SQRT(K733/PI())</f>
        <v/>
      </c>
      <c r="N733">
        <f>2*SQRT(L733/PI())</f>
        <v/>
      </c>
      <c r="P733" t="inlineStr">
        <is>
          <t>是</t>
        </is>
      </c>
      <c r="Q733" t="inlineStr">
        <is>
          <t>auto_pipeline;review_png_green</t>
        </is>
      </c>
      <c r="R733" t="inlineStr">
        <is>
          <t>样品60</t>
        </is>
      </c>
    </row>
    <row r="734">
      <c r="A734" t="n">
        <v>733</v>
      </c>
      <c r="B734" t="inlineStr">
        <is>
          <t>60 (5).tif</t>
        </is>
      </c>
      <c r="C734" t="inlineStr">
        <is>
          <t>60(5)-V01</t>
        </is>
      </c>
      <c r="D734" t="n">
        <v>1</v>
      </c>
      <c r="E734" t="inlineStr">
        <is>
          <t>primary</t>
        </is>
      </c>
      <c r="F734" t="n">
        <v>876.7958412098299</v>
      </c>
      <c r="G734">
        <f>2*SQRT(F734/PI())</f>
        <v/>
      </c>
      <c r="H734" t="n">
        <v>111.3511502224466</v>
      </c>
      <c r="I734" t="n">
        <v>416</v>
      </c>
      <c r="J734" t="n">
        <v>369</v>
      </c>
      <c r="K734" t="n">
        <v>859.2599243856332</v>
      </c>
      <c r="L734" t="n">
        <v>894.3317580340265</v>
      </c>
      <c r="M734">
        <f>2*SQRT(K734/PI())</f>
        <v/>
      </c>
      <c r="N734">
        <f>2*SQRT(L734/PI())</f>
        <v/>
      </c>
      <c r="O734" t="inlineStr">
        <is>
          <t>60(5)-P01</t>
        </is>
      </c>
      <c r="P734" t="inlineStr">
        <is>
          <t>是</t>
        </is>
      </c>
      <c r="Q734" t="inlineStr">
        <is>
          <t>auto_pipeline;review_png_green</t>
        </is>
      </c>
      <c r="R734" t="inlineStr">
        <is>
          <t>样品60</t>
        </is>
      </c>
    </row>
    <row r="735">
      <c r="A735" t="n">
        <v>734</v>
      </c>
      <c r="B735" t="inlineStr">
        <is>
          <t>60 (5).tif</t>
        </is>
      </c>
      <c r="C735" t="inlineStr">
        <is>
          <t>60(5)-V02</t>
        </is>
      </c>
      <c r="D735" t="n">
        <v>2</v>
      </c>
      <c r="E735" t="inlineStr">
        <is>
          <t>primary</t>
        </is>
      </c>
      <c r="F735" t="n">
        <v>597.7788279773157</v>
      </c>
      <c r="G735">
        <f>2*SQRT(F735/PI())</f>
        <v/>
      </c>
      <c r="H735" t="n">
        <v>91.58773992372595</v>
      </c>
      <c r="I735" t="n">
        <v>562</v>
      </c>
      <c r="J735" t="n">
        <v>431</v>
      </c>
      <c r="K735" t="n">
        <v>585.8232514177694</v>
      </c>
      <c r="L735" t="n">
        <v>609.734404536862</v>
      </c>
      <c r="M735">
        <f>2*SQRT(K735/PI())</f>
        <v/>
      </c>
      <c r="N735">
        <f>2*SQRT(L735/PI())</f>
        <v/>
      </c>
      <c r="O735" t="inlineStr">
        <is>
          <t>60(5)-P01</t>
        </is>
      </c>
      <c r="P735" t="inlineStr">
        <is>
          <t>是</t>
        </is>
      </c>
      <c r="Q735" t="inlineStr">
        <is>
          <t>auto_pipeline;review_png_green</t>
        </is>
      </c>
      <c r="R735" t="inlineStr">
        <is>
          <t>样品60</t>
        </is>
      </c>
    </row>
    <row r="736">
      <c r="A736" t="n">
        <v>735</v>
      </c>
      <c r="B736" t="inlineStr">
        <is>
          <t>60 (6).tif</t>
        </is>
      </c>
      <c r="C736" t="inlineStr">
        <is>
          <t>60(6)-V01</t>
        </is>
      </c>
      <c r="D736" t="n">
        <v>1</v>
      </c>
      <c r="E736" t="inlineStr">
        <is>
          <t>primary</t>
        </is>
      </c>
      <c r="F736" t="n">
        <v>1104.017013232514</v>
      </c>
      <c r="G736">
        <f>2*SQRT(F736/PI())</f>
        <v/>
      </c>
      <c r="H736" t="n">
        <v>124.7111162413722</v>
      </c>
      <c r="I736" t="n">
        <v>521</v>
      </c>
      <c r="J736" t="n">
        <v>475</v>
      </c>
      <c r="K736" t="n">
        <v>1081.936672967864</v>
      </c>
      <c r="L736" t="n">
        <v>1126.097353497164</v>
      </c>
      <c r="M736">
        <f>2*SQRT(K736/PI())</f>
        <v/>
      </c>
      <c r="N736">
        <f>2*SQRT(L736/PI())</f>
        <v/>
      </c>
      <c r="O736" t="inlineStr">
        <is>
          <t>60(6)-P01</t>
        </is>
      </c>
      <c r="P736" t="inlineStr">
        <is>
          <t>是</t>
        </is>
      </c>
      <c r="Q736" t="inlineStr">
        <is>
          <t>auto_pipeline;review_png_green</t>
        </is>
      </c>
      <c r="R736" t="inlineStr">
        <is>
          <t>样品60</t>
        </is>
      </c>
    </row>
    <row r="737">
      <c r="A737" t="n">
        <v>736</v>
      </c>
      <c r="B737" t="inlineStr">
        <is>
          <t>60 (6).tif</t>
        </is>
      </c>
      <c r="C737" t="inlineStr">
        <is>
          <t>60(6)-V02</t>
        </is>
      </c>
      <c r="D737" t="n">
        <v>2</v>
      </c>
      <c r="E737" t="inlineStr">
        <is>
          <t>primary</t>
        </is>
      </c>
      <c r="F737" t="n">
        <v>937.6417769376181</v>
      </c>
      <c r="G737">
        <f>2*SQRT(F737/PI())</f>
        <v/>
      </c>
      <c r="H737" t="n">
        <v>115.8263211924097</v>
      </c>
      <c r="I737" t="n">
        <v>192</v>
      </c>
      <c r="J737" t="n">
        <v>275</v>
      </c>
      <c r="K737" t="n">
        <v>918.8889413988658</v>
      </c>
      <c r="L737" t="n">
        <v>956.3946124763705</v>
      </c>
      <c r="M737">
        <f>2*SQRT(K737/PI())</f>
        <v/>
      </c>
      <c r="N737">
        <f>2*SQRT(L737/PI())</f>
        <v/>
      </c>
      <c r="P737" t="inlineStr">
        <is>
          <t>是</t>
        </is>
      </c>
      <c r="Q737" t="inlineStr">
        <is>
          <t>auto_pipeline;review_png_green</t>
        </is>
      </c>
      <c r="R737" t="inlineStr">
        <is>
          <t>样品60</t>
        </is>
      </c>
    </row>
    <row r="738">
      <c r="A738" t="n">
        <v>737</v>
      </c>
      <c r="B738" t="inlineStr">
        <is>
          <t>60 (6).tif</t>
        </is>
      </c>
      <c r="C738" t="inlineStr">
        <is>
          <t>60(6)-V03</t>
        </is>
      </c>
      <c r="D738" t="n">
        <v>3</v>
      </c>
      <c r="E738" t="inlineStr">
        <is>
          <t>primary</t>
        </is>
      </c>
      <c r="F738" t="n">
        <v>890.6190926275992</v>
      </c>
      <c r="G738">
        <f>2*SQRT(F738/PI())</f>
        <v/>
      </c>
      <c r="H738" t="n">
        <v>111.9878746374794</v>
      </c>
      <c r="I738" t="n">
        <v>530</v>
      </c>
      <c r="J738" t="n">
        <v>292</v>
      </c>
      <c r="K738" t="n">
        <v>872.8067107750472</v>
      </c>
      <c r="L738" t="n">
        <v>908.4314744801512</v>
      </c>
      <c r="M738">
        <f>2*SQRT(K738/PI())</f>
        <v/>
      </c>
      <c r="N738">
        <f>2*SQRT(L738/PI())</f>
        <v/>
      </c>
      <c r="O738" t="inlineStr">
        <is>
          <t>60(6)-P01</t>
        </is>
      </c>
      <c r="P738" t="inlineStr">
        <is>
          <t>是</t>
        </is>
      </c>
      <c r="Q738" t="inlineStr">
        <is>
          <t>auto_pipeline;review_png_green</t>
        </is>
      </c>
      <c r="R738" t="inlineStr">
        <is>
          <t>样品60</t>
        </is>
      </c>
    </row>
    <row r="739">
      <c r="A739" t="n">
        <v>738</v>
      </c>
      <c r="B739" t="inlineStr">
        <is>
          <t>60 (6).tif</t>
        </is>
      </c>
      <c r="C739" t="inlineStr">
        <is>
          <t>60(6)-V04</t>
        </is>
      </c>
      <c r="D739" t="n">
        <v>4</v>
      </c>
      <c r="E739" t="inlineStr">
        <is>
          <t>primary</t>
        </is>
      </c>
      <c r="F739" t="n">
        <v>810.9168241965973</v>
      </c>
      <c r="G739">
        <f>2*SQRT(F739/PI())</f>
        <v/>
      </c>
      <c r="H739" t="n">
        <v>106.7923322967861</v>
      </c>
      <c r="I739" t="n">
        <v>246</v>
      </c>
      <c r="J739" t="n">
        <v>70</v>
      </c>
      <c r="K739" t="n">
        <v>794.6984877126654</v>
      </c>
      <c r="L739" t="n">
        <v>827.1351606805292</v>
      </c>
      <c r="M739">
        <f>2*SQRT(K739/PI())</f>
        <v/>
      </c>
      <c r="N739">
        <f>2*SQRT(L739/PI())</f>
        <v/>
      </c>
      <c r="P739" t="inlineStr">
        <is>
          <t>是</t>
        </is>
      </c>
      <c r="Q739" t="inlineStr">
        <is>
          <t>auto_pipeline;review_png_green</t>
        </is>
      </c>
      <c r="R739" t="inlineStr">
        <is>
          <t>样品60</t>
        </is>
      </c>
    </row>
    <row r="740">
      <c r="A740" t="n">
        <v>739</v>
      </c>
      <c r="B740" t="inlineStr">
        <is>
          <t>60 (6).tif</t>
        </is>
      </c>
      <c r="C740" t="inlineStr">
        <is>
          <t>60(6)-V05</t>
        </is>
      </c>
      <c r="D740" t="n">
        <v>5</v>
      </c>
      <c r="E740" t="inlineStr">
        <is>
          <t>primary</t>
        </is>
      </c>
      <c r="F740" t="n">
        <v>492.4858223062382</v>
      </c>
      <c r="G740">
        <f>2*SQRT(F740/PI())</f>
        <v/>
      </c>
      <c r="H740" t="n">
        <v>84.06004066052644</v>
      </c>
      <c r="I740" t="n">
        <v>924</v>
      </c>
      <c r="J740" t="n">
        <v>499</v>
      </c>
      <c r="K740" t="n">
        <v>482.6361058601134</v>
      </c>
      <c r="L740" t="n">
        <v>502.3355387523629</v>
      </c>
      <c r="M740">
        <f>2*SQRT(K740/PI())</f>
        <v/>
      </c>
      <c r="N740">
        <f>2*SQRT(L740/PI())</f>
        <v/>
      </c>
      <c r="P740" t="inlineStr">
        <is>
          <t>是</t>
        </is>
      </c>
      <c r="Q740" t="inlineStr">
        <is>
          <t>auto_pipeline;review_png_green</t>
        </is>
      </c>
      <c r="R740" t="inlineStr">
        <is>
          <t>样品60</t>
        </is>
      </c>
    </row>
    <row r="741">
      <c r="A741" t="n">
        <v>740</v>
      </c>
      <c r="B741" t="inlineStr">
        <is>
          <t>60 (6).tif</t>
        </is>
      </c>
      <c r="C741" t="inlineStr">
        <is>
          <t>60(6)-V06</t>
        </is>
      </c>
      <c r="D741" t="n">
        <v>6</v>
      </c>
      <c r="E741" t="inlineStr">
        <is>
          <t>primary</t>
        </is>
      </c>
      <c r="F741" t="n">
        <v>123.8185255198488</v>
      </c>
      <c r="G741">
        <f>2*SQRT(F741/PI())</f>
        <v/>
      </c>
      <c r="H741" t="n">
        <v>52.82498862432396</v>
      </c>
      <c r="I741" t="n">
        <v>626</v>
      </c>
      <c r="J741" t="n">
        <v>513</v>
      </c>
      <c r="K741" t="n">
        <v>121.3421550094518</v>
      </c>
      <c r="L741" t="n">
        <v>126.2948960302458</v>
      </c>
      <c r="M741">
        <f>2*SQRT(K741/PI())</f>
        <v/>
      </c>
      <c r="N741">
        <f>2*SQRT(L741/PI())</f>
        <v/>
      </c>
      <c r="P741" t="inlineStr">
        <is>
          <t>是</t>
        </is>
      </c>
      <c r="Q741" t="inlineStr">
        <is>
          <t>auto_pipeline;review_png_green</t>
        </is>
      </c>
      <c r="R741" t="inlineStr">
        <is>
          <t>样品60</t>
        </is>
      </c>
    </row>
    <row r="742">
      <c r="A742" t="n">
        <v>741</v>
      </c>
      <c r="B742" t="inlineStr">
        <is>
          <t>60 (7).tif</t>
        </is>
      </c>
      <c r="C742" t="inlineStr">
        <is>
          <t>60(7)-V01</t>
        </is>
      </c>
      <c r="D742" t="n">
        <v>1</v>
      </c>
      <c r="E742" t="inlineStr">
        <is>
          <t>primary</t>
        </is>
      </c>
      <c r="F742" t="n">
        <v>1083.270321361059</v>
      </c>
      <c r="G742">
        <f>2*SQRT(F742/PI())</f>
        <v/>
      </c>
      <c r="H742" t="n">
        <v>138.4749658729719</v>
      </c>
      <c r="I742" t="n">
        <v>530</v>
      </c>
      <c r="J742" t="n">
        <v>378</v>
      </c>
      <c r="K742" t="n">
        <v>1061.604914933838</v>
      </c>
      <c r="L742" t="n">
        <v>1104.93572778828</v>
      </c>
      <c r="M742">
        <f>2*SQRT(K742/PI())</f>
        <v/>
      </c>
      <c r="N742">
        <f>2*SQRT(L742/PI())</f>
        <v/>
      </c>
      <c r="P742" t="inlineStr">
        <is>
          <t>是</t>
        </is>
      </c>
      <c r="Q742" t="inlineStr">
        <is>
          <t>auto_pipeline;review_png_green</t>
        </is>
      </c>
      <c r="R742" t="inlineStr">
        <is>
          <t>样品60</t>
        </is>
      </c>
    </row>
    <row r="743">
      <c r="A743" t="n">
        <v>742</v>
      </c>
      <c r="B743" t="inlineStr">
        <is>
          <t>60 (7).tif</t>
        </is>
      </c>
      <c r="C743" t="inlineStr">
        <is>
          <t>60(7)-V02</t>
        </is>
      </c>
      <c r="D743" t="n">
        <v>2</v>
      </c>
      <c r="E743" t="inlineStr">
        <is>
          <t>primary</t>
        </is>
      </c>
      <c r="F743" t="n">
        <v>578.6862003780718</v>
      </c>
      <c r="G743">
        <f>2*SQRT(F743/PI())</f>
        <v/>
      </c>
      <c r="H743" t="n">
        <v>90.10329925495645</v>
      </c>
      <c r="I743" t="n">
        <v>73</v>
      </c>
      <c r="J743" t="n">
        <v>381</v>
      </c>
      <c r="K743" t="n">
        <v>567.1124763705104</v>
      </c>
      <c r="L743" t="n">
        <v>590.2599243856332</v>
      </c>
      <c r="M743">
        <f>2*SQRT(K743/PI())</f>
        <v/>
      </c>
      <c r="N743">
        <f>2*SQRT(L743/PI())</f>
        <v/>
      </c>
      <c r="P743" t="inlineStr">
        <is>
          <t>是</t>
        </is>
      </c>
      <c r="Q743" t="inlineStr">
        <is>
          <t>auto_pipeline;review_png_green</t>
        </is>
      </c>
      <c r="R743" t="inlineStr">
        <is>
          <t>样品60</t>
        </is>
      </c>
    </row>
    <row r="744">
      <c r="A744" t="n">
        <v>743</v>
      </c>
      <c r="B744" t="inlineStr">
        <is>
          <t>60 (7).tif</t>
        </is>
      </c>
      <c r="C744" t="inlineStr">
        <is>
          <t>60(7)-V03</t>
        </is>
      </c>
      <c r="D744" t="n">
        <v>3</v>
      </c>
      <c r="E744" t="inlineStr">
        <is>
          <t>primary</t>
        </is>
      </c>
      <c r="F744" t="n">
        <v>427.5519848771266</v>
      </c>
      <c r="G744">
        <f>2*SQRT(F744/PI())</f>
        <v/>
      </c>
      <c r="H744" t="n">
        <v>80.73097363762233</v>
      </c>
      <c r="I744" t="n">
        <v>658</v>
      </c>
      <c r="J744" t="n">
        <v>117</v>
      </c>
      <c r="K744" t="n">
        <v>419.0009451795841</v>
      </c>
      <c r="L744" t="n">
        <v>436.1030245746692</v>
      </c>
      <c r="M744">
        <f>2*SQRT(K744/PI())</f>
        <v/>
      </c>
      <c r="N744">
        <f>2*SQRT(L744/PI())</f>
        <v/>
      </c>
      <c r="P744" t="inlineStr">
        <is>
          <t>是</t>
        </is>
      </c>
      <c r="Q744" t="inlineStr">
        <is>
          <t>auto_pipeline;review_png_green</t>
        </is>
      </c>
      <c r="R744" t="inlineStr">
        <is>
          <t>样品60</t>
        </is>
      </c>
    </row>
    <row r="745">
      <c r="A745" t="n">
        <v>744</v>
      </c>
      <c r="B745" t="inlineStr">
        <is>
          <t>60 (7).tif</t>
        </is>
      </c>
      <c r="C745" t="inlineStr">
        <is>
          <t>60(7)-V04</t>
        </is>
      </c>
      <c r="D745" t="n">
        <v>4</v>
      </c>
      <c r="E745" t="inlineStr">
        <is>
          <t>primary</t>
        </is>
      </c>
      <c r="F745" t="n">
        <v>333.1758034026465</v>
      </c>
      <c r="G745">
        <f>2*SQRT(F745/PI())</f>
        <v/>
      </c>
      <c r="H745" t="n">
        <v>68.60075852145319</v>
      </c>
      <c r="I745" t="n">
        <v>283</v>
      </c>
      <c r="J745" t="n">
        <v>328</v>
      </c>
      <c r="K745" t="n">
        <v>326.5122873345936</v>
      </c>
      <c r="L745" t="n">
        <v>339.8393194706995</v>
      </c>
      <c r="M745">
        <f>2*SQRT(K745/PI())</f>
        <v/>
      </c>
      <c r="N745">
        <f>2*SQRT(L745/PI())</f>
        <v/>
      </c>
      <c r="P745" t="inlineStr">
        <is>
          <t>是</t>
        </is>
      </c>
      <c r="Q745" t="inlineStr">
        <is>
          <t>auto_pipeline;review_png_green</t>
        </is>
      </c>
      <c r="R745" t="inlineStr">
        <is>
          <t>样品60</t>
        </is>
      </c>
    </row>
    <row r="746">
      <c r="A746" t="n">
        <v>745</v>
      </c>
      <c r="B746" t="inlineStr">
        <is>
          <t>60 (7).tif</t>
        </is>
      </c>
      <c r="C746" t="inlineStr">
        <is>
          <t>60(7)-V05</t>
        </is>
      </c>
      <c r="D746" t="n">
        <v>5</v>
      </c>
      <c r="E746" t="inlineStr">
        <is>
          <t>primary</t>
        </is>
      </c>
      <c r="F746" t="n">
        <v>301.2759924385633</v>
      </c>
      <c r="G746">
        <f>2*SQRT(F746/PI())</f>
        <v/>
      </c>
      <c r="H746" t="n">
        <v>66.24675263529238</v>
      </c>
      <c r="I746" t="n">
        <v>879</v>
      </c>
      <c r="J746" t="n">
        <v>547</v>
      </c>
      <c r="K746" t="n">
        <v>295.250472589792</v>
      </c>
      <c r="L746" t="n">
        <v>307.3015122873346</v>
      </c>
      <c r="M746">
        <f>2*SQRT(K746/PI())</f>
        <v/>
      </c>
      <c r="N746">
        <f>2*SQRT(L746/PI())</f>
        <v/>
      </c>
      <c r="P746" t="inlineStr">
        <is>
          <t>是</t>
        </is>
      </c>
      <c r="Q746" t="inlineStr">
        <is>
          <t>auto_pipeline;review_png_green</t>
        </is>
      </c>
      <c r="R746" t="inlineStr">
        <is>
          <t>样品60</t>
        </is>
      </c>
    </row>
    <row r="747">
      <c r="A747" t="n">
        <v>746</v>
      </c>
      <c r="B747" t="inlineStr">
        <is>
          <t>60 (7).tif</t>
        </is>
      </c>
      <c r="C747" t="inlineStr">
        <is>
          <t>60(7)-V06</t>
        </is>
      </c>
      <c r="D747" t="n">
        <v>6</v>
      </c>
      <c r="E747" t="inlineStr">
        <is>
          <t>primary</t>
        </is>
      </c>
      <c r="F747" t="n">
        <v>212.0982986767486</v>
      </c>
      <c r="G747">
        <f>2*SQRT(F747/PI())</f>
        <v/>
      </c>
      <c r="H747" t="n">
        <v>58.86824721875398</v>
      </c>
      <c r="I747" t="n">
        <v>960</v>
      </c>
      <c r="J747" t="n">
        <v>79</v>
      </c>
      <c r="K747" t="n">
        <v>207.8563327032136</v>
      </c>
      <c r="L747" t="n">
        <v>216.3402646502836</v>
      </c>
      <c r="M747">
        <f>2*SQRT(K747/PI())</f>
        <v/>
      </c>
      <c r="N747">
        <f>2*SQRT(L747/PI())</f>
        <v/>
      </c>
      <c r="P747" t="inlineStr">
        <is>
          <t>是</t>
        </is>
      </c>
      <c r="Q747" t="inlineStr">
        <is>
          <t>auto_pipeline;review_png_green</t>
        </is>
      </c>
      <c r="R747" t="inlineStr">
        <is>
          <t>样品60</t>
        </is>
      </c>
    </row>
    <row r="748">
      <c r="A748" t="n">
        <v>747</v>
      </c>
      <c r="B748" t="inlineStr">
        <is>
          <t>60 (7).tif</t>
        </is>
      </c>
      <c r="C748" t="inlineStr">
        <is>
          <t>60(7)-V07</t>
        </is>
      </c>
      <c r="D748" t="n">
        <v>7</v>
      </c>
      <c r="E748" t="inlineStr">
        <is>
          <t>primary</t>
        </is>
      </c>
      <c r="F748" t="n">
        <v>189.0595463137996</v>
      </c>
      <c r="G748">
        <f>2*SQRT(F748/PI())</f>
        <v/>
      </c>
      <c r="H748" t="n">
        <v>56.5978882882906</v>
      </c>
      <c r="I748" t="n">
        <v>189</v>
      </c>
      <c r="J748" t="n">
        <v>267</v>
      </c>
      <c r="K748" t="n">
        <v>185.2783553875236</v>
      </c>
      <c r="L748" t="n">
        <v>192.8407372400756</v>
      </c>
      <c r="M748">
        <f>2*SQRT(K748/PI())</f>
        <v/>
      </c>
      <c r="N748">
        <f>2*SQRT(L748/PI())</f>
        <v/>
      </c>
      <c r="P748" t="inlineStr">
        <is>
          <t>是</t>
        </is>
      </c>
      <c r="Q748" t="inlineStr">
        <is>
          <t>auto_pipeline;review_png_green</t>
        </is>
      </c>
      <c r="R748" t="inlineStr">
        <is>
          <t>样品60</t>
        </is>
      </c>
    </row>
    <row r="749">
      <c r="A749" t="n">
        <v>748</v>
      </c>
      <c r="B749" t="inlineStr">
        <is>
          <t>60 (8).tif</t>
        </is>
      </c>
      <c r="C749" t="inlineStr">
        <is>
          <t>60(8)-V01</t>
        </is>
      </c>
      <c r="D749" t="n">
        <v>1</v>
      </c>
      <c r="E749" t="inlineStr">
        <is>
          <t>primary</t>
        </is>
      </c>
      <c r="F749" t="n">
        <v>789.9574669187145</v>
      </c>
      <c r="G749">
        <f>2*SQRT(F749/PI())</f>
        <v/>
      </c>
      <c r="H749" t="n">
        <v>105.4352365110231</v>
      </c>
      <c r="I749" t="n">
        <v>436</v>
      </c>
      <c r="J749" t="n">
        <v>309</v>
      </c>
      <c r="K749" t="n">
        <v>774.1583175803403</v>
      </c>
      <c r="L749" t="n">
        <v>805.7566162570888</v>
      </c>
      <c r="M749">
        <f>2*SQRT(K749/PI())</f>
        <v/>
      </c>
      <c r="N749">
        <f>2*SQRT(L749/PI())</f>
        <v/>
      </c>
      <c r="O749" t="inlineStr">
        <is>
          <t>60(8)-P02</t>
        </is>
      </c>
      <c r="P749" t="inlineStr">
        <is>
          <t>是</t>
        </is>
      </c>
      <c r="Q749" t="inlineStr">
        <is>
          <t>auto_pipeline;review_png_green</t>
        </is>
      </c>
      <c r="R749" t="inlineStr">
        <is>
          <t>样品60</t>
        </is>
      </c>
    </row>
    <row r="750">
      <c r="A750" t="n">
        <v>749</v>
      </c>
      <c r="B750" t="inlineStr">
        <is>
          <t>60 (8).tif</t>
        </is>
      </c>
      <c r="C750" t="inlineStr">
        <is>
          <t>60(8)-V02</t>
        </is>
      </c>
      <c r="D750" t="n">
        <v>2</v>
      </c>
      <c r="E750" t="inlineStr">
        <is>
          <t>primary</t>
        </is>
      </c>
      <c r="F750" t="n">
        <v>704.7258979206049</v>
      </c>
      <c r="G750">
        <f>2*SQRT(F750/PI())</f>
        <v/>
      </c>
      <c r="H750" t="n">
        <v>99.62481871895167</v>
      </c>
      <c r="I750" t="n">
        <v>243</v>
      </c>
      <c r="J750" t="n">
        <v>305</v>
      </c>
      <c r="K750" t="n">
        <v>690.6313799621928</v>
      </c>
      <c r="L750" t="n">
        <v>718.820415879017</v>
      </c>
      <c r="M750">
        <f>2*SQRT(K750/PI())</f>
        <v/>
      </c>
      <c r="N750">
        <f>2*SQRT(L750/PI())</f>
        <v/>
      </c>
      <c r="O750" t="inlineStr">
        <is>
          <t>60(8)-P01</t>
        </is>
      </c>
      <c r="P750" t="inlineStr">
        <is>
          <t>是</t>
        </is>
      </c>
      <c r="Q750" t="inlineStr">
        <is>
          <t>auto_pipeline;review_png_green</t>
        </is>
      </c>
      <c r="R750" t="inlineStr">
        <is>
          <t>样品60</t>
        </is>
      </c>
    </row>
    <row r="751">
      <c r="A751" t="n">
        <v>750</v>
      </c>
      <c r="B751" t="inlineStr">
        <is>
          <t>60 (8).tif</t>
        </is>
      </c>
      <c r="C751" t="inlineStr">
        <is>
          <t>60(8)-V03</t>
        </is>
      </c>
      <c r="D751" t="n">
        <v>3</v>
      </c>
      <c r="E751" t="inlineStr">
        <is>
          <t>primary</t>
        </is>
      </c>
      <c r="F751" t="n">
        <v>656.0018903591682</v>
      </c>
      <c r="G751">
        <f>2*SQRT(F751/PI())</f>
        <v/>
      </c>
      <c r="H751" t="n">
        <v>96.04106193003447</v>
      </c>
      <c r="I751" t="n">
        <v>567</v>
      </c>
      <c r="J751" t="n">
        <v>384</v>
      </c>
      <c r="K751" t="n">
        <v>642.8818525519848</v>
      </c>
      <c r="L751" t="n">
        <v>669.1219281663516</v>
      </c>
      <c r="M751">
        <f>2*SQRT(K751/PI())</f>
        <v/>
      </c>
      <c r="N751">
        <f>2*SQRT(L751/PI())</f>
        <v/>
      </c>
      <c r="O751" t="inlineStr">
        <is>
          <t>60(8)-P02</t>
        </is>
      </c>
      <c r="P751" t="inlineStr">
        <is>
          <t>是</t>
        </is>
      </c>
      <c r="Q751" t="inlineStr">
        <is>
          <t>auto_pipeline;review_png_green</t>
        </is>
      </c>
      <c r="R751" t="inlineStr">
        <is>
          <t>样品60</t>
        </is>
      </c>
    </row>
    <row r="752">
      <c r="A752" t="n">
        <v>751</v>
      </c>
      <c r="B752" t="inlineStr">
        <is>
          <t>60 (8).tif</t>
        </is>
      </c>
      <c r="C752" t="inlineStr">
        <is>
          <t>60(8)-V04</t>
        </is>
      </c>
      <c r="D752" t="n">
        <v>4</v>
      </c>
      <c r="E752" t="inlineStr">
        <is>
          <t>primary</t>
        </is>
      </c>
      <c r="F752" t="n">
        <v>533.5066162570888</v>
      </c>
      <c r="G752">
        <f>2*SQRT(F752/PI())</f>
        <v/>
      </c>
      <c r="H752" t="n">
        <v>86.51954246603924</v>
      </c>
      <c r="I752" t="n">
        <v>92</v>
      </c>
      <c r="J752" t="n">
        <v>242</v>
      </c>
      <c r="K752" t="n">
        <v>522.836483931947</v>
      </c>
      <c r="L752" t="n">
        <v>544.1767485822306</v>
      </c>
      <c r="M752">
        <f>2*SQRT(K752/PI())</f>
        <v/>
      </c>
      <c r="N752">
        <f>2*SQRT(L752/PI())</f>
        <v/>
      </c>
      <c r="O752" t="inlineStr">
        <is>
          <t>60(8)-P01</t>
        </is>
      </c>
      <c r="P752" t="inlineStr">
        <is>
          <t>是</t>
        </is>
      </c>
      <c r="Q752" t="inlineStr">
        <is>
          <t>auto_pipeline;review_png_green</t>
        </is>
      </c>
      <c r="R752" t="inlineStr">
        <is>
          <t>样品60</t>
        </is>
      </c>
    </row>
    <row r="753">
      <c r="A753" t="n">
        <v>752</v>
      </c>
      <c r="B753" t="inlineStr">
        <is>
          <t>60 (8).tif</t>
        </is>
      </c>
      <c r="C753" t="inlineStr">
        <is>
          <t>60(8)-V05</t>
        </is>
      </c>
      <c r="D753" t="n">
        <v>5</v>
      </c>
      <c r="E753" t="inlineStr">
        <is>
          <t>primary</t>
        </is>
      </c>
      <c r="F753" t="n">
        <v>166.6351606805293</v>
      </c>
      <c r="G753">
        <f>2*SQRT(F753/PI())</f>
        <v/>
      </c>
      <c r="H753" t="n">
        <v>60.37078795225724</v>
      </c>
      <c r="I753" t="n">
        <v>543</v>
      </c>
      <c r="J753" t="n">
        <v>87</v>
      </c>
      <c r="K753" t="n">
        <v>163.3024574669187</v>
      </c>
      <c r="L753" t="n">
        <v>169.9678638941399</v>
      </c>
      <c r="M753">
        <f>2*SQRT(K753/PI())</f>
        <v/>
      </c>
      <c r="N753">
        <f>2*SQRT(L753/PI())</f>
        <v/>
      </c>
      <c r="P753" t="inlineStr">
        <is>
          <t>是</t>
        </is>
      </c>
      <c r="Q753" t="inlineStr">
        <is>
          <t>auto_pipeline;review_png_green</t>
        </is>
      </c>
      <c r="R753" t="inlineStr">
        <is>
          <t>样品60</t>
        </is>
      </c>
    </row>
    <row r="754">
      <c r="A754" t="n">
        <v>753</v>
      </c>
      <c r="B754" t="inlineStr">
        <is>
          <t>60 (8).tif</t>
        </is>
      </c>
      <c r="C754" t="inlineStr">
        <is>
          <t>60(8)-V06</t>
        </is>
      </c>
      <c r="D754" t="n">
        <v>6</v>
      </c>
      <c r="E754" t="inlineStr">
        <is>
          <t>primary</t>
        </is>
      </c>
      <c r="F754" t="n">
        <v>149.7873345935728</v>
      </c>
      <c r="G754">
        <f>2*SQRT(F754/PI())</f>
        <v/>
      </c>
      <c r="H754" t="n">
        <v>52.25006220133408</v>
      </c>
      <c r="I754" t="n">
        <v>700</v>
      </c>
      <c r="J754" t="n">
        <v>180</v>
      </c>
      <c r="K754" t="n">
        <v>146.7915879017013</v>
      </c>
      <c r="L754" t="n">
        <v>152.7830812854442</v>
      </c>
      <c r="M754">
        <f>2*SQRT(K754/PI())</f>
        <v/>
      </c>
      <c r="N754">
        <f>2*SQRT(L754/PI())</f>
        <v/>
      </c>
      <c r="P754" t="inlineStr">
        <is>
          <t>是</t>
        </is>
      </c>
      <c r="Q754" t="inlineStr">
        <is>
          <t>auto_pipeline;review_png_green</t>
        </is>
      </c>
      <c r="R754" t="inlineStr">
        <is>
          <t>样品60</t>
        </is>
      </c>
    </row>
    <row r="755">
      <c r="A755" t="n">
        <v>754</v>
      </c>
      <c r="B755" t="inlineStr">
        <is>
          <t>60 (8).tif</t>
        </is>
      </c>
      <c r="C755" t="inlineStr">
        <is>
          <t>60(8)-V07</t>
        </is>
      </c>
      <c r="D755" t="n">
        <v>7</v>
      </c>
      <c r="E755" t="inlineStr">
        <is>
          <t>primary</t>
        </is>
      </c>
      <c r="F755" t="n">
        <v>118.5491493383743</v>
      </c>
      <c r="G755">
        <f>2*SQRT(F755/PI())</f>
        <v/>
      </c>
      <c r="H755" t="n">
        <v>56.29950059496838</v>
      </c>
      <c r="I755" t="n">
        <v>196</v>
      </c>
      <c r="J755" t="n">
        <v>72</v>
      </c>
      <c r="K755" t="n">
        <v>116.1781663516068</v>
      </c>
      <c r="L755" t="n">
        <v>120.9201323251418</v>
      </c>
      <c r="M755">
        <f>2*SQRT(K755/PI())</f>
        <v/>
      </c>
      <c r="N755">
        <f>2*SQRT(L755/PI())</f>
        <v/>
      </c>
      <c r="P755" t="inlineStr">
        <is>
          <t>是</t>
        </is>
      </c>
      <c r="Q755" t="inlineStr">
        <is>
          <t>auto_pipeline;review_png_green</t>
        </is>
      </c>
      <c r="R755" t="inlineStr">
        <is>
          <t>样品60</t>
        </is>
      </c>
    </row>
    <row r="756">
      <c r="A756" t="n">
        <v>755</v>
      </c>
      <c r="B756" t="inlineStr">
        <is>
          <t>61 (1).tif</t>
        </is>
      </c>
      <c r="C756" t="inlineStr">
        <is>
          <t>61(1)-V01</t>
        </is>
      </c>
      <c r="D756" t="n">
        <v>1</v>
      </c>
      <c r="E756" t="inlineStr">
        <is>
          <t>primary</t>
        </is>
      </c>
      <c r="F756" t="n">
        <v>674.6691871455577</v>
      </c>
      <c r="G756">
        <f>2*SQRT(F756/PI())</f>
        <v/>
      </c>
      <c r="H756" t="n">
        <v>97.27081283279087</v>
      </c>
      <c r="I756" t="n">
        <v>423</v>
      </c>
      <c r="J756" t="n">
        <v>338</v>
      </c>
      <c r="K756" t="n">
        <v>661.1758034026465</v>
      </c>
      <c r="L756" t="n">
        <v>688.1625708884688</v>
      </c>
      <c r="M756">
        <f>2*SQRT(K756/PI())</f>
        <v/>
      </c>
      <c r="N756">
        <f>2*SQRT(L756/PI())</f>
        <v/>
      </c>
      <c r="P756" t="inlineStr">
        <is>
          <t>是</t>
        </is>
      </c>
      <c r="Q756" t="inlineStr">
        <is>
          <t>auto_pipeline;review_png_green</t>
        </is>
      </c>
      <c r="R756" t="inlineStr">
        <is>
          <t>样品61</t>
        </is>
      </c>
    </row>
    <row r="757">
      <c r="A757" t="n">
        <v>756</v>
      </c>
      <c r="B757" t="inlineStr">
        <is>
          <t>61 (1).tif</t>
        </is>
      </c>
      <c r="C757" t="inlineStr">
        <is>
          <t>61(1)-V02</t>
        </is>
      </c>
      <c r="D757" t="n">
        <v>2</v>
      </c>
      <c r="E757" t="inlineStr">
        <is>
          <t>primary</t>
        </is>
      </c>
      <c r="F757" t="n">
        <v>530.4820415879017</v>
      </c>
      <c r="G757">
        <f>2*SQRT(F757/PI())</f>
        <v/>
      </c>
      <c r="H757" t="n">
        <v>86.77423223205234</v>
      </c>
      <c r="I757" t="n">
        <v>576</v>
      </c>
      <c r="J757" t="n">
        <v>395</v>
      </c>
      <c r="K757" t="n">
        <v>519.8724007561436</v>
      </c>
      <c r="L757" t="n">
        <v>541.0916824196597</v>
      </c>
      <c r="M757">
        <f>2*SQRT(K757/PI())</f>
        <v/>
      </c>
      <c r="N757">
        <f>2*SQRT(L757/PI())</f>
        <v/>
      </c>
      <c r="P757" t="inlineStr">
        <is>
          <t>是</t>
        </is>
      </c>
      <c r="Q757" t="inlineStr">
        <is>
          <t>auto_pipeline;review_png_green</t>
        </is>
      </c>
      <c r="R757" t="inlineStr">
        <is>
          <t>样品61</t>
        </is>
      </c>
    </row>
    <row r="758">
      <c r="A758" t="n">
        <v>757</v>
      </c>
      <c r="B758" t="inlineStr">
        <is>
          <t>61 (1).tif</t>
        </is>
      </c>
      <c r="C758" t="inlineStr">
        <is>
          <t>61(1)-V03</t>
        </is>
      </c>
      <c r="D758" t="n">
        <v>3</v>
      </c>
      <c r="E758" t="inlineStr">
        <is>
          <t>primary</t>
        </is>
      </c>
      <c r="F758" t="n">
        <v>320.7939508506616</v>
      </c>
      <c r="G758">
        <f>2*SQRT(F758/PI())</f>
        <v/>
      </c>
      <c r="H758" t="n">
        <v>67.98588307007499</v>
      </c>
      <c r="I758" t="n">
        <v>945</v>
      </c>
      <c r="J758" t="n">
        <v>310</v>
      </c>
      <c r="K758" t="n">
        <v>314.3780718336484</v>
      </c>
      <c r="L758" t="n">
        <v>327.2098298676749</v>
      </c>
      <c r="M758">
        <f>2*SQRT(K758/PI())</f>
        <v/>
      </c>
      <c r="N758">
        <f>2*SQRT(L758/PI())</f>
        <v/>
      </c>
      <c r="P758" t="inlineStr">
        <is>
          <t>是</t>
        </is>
      </c>
      <c r="Q758" t="inlineStr">
        <is>
          <t>auto_pipeline;review_png_green</t>
        </is>
      </c>
      <c r="R758" t="inlineStr">
        <is>
          <t>样品61</t>
        </is>
      </c>
    </row>
    <row r="759">
      <c r="A759" t="n">
        <v>758</v>
      </c>
      <c r="B759" t="inlineStr">
        <is>
          <t>61 (2).tif</t>
        </is>
      </c>
      <c r="C759" t="inlineStr">
        <is>
          <t>61(2)-V01</t>
        </is>
      </c>
      <c r="D759" t="n">
        <v>1</v>
      </c>
      <c r="E759" t="inlineStr">
        <is>
          <t>primary</t>
        </is>
      </c>
      <c r="F759" t="n">
        <v>617.0132325141777</v>
      </c>
      <c r="G759">
        <f>2*SQRT(F759/PI())</f>
        <v/>
      </c>
      <c r="H759" t="n">
        <v>92.81749082648236</v>
      </c>
      <c r="I759" t="n">
        <v>421</v>
      </c>
      <c r="J759" t="n">
        <v>352</v>
      </c>
      <c r="K759" t="n">
        <v>604.6729678638942</v>
      </c>
      <c r="L759" t="n">
        <v>629.3534971644613</v>
      </c>
      <c r="M759">
        <f>2*SQRT(K759/PI())</f>
        <v/>
      </c>
      <c r="N759">
        <f>2*SQRT(L759/PI())</f>
        <v/>
      </c>
      <c r="P759" t="inlineStr">
        <is>
          <t>是</t>
        </is>
      </c>
      <c r="Q759" t="inlineStr">
        <is>
          <t>auto_pipeline;review_png_green</t>
        </is>
      </c>
      <c r="R759" t="inlineStr">
        <is>
          <t>样品61</t>
        </is>
      </c>
    </row>
    <row r="760">
      <c r="A760" t="n">
        <v>759</v>
      </c>
      <c r="B760" t="inlineStr">
        <is>
          <t>61 (2).tif</t>
        </is>
      </c>
      <c r="C760" t="inlineStr">
        <is>
          <t>61(2)-V02</t>
        </is>
      </c>
      <c r="D760" t="n">
        <v>2</v>
      </c>
      <c r="E760" t="inlineStr">
        <is>
          <t>primary</t>
        </is>
      </c>
      <c r="F760" t="n">
        <v>494.7069943289225</v>
      </c>
      <c r="G760">
        <f>2*SQRT(F760/PI())</f>
        <v/>
      </c>
      <c r="H760" t="n">
        <v>83.55066112850024</v>
      </c>
      <c r="I760" t="n">
        <v>553</v>
      </c>
      <c r="J760" t="n">
        <v>425</v>
      </c>
      <c r="K760" t="n">
        <v>484.8128544423441</v>
      </c>
      <c r="L760" t="n">
        <v>504.601134215501</v>
      </c>
      <c r="M760">
        <f>2*SQRT(K760/PI())</f>
        <v/>
      </c>
      <c r="N760">
        <f>2*SQRT(L760/PI())</f>
        <v/>
      </c>
      <c r="O760" t="inlineStr">
        <is>
          <t>61(2)-P01</t>
        </is>
      </c>
      <c r="P760" t="inlineStr">
        <is>
          <t>是</t>
        </is>
      </c>
      <c r="Q760" t="inlineStr">
        <is>
          <t>auto_pipeline;review_png_green</t>
        </is>
      </c>
      <c r="R760" t="inlineStr">
        <is>
          <t>样品61</t>
        </is>
      </c>
    </row>
    <row r="761">
      <c r="A761" t="n">
        <v>760</v>
      </c>
      <c r="B761" t="inlineStr">
        <is>
          <t>61 (2).tif</t>
        </is>
      </c>
      <c r="C761" t="inlineStr">
        <is>
          <t>61(2)-V03</t>
        </is>
      </c>
      <c r="D761" t="n">
        <v>3</v>
      </c>
      <c r="E761" t="inlineStr">
        <is>
          <t>primary</t>
        </is>
      </c>
      <c r="F761" t="n">
        <v>244.3761814744801</v>
      </c>
      <c r="G761">
        <f>2*SQRT(F761/PI())</f>
        <v/>
      </c>
      <c r="H761" t="n">
        <v>59.43942474282306</v>
      </c>
      <c r="I761" t="n">
        <v>441</v>
      </c>
      <c r="J761" t="n">
        <v>376</v>
      </c>
      <c r="K761" t="n">
        <v>239.4886578449905</v>
      </c>
      <c r="L761" t="n">
        <v>249.2637051039698</v>
      </c>
      <c r="M761">
        <f>2*SQRT(K761/PI())</f>
        <v/>
      </c>
      <c r="N761">
        <f>2*SQRT(L761/PI())</f>
        <v/>
      </c>
      <c r="O761" t="inlineStr">
        <is>
          <t>61(2)-P01</t>
        </is>
      </c>
      <c r="P761" t="inlineStr">
        <is>
          <t>是</t>
        </is>
      </c>
      <c r="Q761" t="inlineStr">
        <is>
          <t>auto_pipeline;review_png_green</t>
        </is>
      </c>
      <c r="R761" t="inlineStr">
        <is>
          <t>样品61</t>
        </is>
      </c>
    </row>
    <row r="762">
      <c r="A762" t="n">
        <v>761</v>
      </c>
      <c r="B762" t="inlineStr">
        <is>
          <t>61 (2).tif</t>
        </is>
      </c>
      <c r="C762" t="inlineStr">
        <is>
          <t>61(2)-V04</t>
        </is>
      </c>
      <c r="D762" t="n">
        <v>4</v>
      </c>
      <c r="E762" t="inlineStr">
        <is>
          <t>primary</t>
        </is>
      </c>
      <c r="F762" t="n">
        <v>116.6351606805293</v>
      </c>
      <c r="G762">
        <f>2*SQRT(F762/PI())</f>
        <v/>
      </c>
      <c r="H762" t="n">
        <v>49.87420735151871</v>
      </c>
      <c r="I762" t="n">
        <v>50</v>
      </c>
      <c r="J762" t="n">
        <v>288</v>
      </c>
      <c r="K762" t="n">
        <v>114.3024574669187</v>
      </c>
      <c r="L762" t="n">
        <v>118.9678638941399</v>
      </c>
      <c r="M762">
        <f>2*SQRT(K762/PI())</f>
        <v/>
      </c>
      <c r="N762">
        <f>2*SQRT(L762/PI())</f>
        <v/>
      </c>
      <c r="P762" t="inlineStr">
        <is>
          <t>是</t>
        </is>
      </c>
      <c r="Q762" t="inlineStr">
        <is>
          <t>auto_pipeline;review_png_green</t>
        </is>
      </c>
      <c r="R762" t="inlineStr">
        <is>
          <t>样品61</t>
        </is>
      </c>
    </row>
    <row r="763">
      <c r="A763" t="n">
        <v>762</v>
      </c>
      <c r="B763" t="inlineStr">
        <is>
          <t>61 (2).tif</t>
        </is>
      </c>
      <c r="C763" t="inlineStr">
        <is>
          <t>61(2)-V05</t>
        </is>
      </c>
      <c r="D763" t="n">
        <v>5</v>
      </c>
      <c r="E763" t="inlineStr">
        <is>
          <t>primary</t>
        </is>
      </c>
      <c r="F763" t="n">
        <v>113.3979206049149</v>
      </c>
      <c r="G763">
        <f>2*SQRT(F763/PI())</f>
        <v/>
      </c>
      <c r="H763" t="n">
        <v>44.46767317212146</v>
      </c>
      <c r="I763" t="n">
        <v>784</v>
      </c>
      <c r="J763" t="n">
        <v>470</v>
      </c>
      <c r="K763" t="n">
        <v>111.1299621928166</v>
      </c>
      <c r="L763" t="n">
        <v>115.6658790170132</v>
      </c>
      <c r="M763">
        <f>2*SQRT(K763/PI())</f>
        <v/>
      </c>
      <c r="N763">
        <f>2*SQRT(L763/PI())</f>
        <v/>
      </c>
      <c r="P763" t="inlineStr">
        <is>
          <t>是</t>
        </is>
      </c>
      <c r="Q763" t="inlineStr">
        <is>
          <t>auto_pipeline;review_png_green</t>
        </is>
      </c>
      <c r="R763" t="inlineStr">
        <is>
          <t>样品61</t>
        </is>
      </c>
    </row>
    <row r="764">
      <c r="A764" t="n">
        <v>763</v>
      </c>
      <c r="B764" t="inlineStr">
        <is>
          <t>61 (3).tif</t>
        </is>
      </c>
      <c r="C764" t="inlineStr">
        <is>
          <t>61(3)-V01</t>
        </is>
      </c>
      <c r="D764" t="n">
        <v>1</v>
      </c>
      <c r="E764" t="inlineStr">
        <is>
          <t>primary</t>
        </is>
      </c>
      <c r="F764" t="n">
        <v>937.7362948960302</v>
      </c>
      <c r="G764">
        <f>2*SQRT(F764/PI())</f>
        <v/>
      </c>
      <c r="H764" t="n">
        <v>114.7020662090053</v>
      </c>
      <c r="I764" t="n">
        <v>457</v>
      </c>
      <c r="J764" t="n">
        <v>305</v>
      </c>
      <c r="K764" t="n">
        <v>918.9815689981097</v>
      </c>
      <c r="L764" t="n">
        <v>956.4910207939508</v>
      </c>
      <c r="M764">
        <f>2*SQRT(K764/PI())</f>
        <v/>
      </c>
      <c r="N764">
        <f>2*SQRT(L764/PI())</f>
        <v/>
      </c>
      <c r="O764" t="inlineStr">
        <is>
          <t>61(3)-P01</t>
        </is>
      </c>
      <c r="P764" t="inlineStr">
        <is>
          <t>是</t>
        </is>
      </c>
      <c r="Q764" t="inlineStr">
        <is>
          <t>auto_pipeline;review_png_green</t>
        </is>
      </c>
      <c r="R764" t="inlineStr">
        <is>
          <t>样品61</t>
        </is>
      </c>
    </row>
    <row r="765">
      <c r="A765" t="n">
        <v>764</v>
      </c>
      <c r="B765" t="inlineStr">
        <is>
          <t>61 (3).tif</t>
        </is>
      </c>
      <c r="C765" t="inlineStr">
        <is>
          <t>61(3)-V02</t>
        </is>
      </c>
      <c r="D765" t="n">
        <v>2</v>
      </c>
      <c r="E765" t="inlineStr">
        <is>
          <t>primary</t>
        </is>
      </c>
      <c r="F765" t="n">
        <v>606.9706994328923</v>
      </c>
      <c r="G765">
        <f>2*SQRT(F765/PI())</f>
        <v/>
      </c>
      <c r="H765" t="n">
        <v>92.58465002412382</v>
      </c>
      <c r="I765" t="n">
        <v>597</v>
      </c>
      <c r="J765" t="n">
        <v>400</v>
      </c>
      <c r="K765" t="n">
        <v>594.8312854442344</v>
      </c>
      <c r="L765" t="n">
        <v>619.1101134215502</v>
      </c>
      <c r="M765">
        <f>2*SQRT(K765/PI())</f>
        <v/>
      </c>
      <c r="N765">
        <f>2*SQRT(L765/PI())</f>
        <v/>
      </c>
      <c r="O765" t="inlineStr">
        <is>
          <t>61(3)-P01</t>
        </is>
      </c>
      <c r="P765" t="inlineStr">
        <is>
          <t>是</t>
        </is>
      </c>
      <c r="Q765" t="inlineStr">
        <is>
          <t>auto_pipeline;review_png_green</t>
        </is>
      </c>
      <c r="R765" t="inlineStr">
        <is>
          <t>样品61</t>
        </is>
      </c>
    </row>
    <row r="766">
      <c r="A766" t="n">
        <v>765</v>
      </c>
      <c r="B766" t="inlineStr">
        <is>
          <t>61 (3).tif</t>
        </is>
      </c>
      <c r="C766" t="inlineStr">
        <is>
          <t>61(3)-V03</t>
        </is>
      </c>
      <c r="D766" t="n">
        <v>3</v>
      </c>
      <c r="E766" t="inlineStr">
        <is>
          <t>primary</t>
        </is>
      </c>
      <c r="F766" t="n">
        <v>159.4045368620038</v>
      </c>
      <c r="G766">
        <f>2*SQRT(F766/PI())</f>
        <v/>
      </c>
      <c r="H766" t="n">
        <v>47.81858915868013</v>
      </c>
      <c r="I766" t="n">
        <v>128</v>
      </c>
      <c r="J766" t="n">
        <v>211</v>
      </c>
      <c r="K766" t="n">
        <v>156.2164461247637</v>
      </c>
      <c r="L766" t="n">
        <v>162.5926275992439</v>
      </c>
      <c r="M766">
        <f>2*SQRT(K766/PI())</f>
        <v/>
      </c>
      <c r="N766">
        <f>2*SQRT(L766/PI())</f>
        <v/>
      </c>
      <c r="P766" t="inlineStr">
        <is>
          <t>是</t>
        </is>
      </c>
      <c r="Q766" t="inlineStr">
        <is>
          <t>auto_pipeline;review_png_green</t>
        </is>
      </c>
      <c r="R766" t="inlineStr">
        <is>
          <t>样品61</t>
        </is>
      </c>
    </row>
    <row r="767">
      <c r="A767" t="n">
        <v>766</v>
      </c>
      <c r="B767" t="inlineStr">
        <is>
          <t>61 (4).tif</t>
        </is>
      </c>
      <c r="C767" t="inlineStr">
        <is>
          <t>61(4)-V01</t>
        </is>
      </c>
      <c r="D767" t="n">
        <v>1</v>
      </c>
      <c r="E767" t="inlineStr">
        <is>
          <t>primary</t>
        </is>
      </c>
      <c r="F767" t="n">
        <v>713.5160680529301</v>
      </c>
      <c r="G767">
        <f>2*SQRT(F767/PI())</f>
        <v/>
      </c>
      <c r="H767" t="n">
        <v>100.599879855695</v>
      </c>
      <c r="I767" t="n">
        <v>445</v>
      </c>
      <c r="J767" t="n">
        <v>339</v>
      </c>
      <c r="K767" t="n">
        <v>699.2457466918715</v>
      </c>
      <c r="L767" t="n">
        <v>727.7863894139887</v>
      </c>
      <c r="M767">
        <f>2*SQRT(K767/PI())</f>
        <v/>
      </c>
      <c r="N767">
        <f>2*SQRT(L767/PI())</f>
        <v/>
      </c>
      <c r="O767" t="inlineStr">
        <is>
          <t>61(4)-P01</t>
        </is>
      </c>
      <c r="P767" t="inlineStr">
        <is>
          <t>是</t>
        </is>
      </c>
      <c r="Q767" t="inlineStr">
        <is>
          <t>auto_pipeline;review_png_green</t>
        </is>
      </c>
      <c r="R767" t="inlineStr">
        <is>
          <t>样品61</t>
        </is>
      </c>
    </row>
    <row r="768">
      <c r="A768" t="n">
        <v>767</v>
      </c>
      <c r="B768" t="inlineStr">
        <is>
          <t>61 (4).tif</t>
        </is>
      </c>
      <c r="C768" t="inlineStr">
        <is>
          <t>61(4)-V02</t>
        </is>
      </c>
      <c r="D768" t="n">
        <v>2</v>
      </c>
      <c r="E768" t="inlineStr">
        <is>
          <t>primary</t>
        </is>
      </c>
      <c r="F768" t="n">
        <v>471.9045368620038</v>
      </c>
      <c r="G768">
        <f>2*SQRT(F768/PI())</f>
        <v/>
      </c>
      <c r="H768" t="n">
        <v>81.57868989135908</v>
      </c>
      <c r="I768" t="n">
        <v>538</v>
      </c>
      <c r="J768" t="n">
        <v>445</v>
      </c>
      <c r="K768" t="n">
        <v>462.4664461247637</v>
      </c>
      <c r="L768" t="n">
        <v>481.3426275992439</v>
      </c>
      <c r="M768">
        <f>2*SQRT(K768/PI())</f>
        <v/>
      </c>
      <c r="N768">
        <f>2*SQRT(L768/PI())</f>
        <v/>
      </c>
      <c r="O768" t="inlineStr">
        <is>
          <t>61(4)-P01</t>
        </is>
      </c>
      <c r="P768" t="inlineStr">
        <is>
          <t>是</t>
        </is>
      </c>
      <c r="Q768" t="inlineStr">
        <is>
          <t>auto_pipeline;review_png_green</t>
        </is>
      </c>
      <c r="R768" t="inlineStr">
        <is>
          <t>样品61</t>
        </is>
      </c>
    </row>
    <row r="769">
      <c r="A769" t="n">
        <v>768</v>
      </c>
      <c r="B769" t="inlineStr">
        <is>
          <t>61 (5).tif</t>
        </is>
      </c>
      <c r="C769" t="inlineStr">
        <is>
          <t>61(5)-V01</t>
        </is>
      </c>
      <c r="D769" t="n">
        <v>1</v>
      </c>
      <c r="E769" t="inlineStr">
        <is>
          <t>primary</t>
        </is>
      </c>
      <c r="F769" t="n">
        <v>958.9792060491493</v>
      </c>
      <c r="G769">
        <f>2*SQRT(F769/PI())</f>
        <v/>
      </c>
      <c r="H769" t="n">
        <v>116.0591619947682</v>
      </c>
      <c r="I769" t="n">
        <v>501</v>
      </c>
      <c r="J769" t="n">
        <v>430</v>
      </c>
      <c r="K769" t="n">
        <v>939.7996219281663</v>
      </c>
      <c r="L769" t="n">
        <v>978.1587901701323</v>
      </c>
      <c r="M769">
        <f>2*SQRT(K769/PI())</f>
        <v/>
      </c>
      <c r="N769">
        <f>2*SQRT(L769/PI())</f>
        <v/>
      </c>
      <c r="O769" t="inlineStr">
        <is>
          <t>61(5)-P01</t>
        </is>
      </c>
      <c r="P769" t="inlineStr">
        <is>
          <t>是</t>
        </is>
      </c>
      <c r="Q769" t="inlineStr">
        <is>
          <t>auto_pipeline;review_png_green</t>
        </is>
      </c>
      <c r="R769" t="inlineStr">
        <is>
          <t>样品61</t>
        </is>
      </c>
    </row>
    <row r="770">
      <c r="A770" t="n">
        <v>769</v>
      </c>
      <c r="B770" t="inlineStr">
        <is>
          <t>61 (5).tif</t>
        </is>
      </c>
      <c r="C770" t="inlineStr">
        <is>
          <t>61(5)-V02</t>
        </is>
      </c>
      <c r="D770" t="n">
        <v>2</v>
      </c>
      <c r="E770" t="inlineStr">
        <is>
          <t>primary</t>
        </is>
      </c>
      <c r="F770" t="n">
        <v>611.3657844990548</v>
      </c>
      <c r="G770">
        <f>2*SQRT(F770/PI())</f>
        <v/>
      </c>
      <c r="H770" t="n">
        <v>93.45421524151512</v>
      </c>
      <c r="I770" t="n">
        <v>868</v>
      </c>
      <c r="J770" t="n">
        <v>209</v>
      </c>
      <c r="K770" t="n">
        <v>599.1384688090737</v>
      </c>
      <c r="L770" t="n">
        <v>623.5931001890359</v>
      </c>
      <c r="M770">
        <f>2*SQRT(K770/PI())</f>
        <v/>
      </c>
      <c r="N770">
        <f>2*SQRT(L770/PI())</f>
        <v/>
      </c>
      <c r="P770" t="inlineStr">
        <is>
          <t>是</t>
        </is>
      </c>
      <c r="Q770" t="inlineStr">
        <is>
          <t>auto_pipeline;review_png_green</t>
        </is>
      </c>
      <c r="R770" t="inlineStr">
        <is>
          <t>样品61</t>
        </is>
      </c>
    </row>
    <row r="771">
      <c r="A771" t="n">
        <v>770</v>
      </c>
      <c r="B771" t="inlineStr">
        <is>
          <t>61 (5).tif</t>
        </is>
      </c>
      <c r="C771" t="inlineStr">
        <is>
          <t>61(5)-V03</t>
        </is>
      </c>
      <c r="D771" t="n">
        <v>3</v>
      </c>
      <c r="E771" t="inlineStr">
        <is>
          <t>primary</t>
        </is>
      </c>
      <c r="F771" t="n">
        <v>532.5614366729678</v>
      </c>
      <c r="G771">
        <f>2*SQRT(F771/PI())</f>
        <v/>
      </c>
      <c r="H771" t="n">
        <v>86.77423223205234</v>
      </c>
      <c r="I771" t="n">
        <v>496</v>
      </c>
      <c r="J771" t="n">
        <v>305</v>
      </c>
      <c r="K771" t="n">
        <v>521.9102079395085</v>
      </c>
      <c r="L771" t="n">
        <v>543.2126654064272</v>
      </c>
      <c r="M771">
        <f>2*SQRT(K771/PI())</f>
        <v/>
      </c>
      <c r="N771">
        <f>2*SQRT(L771/PI())</f>
        <v/>
      </c>
      <c r="O771" t="inlineStr">
        <is>
          <t>61(5)-P01</t>
        </is>
      </c>
      <c r="P771" t="inlineStr">
        <is>
          <t>是</t>
        </is>
      </c>
      <c r="Q771" t="inlineStr">
        <is>
          <t>auto_pipeline;review_png_green</t>
        </is>
      </c>
      <c r="R771" t="inlineStr">
        <is>
          <t>样品61</t>
        </is>
      </c>
    </row>
    <row r="772">
      <c r="A772" t="n">
        <v>771</v>
      </c>
      <c r="B772" t="inlineStr">
        <is>
          <t>61 (6).tif</t>
        </is>
      </c>
      <c r="C772" t="inlineStr">
        <is>
          <t>61(6)-V01</t>
        </is>
      </c>
      <c r="D772" t="n">
        <v>1</v>
      </c>
      <c r="E772" t="inlineStr">
        <is>
          <t>primary</t>
        </is>
      </c>
      <c r="F772" t="n">
        <v>996.8572778827977</v>
      </c>
      <c r="G772">
        <f>2*SQRT(F772/PI())</f>
        <v/>
      </c>
      <c r="H772" t="n">
        <v>118.2858229979225</v>
      </c>
      <c r="I772" t="n">
        <v>508</v>
      </c>
      <c r="J772" t="n">
        <v>257</v>
      </c>
      <c r="K772" t="n">
        <v>976.9201323251417</v>
      </c>
      <c r="L772" t="n">
        <v>1016.794423440454</v>
      </c>
      <c r="M772">
        <f>2*SQRT(K772/PI())</f>
        <v/>
      </c>
      <c r="N772">
        <f>2*SQRT(L772/PI())</f>
        <v/>
      </c>
      <c r="O772" t="inlineStr">
        <is>
          <t>61(6)-P01</t>
        </is>
      </c>
      <c r="P772" t="inlineStr">
        <is>
          <t>是</t>
        </is>
      </c>
      <c r="Q772" t="inlineStr">
        <is>
          <t>auto_pipeline;review_png_green</t>
        </is>
      </c>
      <c r="R772" t="inlineStr">
        <is>
          <t>样品61</t>
        </is>
      </c>
    </row>
    <row r="773">
      <c r="A773" t="n">
        <v>772</v>
      </c>
      <c r="B773" t="inlineStr">
        <is>
          <t>61 (6).tif</t>
        </is>
      </c>
      <c r="C773" t="inlineStr">
        <is>
          <t>61(6)-V02</t>
        </is>
      </c>
      <c r="D773" t="n">
        <v>2</v>
      </c>
      <c r="E773" t="inlineStr">
        <is>
          <t>primary</t>
        </is>
      </c>
      <c r="F773" t="n">
        <v>458.5538752362949</v>
      </c>
      <c r="G773">
        <f>2*SQRT(F773/PI())</f>
        <v/>
      </c>
      <c r="H773" t="n">
        <v>81.34584908900054</v>
      </c>
      <c r="I773" t="n">
        <v>475</v>
      </c>
      <c r="J773" t="n">
        <v>404</v>
      </c>
      <c r="K773" t="n">
        <v>449.382797731569</v>
      </c>
      <c r="L773" t="n">
        <v>467.7249527410208</v>
      </c>
      <c r="M773">
        <f>2*SQRT(K773/PI())</f>
        <v/>
      </c>
      <c r="N773">
        <f>2*SQRT(L773/PI())</f>
        <v/>
      </c>
      <c r="O773" t="inlineStr">
        <is>
          <t>61(6)-P01</t>
        </is>
      </c>
      <c r="P773" t="inlineStr">
        <is>
          <t>是</t>
        </is>
      </c>
      <c r="Q773" t="inlineStr">
        <is>
          <t>auto_pipeline;review_png_green</t>
        </is>
      </c>
      <c r="R773" t="inlineStr">
        <is>
          <t>样品61</t>
        </is>
      </c>
    </row>
    <row r="774">
      <c r="A774" t="n">
        <v>773</v>
      </c>
      <c r="B774" t="inlineStr">
        <is>
          <t>61 (6).tif</t>
        </is>
      </c>
      <c r="C774" t="inlineStr">
        <is>
          <t>61(6)-V03</t>
        </is>
      </c>
      <c r="D774" t="n">
        <v>3</v>
      </c>
      <c r="E774" t="inlineStr">
        <is>
          <t>primary</t>
        </is>
      </c>
      <c r="F774" t="n">
        <v>120.3449905482042</v>
      </c>
      <c r="G774">
        <f>2*SQRT(F774/PI())</f>
        <v/>
      </c>
      <c r="H774" t="n">
        <v>47.88413604964381</v>
      </c>
      <c r="I774" t="n">
        <v>807</v>
      </c>
      <c r="J774" t="n">
        <v>63</v>
      </c>
      <c r="K774" t="n">
        <v>117.9380907372401</v>
      </c>
      <c r="L774" t="n">
        <v>122.7518903591683</v>
      </c>
      <c r="M774">
        <f>2*SQRT(K774/PI())</f>
        <v/>
      </c>
      <c r="N774">
        <f>2*SQRT(L774/PI())</f>
        <v/>
      </c>
      <c r="P774" t="inlineStr">
        <is>
          <t>是</t>
        </is>
      </c>
      <c r="Q774" t="inlineStr">
        <is>
          <t>auto_pipeline;review_png_green</t>
        </is>
      </c>
      <c r="R774" t="inlineStr">
        <is>
          <t>样品61</t>
        </is>
      </c>
    </row>
    <row r="775">
      <c r="A775" t="n">
        <v>774</v>
      </c>
      <c r="B775" t="inlineStr">
        <is>
          <t>61 (7).tif</t>
        </is>
      </c>
      <c r="C775" t="inlineStr">
        <is>
          <t>61(7)-V01</t>
        </is>
      </c>
      <c r="D775" t="n">
        <v>1</v>
      </c>
      <c r="E775" t="inlineStr">
        <is>
          <t>primary</t>
        </is>
      </c>
      <c r="F775" t="n">
        <v>636.3657844990548</v>
      </c>
      <c r="G775">
        <f>2*SQRT(F775/PI())</f>
        <v/>
      </c>
      <c r="H775" t="n">
        <v>94.68396614427152</v>
      </c>
      <c r="I775" t="n">
        <v>452</v>
      </c>
      <c r="J775" t="n">
        <v>429</v>
      </c>
      <c r="K775" t="n">
        <v>623.6384688090737</v>
      </c>
      <c r="L775" t="n">
        <v>649.0931001890359</v>
      </c>
      <c r="M775">
        <f>2*SQRT(K775/PI())</f>
        <v/>
      </c>
      <c r="N775">
        <f>2*SQRT(L775/PI())</f>
        <v/>
      </c>
      <c r="O775" t="inlineStr">
        <is>
          <t>61(7)-P01</t>
        </is>
      </c>
      <c r="P775" t="inlineStr">
        <is>
          <t>是</t>
        </is>
      </c>
      <c r="Q775" t="inlineStr">
        <is>
          <t>auto_pipeline;review_png_green</t>
        </is>
      </c>
      <c r="R775" t="inlineStr">
        <is>
          <t>样品61</t>
        </is>
      </c>
    </row>
    <row r="776">
      <c r="A776" t="n">
        <v>775</v>
      </c>
      <c r="B776" t="inlineStr">
        <is>
          <t>61 (7).tif</t>
        </is>
      </c>
      <c r="C776" t="inlineStr">
        <is>
          <t>61(7)-V02</t>
        </is>
      </c>
      <c r="D776" t="n">
        <v>2</v>
      </c>
      <c r="E776" t="inlineStr">
        <is>
          <t>primary</t>
        </is>
      </c>
      <c r="F776" t="n">
        <v>550.0945179584121</v>
      </c>
      <c r="G776">
        <f>2*SQRT(F776/PI())</f>
        <v/>
      </c>
      <c r="H776" t="n">
        <v>88.25867290082185</v>
      </c>
      <c r="I776" t="n">
        <v>552</v>
      </c>
      <c r="J776" t="n">
        <v>313</v>
      </c>
      <c r="K776" t="n">
        <v>539.0926275992439</v>
      </c>
      <c r="L776" t="n">
        <v>561.0964083175803</v>
      </c>
      <c r="M776">
        <f>2*SQRT(K776/PI())</f>
        <v/>
      </c>
      <c r="N776">
        <f>2*SQRT(L776/PI())</f>
        <v/>
      </c>
      <c r="O776" t="inlineStr">
        <is>
          <t>61(7)-P01</t>
        </is>
      </c>
      <c r="P776" t="inlineStr">
        <is>
          <t>是</t>
        </is>
      </c>
      <c r="Q776" t="inlineStr">
        <is>
          <t>auto_pipeline;review_png_green</t>
        </is>
      </c>
      <c r="R776" t="inlineStr">
        <is>
          <t>样品61</t>
        </is>
      </c>
    </row>
    <row r="777">
      <c r="A777" t="n">
        <v>776</v>
      </c>
      <c r="B777" t="inlineStr">
        <is>
          <t>61 (7).tif</t>
        </is>
      </c>
      <c r="C777" t="inlineStr">
        <is>
          <t>61(7)-V03</t>
        </is>
      </c>
      <c r="D777" t="n">
        <v>3</v>
      </c>
      <c r="E777" t="inlineStr">
        <is>
          <t>primary</t>
        </is>
      </c>
      <c r="F777" t="n">
        <v>421.8809073724008</v>
      </c>
      <c r="G777">
        <f>2*SQRT(F777/PI())</f>
        <v/>
      </c>
      <c r="H777" t="n">
        <v>77.25271276805712</v>
      </c>
      <c r="I777" t="n">
        <v>915</v>
      </c>
      <c r="J777" t="n">
        <v>316</v>
      </c>
      <c r="K777" t="n">
        <v>413.4432892249528</v>
      </c>
      <c r="L777" t="n">
        <v>430.3185255198488</v>
      </c>
      <c r="M777">
        <f>2*SQRT(K777/PI())</f>
        <v/>
      </c>
      <c r="N777">
        <f>2*SQRT(L777/PI())</f>
        <v/>
      </c>
      <c r="P777" t="inlineStr">
        <is>
          <t>是</t>
        </is>
      </c>
      <c r="Q777" t="inlineStr">
        <is>
          <t>auto_pipeline;review_png_green</t>
        </is>
      </c>
      <c r="R777" t="inlineStr">
        <is>
          <t>样品61</t>
        </is>
      </c>
    </row>
    <row r="778">
      <c r="A778" t="n">
        <v>777</v>
      </c>
      <c r="B778" t="inlineStr">
        <is>
          <t>61 (7).tif</t>
        </is>
      </c>
      <c r="C778" t="inlineStr">
        <is>
          <t>61(7)-V04</t>
        </is>
      </c>
      <c r="D778" t="n">
        <v>4</v>
      </c>
      <c r="E778" t="inlineStr">
        <is>
          <t>primary</t>
        </is>
      </c>
      <c r="F778" t="n">
        <v>365.5009451795841</v>
      </c>
      <c r="G778">
        <f>2*SQRT(F778/PI())</f>
        <v/>
      </c>
      <c r="H778" t="n">
        <v>72.2900112297224</v>
      </c>
      <c r="I778" t="n">
        <v>238</v>
      </c>
      <c r="J778" t="n">
        <v>462</v>
      </c>
      <c r="K778" t="n">
        <v>358.1909262759924</v>
      </c>
      <c r="L778" t="n">
        <v>372.8109640831758</v>
      </c>
      <c r="M778">
        <f>2*SQRT(K778/PI())</f>
        <v/>
      </c>
      <c r="N778">
        <f>2*SQRT(L778/PI())</f>
        <v/>
      </c>
      <c r="P778" t="inlineStr">
        <is>
          <t>是</t>
        </is>
      </c>
      <c r="Q778" t="inlineStr">
        <is>
          <t>auto_pipeline;review_png_green</t>
        </is>
      </c>
      <c r="R778" t="inlineStr">
        <is>
          <t>样品61</t>
        </is>
      </c>
    </row>
    <row r="779">
      <c r="A779" t="n">
        <v>778</v>
      </c>
      <c r="B779" t="inlineStr">
        <is>
          <t>61 (7).tif</t>
        </is>
      </c>
      <c r="C779" t="inlineStr">
        <is>
          <t>61(7)-V05</t>
        </is>
      </c>
      <c r="D779" t="n">
        <v>5</v>
      </c>
      <c r="E779" t="inlineStr">
        <is>
          <t>primary</t>
        </is>
      </c>
      <c r="F779" t="n">
        <v>55.2930056710775</v>
      </c>
      <c r="G779">
        <f>2*SQRT(F779/PI())</f>
        <v/>
      </c>
      <c r="H779" t="n">
        <v>32.46480293895887</v>
      </c>
      <c r="I779" t="n">
        <v>584</v>
      </c>
      <c r="J779" t="n">
        <v>345</v>
      </c>
      <c r="K779" t="n">
        <v>54.18714555765595</v>
      </c>
      <c r="L779" t="n">
        <v>56.39886578449905</v>
      </c>
      <c r="M779">
        <f>2*SQRT(K779/PI())</f>
        <v/>
      </c>
      <c r="N779">
        <f>2*SQRT(L779/PI())</f>
        <v/>
      </c>
      <c r="P779" t="inlineStr">
        <is>
          <t>是</t>
        </is>
      </c>
      <c r="Q779" t="inlineStr">
        <is>
          <t>auto_pipeline;review_png_green</t>
        </is>
      </c>
      <c r="R779" t="inlineStr">
        <is>
          <t>样品61</t>
        </is>
      </c>
    </row>
    <row r="780">
      <c r="A780" t="n">
        <v>779</v>
      </c>
      <c r="B780" t="inlineStr">
        <is>
          <t>61 (8).tif</t>
        </is>
      </c>
      <c r="C780" t="inlineStr">
        <is>
          <t>61(8)-V01</t>
        </is>
      </c>
      <c r="D780" t="n">
        <v>1</v>
      </c>
      <c r="E780" t="inlineStr">
        <is>
          <t>primary</t>
        </is>
      </c>
      <c r="F780" t="n">
        <v>490.7608695652174</v>
      </c>
      <c r="G780">
        <f>2*SQRT(F780/PI())</f>
        <v/>
      </c>
      <c r="H780" t="n">
        <v>83.06313056012858</v>
      </c>
      <c r="I780" t="n">
        <v>559</v>
      </c>
      <c r="J780" t="n">
        <v>346</v>
      </c>
      <c r="K780" t="n">
        <v>480.945652173913</v>
      </c>
      <c r="L780" t="n">
        <v>500.5760869565217</v>
      </c>
      <c r="M780">
        <f>2*SQRT(K780/PI())</f>
        <v/>
      </c>
      <c r="N780">
        <f>2*SQRT(L780/PI())</f>
        <v/>
      </c>
      <c r="P780" t="inlineStr">
        <is>
          <t>是</t>
        </is>
      </c>
      <c r="Q780" t="inlineStr">
        <is>
          <t>auto_pipeline;review_png_green</t>
        </is>
      </c>
      <c r="R780" t="inlineStr">
        <is>
          <t>样品61</t>
        </is>
      </c>
    </row>
    <row r="781">
      <c r="A781" t="n">
        <v>780</v>
      </c>
      <c r="B781" t="inlineStr">
        <is>
          <t>61 (8).tif</t>
        </is>
      </c>
      <c r="C781" t="inlineStr">
        <is>
          <t>61(8)-V02</t>
        </is>
      </c>
      <c r="D781" t="n">
        <v>2</v>
      </c>
      <c r="E781" t="inlineStr">
        <is>
          <t>primary</t>
        </is>
      </c>
      <c r="F781" t="n">
        <v>472.0226843100189</v>
      </c>
      <c r="G781">
        <f>2*SQRT(F781/PI())</f>
        <v/>
      </c>
      <c r="H781" t="n">
        <v>81.45134500835253</v>
      </c>
      <c r="I781" t="n">
        <v>231</v>
      </c>
      <c r="J781" t="n">
        <v>549</v>
      </c>
      <c r="K781" t="n">
        <v>462.5822306238185</v>
      </c>
      <c r="L781" t="n">
        <v>481.4631379962193</v>
      </c>
      <c r="M781">
        <f>2*SQRT(K781/PI())</f>
        <v/>
      </c>
      <c r="N781">
        <f>2*SQRT(L781/PI())</f>
        <v/>
      </c>
      <c r="P781" t="inlineStr">
        <is>
          <t>是</t>
        </is>
      </c>
      <c r="Q781" t="inlineStr">
        <is>
          <t>auto_pipeline;review_png_green</t>
        </is>
      </c>
      <c r="R781" t="inlineStr">
        <is>
          <t>样品61</t>
        </is>
      </c>
    </row>
    <row r="782">
      <c r="A782" t="n">
        <v>781</v>
      </c>
      <c r="B782" t="inlineStr">
        <is>
          <t>61 (8).tif</t>
        </is>
      </c>
      <c r="C782" t="inlineStr">
        <is>
          <t>61(8)-V03</t>
        </is>
      </c>
      <c r="D782" t="n">
        <v>3</v>
      </c>
      <c r="E782" t="inlineStr">
        <is>
          <t>primary</t>
        </is>
      </c>
      <c r="F782" t="n">
        <v>457.0888468809074</v>
      </c>
      <c r="G782">
        <f>2*SQRT(F782/PI())</f>
        <v/>
      </c>
      <c r="H782" t="n">
        <v>80.22159410559613</v>
      </c>
      <c r="I782" t="n">
        <v>440</v>
      </c>
      <c r="J782" t="n">
        <v>389</v>
      </c>
      <c r="K782" t="n">
        <v>447.9470699432893</v>
      </c>
      <c r="L782" t="n">
        <v>466.2306238185255</v>
      </c>
      <c r="M782">
        <f>2*SQRT(K782/PI())</f>
        <v/>
      </c>
      <c r="N782">
        <f>2*SQRT(L782/PI())</f>
        <v/>
      </c>
      <c r="O782" t="inlineStr">
        <is>
          <t>61(8)-P01</t>
        </is>
      </c>
      <c r="P782" t="inlineStr">
        <is>
          <t>是</t>
        </is>
      </c>
      <c r="Q782" t="inlineStr">
        <is>
          <t>auto_pipeline;review_png_green</t>
        </is>
      </c>
      <c r="R782" t="inlineStr">
        <is>
          <t>样品61</t>
        </is>
      </c>
    </row>
    <row r="783">
      <c r="A783" t="n">
        <v>782</v>
      </c>
      <c r="B783" t="inlineStr">
        <is>
          <t>61 (8).tif</t>
        </is>
      </c>
      <c r="C783" t="inlineStr">
        <is>
          <t>61(8)-V04</t>
        </is>
      </c>
      <c r="D783" t="n">
        <v>4</v>
      </c>
      <c r="E783" t="inlineStr">
        <is>
          <t>primary</t>
        </is>
      </c>
      <c r="F783" t="n">
        <v>126.3705103969754</v>
      </c>
      <c r="G783">
        <f>2*SQRT(F783/PI())</f>
        <v/>
      </c>
      <c r="H783" t="n">
        <v>44.12933645041092</v>
      </c>
      <c r="I783" t="n">
        <v>464</v>
      </c>
      <c r="J783" t="n">
        <v>412</v>
      </c>
      <c r="K783" t="n">
        <v>123.8431001890359</v>
      </c>
      <c r="L783" t="n">
        <v>128.8979206049149</v>
      </c>
      <c r="M783">
        <f>2*SQRT(K783/PI())</f>
        <v/>
      </c>
      <c r="N783">
        <f>2*SQRT(L783/PI())</f>
        <v/>
      </c>
      <c r="O783" t="inlineStr">
        <is>
          <t>61(8)-P01</t>
        </is>
      </c>
      <c r="P783" t="inlineStr">
        <is>
          <t>是</t>
        </is>
      </c>
      <c r="Q783" t="inlineStr">
        <is>
          <t>auto_pipeline;review_png_green</t>
        </is>
      </c>
      <c r="R783" t="inlineStr">
        <is>
          <t>样品61</t>
        </is>
      </c>
    </row>
    <row r="784">
      <c r="A784" t="n">
        <v>783</v>
      </c>
      <c r="B784" t="inlineStr">
        <is>
          <t>62 (1).tif</t>
        </is>
      </c>
      <c r="C784" t="inlineStr">
        <is>
          <t>62(1)-V01</t>
        </is>
      </c>
      <c r="D784" t="n">
        <v>1</v>
      </c>
      <c r="E784" t="inlineStr">
        <is>
          <t>primary</t>
        </is>
      </c>
      <c r="F784" t="n">
        <v>910.7277882797731</v>
      </c>
      <c r="G784">
        <f>2*SQRT(F784/PI())</f>
        <v/>
      </c>
      <c r="H784" t="n">
        <v>113.5996601892554</v>
      </c>
      <c r="I784" t="n">
        <v>554</v>
      </c>
      <c r="J784" t="n">
        <v>310</v>
      </c>
      <c r="K784" t="n">
        <v>892.5132325141776</v>
      </c>
      <c r="L784" t="n">
        <v>928.9423440453686</v>
      </c>
      <c r="M784">
        <f>2*SQRT(K784/PI())</f>
        <v/>
      </c>
      <c r="N784">
        <f>2*SQRT(L784/PI())</f>
        <v/>
      </c>
      <c r="O784" t="inlineStr">
        <is>
          <t>62(1)-P01</t>
        </is>
      </c>
      <c r="P784" t="inlineStr">
        <is>
          <t>是</t>
        </is>
      </c>
      <c r="Q784" t="inlineStr">
        <is>
          <t>auto_pipeline;review_png_green</t>
        </is>
      </c>
      <c r="R784" t="inlineStr">
        <is>
          <t>样品62</t>
        </is>
      </c>
    </row>
    <row r="785">
      <c r="A785" t="n">
        <v>784</v>
      </c>
      <c r="B785" t="inlineStr">
        <is>
          <t>62 (1).tif</t>
        </is>
      </c>
      <c r="C785" t="inlineStr">
        <is>
          <t>62(1)-V02</t>
        </is>
      </c>
      <c r="D785" t="n">
        <v>2</v>
      </c>
      <c r="E785" t="inlineStr">
        <is>
          <t>primary</t>
        </is>
      </c>
      <c r="F785" t="n">
        <v>480.765595463138</v>
      </c>
      <c r="G785">
        <f>2*SQRT(F785/PI())</f>
        <v/>
      </c>
      <c r="H785" t="n">
        <v>82.32091022574383</v>
      </c>
      <c r="I785" t="n">
        <v>406</v>
      </c>
      <c r="J785" t="n">
        <v>380</v>
      </c>
      <c r="K785" t="n">
        <v>471.1502835538752</v>
      </c>
      <c r="L785" t="n">
        <v>490.3809073724007</v>
      </c>
      <c r="M785">
        <f>2*SQRT(K785/PI())</f>
        <v/>
      </c>
      <c r="N785">
        <f>2*SQRT(L785/PI())</f>
        <v/>
      </c>
      <c r="O785" t="inlineStr">
        <is>
          <t>62(1)-P01</t>
        </is>
      </c>
      <c r="P785" t="inlineStr">
        <is>
          <t>是</t>
        </is>
      </c>
      <c r="Q785" t="inlineStr">
        <is>
          <t>auto_pipeline;review_png_green</t>
        </is>
      </c>
      <c r="R785" t="inlineStr">
        <is>
          <t>样品62</t>
        </is>
      </c>
    </row>
    <row r="786">
      <c r="A786" t="n">
        <v>785</v>
      </c>
      <c r="B786" t="inlineStr">
        <is>
          <t>62 (1).tif</t>
        </is>
      </c>
      <c r="C786" t="inlineStr">
        <is>
          <t>62(1)-V03</t>
        </is>
      </c>
      <c r="D786" t="n">
        <v>3</v>
      </c>
      <c r="E786" t="inlineStr">
        <is>
          <t>primary</t>
        </is>
      </c>
      <c r="F786" t="n">
        <v>473.4640831758034</v>
      </c>
      <c r="G786">
        <f>2*SQRT(F786/PI())</f>
        <v/>
      </c>
      <c r="H786" t="n">
        <v>81.57868989135908</v>
      </c>
      <c r="I786" t="n">
        <v>949</v>
      </c>
      <c r="J786" t="n">
        <v>326</v>
      </c>
      <c r="K786" t="n">
        <v>463.9948015122873</v>
      </c>
      <c r="L786" t="n">
        <v>482.9333648393195</v>
      </c>
      <c r="M786">
        <f>2*SQRT(K786/PI())</f>
        <v/>
      </c>
      <c r="N786">
        <f>2*SQRT(L786/PI())</f>
        <v/>
      </c>
      <c r="P786" t="inlineStr">
        <is>
          <t>是</t>
        </is>
      </c>
      <c r="Q786" t="inlineStr">
        <is>
          <t>auto_pipeline;review_png_green</t>
        </is>
      </c>
      <c r="R786" t="inlineStr">
        <is>
          <t>样品62</t>
        </is>
      </c>
    </row>
    <row r="787">
      <c r="A787" t="n">
        <v>786</v>
      </c>
      <c r="B787" t="inlineStr">
        <is>
          <t>62 (1).tif</t>
        </is>
      </c>
      <c r="C787" t="inlineStr">
        <is>
          <t>62(1)-V04</t>
        </is>
      </c>
      <c r="D787" t="n">
        <v>4</v>
      </c>
      <c r="E787" t="inlineStr">
        <is>
          <t>primary</t>
        </is>
      </c>
      <c r="F787" t="n">
        <v>143.5727788279773</v>
      </c>
      <c r="G787">
        <f>2*SQRT(F787/PI())</f>
        <v/>
      </c>
      <c r="H787" t="n">
        <v>53.50166206774504</v>
      </c>
      <c r="I787" t="n">
        <v>474</v>
      </c>
      <c r="J787" t="n">
        <v>200</v>
      </c>
      <c r="K787" t="n">
        <v>140.7013232514178</v>
      </c>
      <c r="L787" t="n">
        <v>146.4442344045369</v>
      </c>
      <c r="M787">
        <f>2*SQRT(K787/PI())</f>
        <v/>
      </c>
      <c r="N787">
        <f>2*SQRT(L787/PI())</f>
        <v/>
      </c>
      <c r="P787" t="inlineStr">
        <is>
          <t>是</t>
        </is>
      </c>
      <c r="Q787" t="inlineStr">
        <is>
          <t>auto_pipeline;review_png_green</t>
        </is>
      </c>
      <c r="R787" t="inlineStr">
        <is>
          <t>样品62</t>
        </is>
      </c>
    </row>
    <row r="788">
      <c r="A788" t="n">
        <v>787</v>
      </c>
      <c r="B788" t="inlineStr">
        <is>
          <t>62 (1).tif</t>
        </is>
      </c>
      <c r="C788" t="inlineStr">
        <is>
          <t>62(1)-V05</t>
        </is>
      </c>
      <c r="D788" t="n">
        <v>5</v>
      </c>
      <c r="E788" t="inlineStr">
        <is>
          <t>primary</t>
        </is>
      </c>
      <c r="F788" t="n">
        <v>111.4839319470699</v>
      </c>
      <c r="G788">
        <f>2*SQRT(F788/PI())</f>
        <v/>
      </c>
      <c r="H788" t="n">
        <v>39.93070421011551</v>
      </c>
      <c r="I788" t="n">
        <v>582</v>
      </c>
      <c r="J788" t="n">
        <v>571</v>
      </c>
      <c r="K788" t="n">
        <v>109.2542533081286</v>
      </c>
      <c r="L788" t="n">
        <v>113.7136105860113</v>
      </c>
      <c r="M788">
        <f>2*SQRT(K788/PI())</f>
        <v/>
      </c>
      <c r="N788">
        <f>2*SQRT(L788/PI())</f>
        <v/>
      </c>
      <c r="P788" t="inlineStr">
        <is>
          <t>是</t>
        </is>
      </c>
      <c r="Q788" t="inlineStr">
        <is>
          <t>auto_pipeline;review_png_green</t>
        </is>
      </c>
      <c r="R788" t="inlineStr">
        <is>
          <t>样品62</t>
        </is>
      </c>
    </row>
    <row r="789">
      <c r="A789" t="n">
        <v>788</v>
      </c>
      <c r="B789" t="inlineStr">
        <is>
          <t>62 (1).tif</t>
        </is>
      </c>
      <c r="C789" t="inlineStr">
        <is>
          <t>62(1)-V06</t>
        </is>
      </c>
      <c r="D789" t="n">
        <v>6</v>
      </c>
      <c r="E789" t="inlineStr">
        <is>
          <t>primary</t>
        </is>
      </c>
      <c r="F789" t="n">
        <v>106.687145557656</v>
      </c>
      <c r="G789">
        <f>2*SQRT(F789/PI())</f>
        <v/>
      </c>
      <c r="H789" t="n">
        <v>43.53630996268728</v>
      </c>
      <c r="I789" t="n">
        <v>793</v>
      </c>
      <c r="J789" t="n">
        <v>95</v>
      </c>
      <c r="K789" t="n">
        <v>104.5534026465028</v>
      </c>
      <c r="L789" t="n">
        <v>108.8208884688091</v>
      </c>
      <c r="M789">
        <f>2*SQRT(K789/PI())</f>
        <v/>
      </c>
      <c r="N789">
        <f>2*SQRT(L789/PI())</f>
        <v/>
      </c>
      <c r="P789" t="inlineStr">
        <is>
          <t>是</t>
        </is>
      </c>
      <c r="Q789" t="inlineStr">
        <is>
          <t>auto_pipeline;review_png_green</t>
        </is>
      </c>
      <c r="R789" t="inlineStr">
        <is>
          <t>样品62</t>
        </is>
      </c>
    </row>
    <row r="790">
      <c r="A790" t="n">
        <v>789</v>
      </c>
      <c r="B790" t="inlineStr">
        <is>
          <t>62 (1).tif</t>
        </is>
      </c>
      <c r="C790" t="inlineStr">
        <is>
          <t>62(1)-V07</t>
        </is>
      </c>
      <c r="D790" t="n">
        <v>7</v>
      </c>
      <c r="E790" t="inlineStr">
        <is>
          <t>primary</t>
        </is>
      </c>
      <c r="F790" t="n">
        <v>98.06238185255198</v>
      </c>
      <c r="G790">
        <f>2*SQRT(F790/PI())</f>
        <v/>
      </c>
      <c r="H790" t="n">
        <v>41.92452441091122</v>
      </c>
      <c r="I790" t="n">
        <v>659</v>
      </c>
      <c r="J790" t="n">
        <v>596</v>
      </c>
      <c r="K790" t="n">
        <v>96.10113421550093</v>
      </c>
      <c r="L790" t="n">
        <v>100.023629489603</v>
      </c>
      <c r="M790">
        <f>2*SQRT(K790/PI())</f>
        <v/>
      </c>
      <c r="N790">
        <f>2*SQRT(L790/PI())</f>
        <v/>
      </c>
      <c r="P790" t="inlineStr">
        <is>
          <t>是</t>
        </is>
      </c>
      <c r="Q790" t="inlineStr">
        <is>
          <t>auto_pipeline;review_png_green</t>
        </is>
      </c>
      <c r="R790" t="inlineStr">
        <is>
          <t>样品62</t>
        </is>
      </c>
    </row>
    <row r="791">
      <c r="A791" t="n">
        <v>790</v>
      </c>
      <c r="B791" t="inlineStr">
        <is>
          <t>62 (2).tif</t>
        </is>
      </c>
      <c r="C791" t="inlineStr">
        <is>
          <t>62(2)-V01</t>
        </is>
      </c>
      <c r="D791" t="n">
        <v>1</v>
      </c>
      <c r="E791" t="inlineStr">
        <is>
          <t>primary</t>
        </is>
      </c>
      <c r="F791" t="n">
        <v>616.8478260869565</v>
      </c>
      <c r="G791">
        <f>2*SQRT(F791/PI())</f>
        <v/>
      </c>
      <c r="H791" t="n">
        <v>93.19952547550201</v>
      </c>
      <c r="I791" t="n">
        <v>441</v>
      </c>
      <c r="J791" t="n">
        <v>435</v>
      </c>
      <c r="K791" t="n">
        <v>604.5108695652174</v>
      </c>
      <c r="L791" t="n">
        <v>629.1847826086956</v>
      </c>
      <c r="M791">
        <f>2*SQRT(K791/PI())</f>
        <v/>
      </c>
      <c r="N791">
        <f>2*SQRT(L791/PI())</f>
        <v/>
      </c>
      <c r="O791" t="inlineStr">
        <is>
          <t>62(2)-P01</t>
        </is>
      </c>
      <c r="P791" t="inlineStr">
        <is>
          <t>是</t>
        </is>
      </c>
      <c r="Q791" t="inlineStr">
        <is>
          <t>auto_pipeline;review_png_green</t>
        </is>
      </c>
      <c r="R791" t="inlineStr">
        <is>
          <t>样品62</t>
        </is>
      </c>
    </row>
    <row r="792">
      <c r="A792" t="n">
        <v>791</v>
      </c>
      <c r="B792" t="inlineStr">
        <is>
          <t>62 (2).tif</t>
        </is>
      </c>
      <c r="C792" t="inlineStr">
        <is>
          <t>62(2)-V02</t>
        </is>
      </c>
      <c r="D792" t="n">
        <v>2</v>
      </c>
      <c r="E792" t="inlineStr">
        <is>
          <t>primary</t>
        </is>
      </c>
      <c r="F792" t="n">
        <v>552.0793950850662</v>
      </c>
      <c r="G792">
        <f>2*SQRT(F792/PI())</f>
        <v/>
      </c>
      <c r="H792" t="n">
        <v>88.00398313480875</v>
      </c>
      <c r="I792" t="n">
        <v>85</v>
      </c>
      <c r="J792" t="n">
        <v>461</v>
      </c>
      <c r="K792" t="n">
        <v>541.0378071833649</v>
      </c>
      <c r="L792" t="n">
        <v>563.1209829867674</v>
      </c>
      <c r="M792">
        <f>2*SQRT(K792/PI())</f>
        <v/>
      </c>
      <c r="N792">
        <f>2*SQRT(L792/PI())</f>
        <v/>
      </c>
      <c r="P792" t="inlineStr">
        <is>
          <t>是</t>
        </is>
      </c>
      <c r="Q792" t="inlineStr">
        <is>
          <t>auto_pipeline;review_png_green</t>
        </is>
      </c>
      <c r="R792" t="inlineStr">
        <is>
          <t>样品62</t>
        </is>
      </c>
    </row>
    <row r="793">
      <c r="A793" t="n">
        <v>792</v>
      </c>
      <c r="B793" t="inlineStr">
        <is>
          <t>62 (2).tif</t>
        </is>
      </c>
      <c r="C793" t="inlineStr">
        <is>
          <t>62(2)-V03</t>
        </is>
      </c>
      <c r="D793" t="n">
        <v>3</v>
      </c>
      <c r="E793" t="inlineStr">
        <is>
          <t>primary</t>
        </is>
      </c>
      <c r="F793" t="n">
        <v>489.0831758034026</v>
      </c>
      <c r="G793">
        <f>2*SQRT(F793/PI())</f>
        <v/>
      </c>
      <c r="H793" t="n">
        <v>82.93578567712203</v>
      </c>
      <c r="I793" t="n">
        <v>520</v>
      </c>
      <c r="J793" t="n">
        <v>317</v>
      </c>
      <c r="K793" t="n">
        <v>479.3015122873346</v>
      </c>
      <c r="L793" t="n">
        <v>498.8648393194707</v>
      </c>
      <c r="M793">
        <f>2*SQRT(K793/PI())</f>
        <v/>
      </c>
      <c r="N793">
        <f>2*SQRT(L793/PI())</f>
        <v/>
      </c>
      <c r="O793" t="inlineStr">
        <is>
          <t>62(2)-P01</t>
        </is>
      </c>
      <c r="P793" t="inlineStr">
        <is>
          <t>是</t>
        </is>
      </c>
      <c r="Q793" t="inlineStr">
        <is>
          <t>auto_pipeline;review_png_green</t>
        </is>
      </c>
      <c r="R793" t="inlineStr">
        <is>
          <t>样品62</t>
        </is>
      </c>
    </row>
    <row r="794">
      <c r="A794" t="n">
        <v>793</v>
      </c>
      <c r="B794" t="inlineStr">
        <is>
          <t>62 (2).tif</t>
        </is>
      </c>
      <c r="C794" t="inlineStr">
        <is>
          <t>62(2)-V04</t>
        </is>
      </c>
      <c r="D794" t="n">
        <v>4</v>
      </c>
      <c r="E794" t="inlineStr">
        <is>
          <t>primary</t>
        </is>
      </c>
      <c r="F794" t="n">
        <v>146.4083175803403</v>
      </c>
      <c r="G794">
        <f>2*SQRT(F794/PI())</f>
        <v/>
      </c>
      <c r="H794" t="n">
        <v>49.40852574680162</v>
      </c>
      <c r="I794" t="n">
        <v>340</v>
      </c>
      <c r="J794" t="n">
        <v>407</v>
      </c>
      <c r="K794" t="n">
        <v>143.4801512287334</v>
      </c>
      <c r="L794" t="n">
        <v>149.3364839319471</v>
      </c>
      <c r="M794">
        <f>2*SQRT(K794/PI())</f>
        <v/>
      </c>
      <c r="N794">
        <f>2*SQRT(L794/PI())</f>
        <v/>
      </c>
      <c r="P794" t="inlineStr">
        <is>
          <t>是</t>
        </is>
      </c>
      <c r="Q794" t="inlineStr">
        <is>
          <t>auto_pipeline;review_png_green</t>
        </is>
      </c>
      <c r="R794" t="inlineStr">
        <is>
          <t>样品62</t>
        </is>
      </c>
    </row>
    <row r="795">
      <c r="A795" t="n">
        <v>794</v>
      </c>
      <c r="B795" t="inlineStr">
        <is>
          <t>62 (2).tif</t>
        </is>
      </c>
      <c r="C795" t="inlineStr">
        <is>
          <t>62(2)-V05</t>
        </is>
      </c>
      <c r="D795" t="n">
        <v>5</v>
      </c>
      <c r="E795" t="inlineStr">
        <is>
          <t>primary</t>
        </is>
      </c>
      <c r="F795" t="n">
        <v>130.6238185255199</v>
      </c>
      <c r="G795">
        <f>2*SQRT(F795/PI())</f>
        <v/>
      </c>
      <c r="H795" t="n">
        <v>46.43964440926261</v>
      </c>
      <c r="I795" t="n">
        <v>548</v>
      </c>
      <c r="J795" t="n">
        <v>418</v>
      </c>
      <c r="K795" t="n">
        <v>128.0113421550095</v>
      </c>
      <c r="L795" t="n">
        <v>133.2362948960302</v>
      </c>
      <c r="M795">
        <f>2*SQRT(K795/PI())</f>
        <v/>
      </c>
      <c r="N795">
        <f>2*SQRT(L795/PI())</f>
        <v/>
      </c>
      <c r="P795" t="inlineStr">
        <is>
          <t>是</t>
        </is>
      </c>
      <c r="Q795" t="inlineStr">
        <is>
          <t>auto_pipeline;review_png_green</t>
        </is>
      </c>
      <c r="R795" t="inlineStr">
        <is>
          <t>样品62</t>
        </is>
      </c>
    </row>
    <row r="796">
      <c r="A796" t="n">
        <v>795</v>
      </c>
      <c r="B796" t="inlineStr">
        <is>
          <t>62 (3).tif</t>
        </is>
      </c>
      <c r="C796" t="inlineStr">
        <is>
          <t>62(3)-V01</t>
        </is>
      </c>
      <c r="D796" t="n">
        <v>1</v>
      </c>
      <c r="E796" t="inlineStr">
        <is>
          <t>primary</t>
        </is>
      </c>
      <c r="F796" t="n">
        <v>913.6105860113422</v>
      </c>
      <c r="G796">
        <f>2*SQRT(F796/PI())</f>
        <v/>
      </c>
      <c r="H796" t="n">
        <v>113.3449704232423</v>
      </c>
      <c r="I796" t="n">
        <v>444</v>
      </c>
      <c r="J796" t="n">
        <v>458</v>
      </c>
      <c r="K796" t="n">
        <v>895.3383742911153</v>
      </c>
      <c r="L796" t="n">
        <v>931.8827977315691</v>
      </c>
      <c r="M796">
        <f>2*SQRT(K796/PI())</f>
        <v/>
      </c>
      <c r="N796">
        <f>2*SQRT(L796/PI())</f>
        <v/>
      </c>
      <c r="O796" t="inlineStr">
        <is>
          <t>62(3)-P01</t>
        </is>
      </c>
      <c r="P796" t="inlineStr">
        <is>
          <t>是</t>
        </is>
      </c>
      <c r="Q796" t="inlineStr">
        <is>
          <t>auto_pipeline;review_png_green</t>
        </is>
      </c>
      <c r="R796" t="inlineStr">
        <is>
          <t>样品62</t>
        </is>
      </c>
    </row>
    <row r="797">
      <c r="A797" t="n">
        <v>796</v>
      </c>
      <c r="B797" t="inlineStr">
        <is>
          <t>62 (3).tif</t>
        </is>
      </c>
      <c r="C797" t="inlineStr">
        <is>
          <t>62(3)-V02</t>
        </is>
      </c>
      <c r="D797" t="n">
        <v>2</v>
      </c>
      <c r="E797" t="inlineStr">
        <is>
          <t>primary</t>
        </is>
      </c>
      <c r="F797" t="n">
        <v>590.2410207939508</v>
      </c>
      <c r="G797">
        <f>2*SQRT(F797/PI())</f>
        <v/>
      </c>
      <c r="H797" t="n">
        <v>91.8205807260845</v>
      </c>
      <c r="I797" t="n">
        <v>144</v>
      </c>
      <c r="J797" t="n">
        <v>578</v>
      </c>
      <c r="K797" t="n">
        <v>578.4362003780718</v>
      </c>
      <c r="L797" t="n">
        <v>602.0458412098299</v>
      </c>
      <c r="M797">
        <f>2*SQRT(K797/PI())</f>
        <v/>
      </c>
      <c r="N797">
        <f>2*SQRT(L797/PI())</f>
        <v/>
      </c>
      <c r="P797" t="inlineStr">
        <is>
          <t>是</t>
        </is>
      </c>
      <c r="Q797" t="inlineStr">
        <is>
          <t>auto_pipeline;review_png_green</t>
        </is>
      </c>
      <c r="R797" t="inlineStr">
        <is>
          <t>样品62</t>
        </is>
      </c>
    </row>
    <row r="798">
      <c r="A798" t="n">
        <v>797</v>
      </c>
      <c r="B798" t="inlineStr">
        <is>
          <t>62 (3).tif</t>
        </is>
      </c>
      <c r="C798" t="inlineStr">
        <is>
          <t>62(3)-V03</t>
        </is>
      </c>
      <c r="D798" t="n">
        <v>3</v>
      </c>
      <c r="E798" t="inlineStr">
        <is>
          <t>primary</t>
        </is>
      </c>
      <c r="F798" t="n">
        <v>549.1493383742911</v>
      </c>
      <c r="G798">
        <f>2*SQRT(F798/PI())</f>
        <v/>
      </c>
      <c r="H798" t="n">
        <v>88.00398313480875</v>
      </c>
      <c r="I798" t="n">
        <v>531</v>
      </c>
      <c r="J798" t="n">
        <v>330</v>
      </c>
      <c r="K798" t="n">
        <v>538.1663516068053</v>
      </c>
      <c r="L798" t="n">
        <v>560.132325141777</v>
      </c>
      <c r="M798">
        <f>2*SQRT(K798/PI())</f>
        <v/>
      </c>
      <c r="N798">
        <f>2*SQRT(L798/PI())</f>
        <v/>
      </c>
      <c r="O798" t="inlineStr">
        <is>
          <t>62(3)-P01</t>
        </is>
      </c>
      <c r="P798" t="inlineStr">
        <is>
          <t>是</t>
        </is>
      </c>
      <c r="Q798" t="inlineStr">
        <is>
          <t>auto_pipeline;review_png_green</t>
        </is>
      </c>
      <c r="R798" t="inlineStr">
        <is>
          <t>样品62</t>
        </is>
      </c>
    </row>
    <row r="799">
      <c r="A799" t="n">
        <v>798</v>
      </c>
      <c r="B799" t="inlineStr">
        <is>
          <t>62 (3).tif</t>
        </is>
      </c>
      <c r="C799" t="inlineStr">
        <is>
          <t>62(3)-V04</t>
        </is>
      </c>
      <c r="D799" t="n">
        <v>4</v>
      </c>
      <c r="E799" t="inlineStr">
        <is>
          <t>primary</t>
        </is>
      </c>
      <c r="F799" t="n">
        <v>334.0737240075615</v>
      </c>
      <c r="G799">
        <f>2*SQRT(F799/PI())</f>
        <v/>
      </c>
      <c r="H799" t="n">
        <v>69.4703237388445</v>
      </c>
      <c r="I799" t="n">
        <v>749</v>
      </c>
      <c r="J799" t="n">
        <v>57</v>
      </c>
      <c r="K799" t="n">
        <v>327.3922495274102</v>
      </c>
      <c r="L799" t="n">
        <v>340.7551984877127</v>
      </c>
      <c r="M799">
        <f>2*SQRT(K799/PI())</f>
        <v/>
      </c>
      <c r="N799">
        <f>2*SQRT(L799/PI())</f>
        <v/>
      </c>
      <c r="P799" t="inlineStr">
        <is>
          <t>是</t>
        </is>
      </c>
      <c r="Q799" t="inlineStr">
        <is>
          <t>auto_pipeline;review_png_green</t>
        </is>
      </c>
      <c r="R799" t="inlineStr">
        <is>
          <t>样品62</t>
        </is>
      </c>
    </row>
    <row r="800">
      <c r="A800" t="n">
        <v>799</v>
      </c>
      <c r="B800" t="inlineStr">
        <is>
          <t>62 (3).tif</t>
        </is>
      </c>
      <c r="C800" t="inlineStr">
        <is>
          <t>62(3)-V05</t>
        </is>
      </c>
      <c r="D800" t="n">
        <v>5</v>
      </c>
      <c r="E800" t="inlineStr">
        <is>
          <t>primary</t>
        </is>
      </c>
      <c r="F800" t="n">
        <v>116.2570888468809</v>
      </c>
      <c r="G800">
        <f>2*SQRT(F800/PI())</f>
        <v/>
      </c>
      <c r="H800" t="n">
        <v>41.52064079823701</v>
      </c>
      <c r="I800" t="n">
        <v>564</v>
      </c>
      <c r="J800" t="n">
        <v>358</v>
      </c>
      <c r="K800" t="n">
        <v>113.9319470699433</v>
      </c>
      <c r="L800" t="n">
        <v>118.5822306238185</v>
      </c>
      <c r="M800">
        <f>2*SQRT(K800/PI())</f>
        <v/>
      </c>
      <c r="N800">
        <f>2*SQRT(L800/PI())</f>
        <v/>
      </c>
      <c r="P800" t="inlineStr">
        <is>
          <t>是</t>
        </is>
      </c>
      <c r="Q800" t="inlineStr">
        <is>
          <t>auto_pipeline;review_png_green</t>
        </is>
      </c>
      <c r="R800" t="inlineStr">
        <is>
          <t>样品62</t>
        </is>
      </c>
    </row>
    <row r="801">
      <c r="A801" t="n">
        <v>800</v>
      </c>
      <c r="B801" t="inlineStr">
        <is>
          <t>62 (4).tif</t>
        </is>
      </c>
      <c r="C801" t="inlineStr">
        <is>
          <t>62(4)-V01</t>
        </is>
      </c>
      <c r="D801" t="n">
        <v>1</v>
      </c>
      <c r="E801" t="inlineStr">
        <is>
          <t>primary</t>
        </is>
      </c>
      <c r="F801" t="n">
        <v>626.1342155009452</v>
      </c>
      <c r="G801">
        <f>2*SQRT(F801/PI())</f>
        <v/>
      </c>
      <c r="H801" t="n">
        <v>93.68705604387365</v>
      </c>
      <c r="I801" t="n">
        <v>441</v>
      </c>
      <c r="J801" t="n">
        <v>389</v>
      </c>
      <c r="K801" t="n">
        <v>613.6115311909263</v>
      </c>
      <c r="L801" t="n">
        <v>638.6568998109641</v>
      </c>
      <c r="M801">
        <f>2*SQRT(K801/PI())</f>
        <v/>
      </c>
      <c r="N801">
        <f>2*SQRT(L801/PI())</f>
        <v/>
      </c>
      <c r="O801" t="inlineStr">
        <is>
          <t>62(4)-P01</t>
        </is>
      </c>
      <c r="P801" t="inlineStr">
        <is>
          <t>是</t>
        </is>
      </c>
      <c r="Q801" t="inlineStr">
        <is>
          <t>auto_pipeline;review_png_green</t>
        </is>
      </c>
      <c r="R801" t="inlineStr">
        <is>
          <t>样品62</t>
        </is>
      </c>
    </row>
    <row r="802">
      <c r="A802" t="n">
        <v>801</v>
      </c>
      <c r="B802" t="inlineStr">
        <is>
          <t>62 (4).tif</t>
        </is>
      </c>
      <c r="C802" t="inlineStr">
        <is>
          <t>62(4)-V02</t>
        </is>
      </c>
      <c r="D802" t="n">
        <v>2</v>
      </c>
      <c r="E802" t="inlineStr">
        <is>
          <t>primary</t>
        </is>
      </c>
      <c r="F802" t="n">
        <v>453.2136105860113</v>
      </c>
      <c r="G802">
        <f>2*SQRT(F802/PI())</f>
        <v/>
      </c>
      <c r="H802" t="n">
        <v>80.47628387160923</v>
      </c>
      <c r="I802" t="n">
        <v>551</v>
      </c>
      <c r="J802" t="n">
        <v>302</v>
      </c>
      <c r="K802" t="n">
        <v>444.1493383742911</v>
      </c>
      <c r="L802" t="n">
        <v>462.2778827977315</v>
      </c>
      <c r="M802">
        <f>2*SQRT(K802/PI())</f>
        <v/>
      </c>
      <c r="N802">
        <f>2*SQRT(L802/PI())</f>
        <v/>
      </c>
      <c r="O802" t="inlineStr">
        <is>
          <t>62(4)-P01</t>
        </is>
      </c>
      <c r="P802" t="inlineStr">
        <is>
          <t>是</t>
        </is>
      </c>
      <c r="Q802" t="inlineStr">
        <is>
          <t>auto_pipeline;review_png_green</t>
        </is>
      </c>
      <c r="R802" t="inlineStr">
        <is>
          <t>样品62</t>
        </is>
      </c>
    </row>
    <row r="803">
      <c r="A803" t="n">
        <v>802</v>
      </c>
      <c r="B803" t="inlineStr">
        <is>
          <t>62 (4).tif</t>
        </is>
      </c>
      <c r="C803" t="inlineStr">
        <is>
          <t>62(4)-V03</t>
        </is>
      </c>
      <c r="D803" t="n">
        <v>3</v>
      </c>
      <c r="E803" t="inlineStr">
        <is>
          <t>primary</t>
        </is>
      </c>
      <c r="F803" t="n">
        <v>429.9858223062382</v>
      </c>
      <c r="G803">
        <f>2*SQRT(F803/PI())</f>
        <v/>
      </c>
      <c r="H803" t="n">
        <v>77.99493310244186</v>
      </c>
      <c r="I803" t="n">
        <v>63</v>
      </c>
      <c r="J803" t="n">
        <v>313</v>
      </c>
      <c r="K803" t="n">
        <v>421.3861058601134</v>
      </c>
      <c r="L803" t="n">
        <v>438.5855387523629</v>
      </c>
      <c r="M803">
        <f>2*SQRT(K803/PI())</f>
        <v/>
      </c>
      <c r="N803">
        <f>2*SQRT(L803/PI())</f>
        <v/>
      </c>
      <c r="P803" t="inlineStr">
        <is>
          <t>是</t>
        </is>
      </c>
      <c r="Q803" t="inlineStr">
        <is>
          <t>auto_pipeline;review_png_green</t>
        </is>
      </c>
      <c r="R803" t="inlineStr">
        <is>
          <t>样品62</t>
        </is>
      </c>
    </row>
    <row r="804">
      <c r="A804" t="n">
        <v>803</v>
      </c>
      <c r="B804" t="inlineStr">
        <is>
          <t>62 (4).tif</t>
        </is>
      </c>
      <c r="C804" t="inlineStr">
        <is>
          <t>62(4)-V04</t>
        </is>
      </c>
      <c r="D804" t="n">
        <v>4</v>
      </c>
      <c r="E804" t="inlineStr">
        <is>
          <t>primary</t>
        </is>
      </c>
      <c r="F804" t="n">
        <v>150.968809073724</v>
      </c>
      <c r="G804">
        <f>2*SQRT(F804/PI())</f>
        <v/>
      </c>
      <c r="H804" t="n">
        <v>47.48025243696959</v>
      </c>
      <c r="I804" t="n">
        <v>843</v>
      </c>
      <c r="J804" t="n">
        <v>130</v>
      </c>
      <c r="K804" t="n">
        <v>147.9494328922495</v>
      </c>
      <c r="L804" t="n">
        <v>153.9881852551985</v>
      </c>
      <c r="M804">
        <f>2*SQRT(K804/PI())</f>
        <v/>
      </c>
      <c r="N804">
        <f>2*SQRT(L804/PI())</f>
        <v/>
      </c>
      <c r="P804" t="inlineStr">
        <is>
          <t>是</t>
        </is>
      </c>
      <c r="Q804" t="inlineStr">
        <is>
          <t>auto_pipeline;review_png_green</t>
        </is>
      </c>
      <c r="R804" t="inlineStr">
        <is>
          <t>样品62</t>
        </is>
      </c>
    </row>
    <row r="805">
      <c r="A805" t="n">
        <v>804</v>
      </c>
      <c r="B805" t="inlineStr">
        <is>
          <t>62 (4).tif</t>
        </is>
      </c>
      <c r="C805" t="inlineStr">
        <is>
          <t>62(4)-V05</t>
        </is>
      </c>
      <c r="D805" t="n">
        <v>5</v>
      </c>
      <c r="E805" t="inlineStr">
        <is>
          <t>primary</t>
        </is>
      </c>
      <c r="F805" t="n">
        <v>77.9773156899811</v>
      </c>
      <c r="G805">
        <f>2*SQRT(F805/PI())</f>
        <v/>
      </c>
      <c r="H805" t="n">
        <v>35.58287812315899</v>
      </c>
      <c r="I805" t="n">
        <v>598</v>
      </c>
      <c r="J805" t="n">
        <v>357</v>
      </c>
      <c r="K805" t="n">
        <v>76.41776937618147</v>
      </c>
      <c r="L805" t="n">
        <v>79.53686200378073</v>
      </c>
      <c r="M805">
        <f>2*SQRT(K805/PI())</f>
        <v/>
      </c>
      <c r="N805">
        <f>2*SQRT(L805/PI())</f>
        <v/>
      </c>
      <c r="P805" t="inlineStr">
        <is>
          <t>是</t>
        </is>
      </c>
      <c r="Q805" t="inlineStr">
        <is>
          <t>auto_pipeline;review_png_green</t>
        </is>
      </c>
      <c r="R805" t="inlineStr">
        <is>
          <t>样品62</t>
        </is>
      </c>
    </row>
    <row r="806">
      <c r="A806" t="n">
        <v>805</v>
      </c>
      <c r="B806" t="inlineStr">
        <is>
          <t>62 (5).tif</t>
        </is>
      </c>
      <c r="C806" t="inlineStr">
        <is>
          <t>62(5)-V01</t>
        </is>
      </c>
      <c r="D806" t="n">
        <v>1</v>
      </c>
      <c r="E806" t="inlineStr">
        <is>
          <t>primary</t>
        </is>
      </c>
      <c r="F806" t="n">
        <v>713.2561436672968</v>
      </c>
      <c r="G806">
        <f>2*SQRT(F806/PI())</f>
        <v/>
      </c>
      <c r="H806" t="n">
        <v>100.3670390533364</v>
      </c>
      <c r="I806" t="n">
        <v>446</v>
      </c>
      <c r="J806" t="n">
        <v>362</v>
      </c>
      <c r="K806" t="n">
        <v>698.9910207939508</v>
      </c>
      <c r="L806" t="n">
        <v>727.5212665406427</v>
      </c>
      <c r="M806">
        <f>2*SQRT(K806/PI())</f>
        <v/>
      </c>
      <c r="N806">
        <f>2*SQRT(L806/PI())</f>
        <v/>
      </c>
      <c r="O806" t="inlineStr">
        <is>
          <t>62(5)-P01</t>
        </is>
      </c>
      <c r="P806" t="inlineStr">
        <is>
          <t>是</t>
        </is>
      </c>
      <c r="Q806" t="inlineStr">
        <is>
          <t>auto_pipeline;review_png_green</t>
        </is>
      </c>
      <c r="R806" t="inlineStr">
        <is>
          <t>样品62</t>
        </is>
      </c>
    </row>
    <row r="807">
      <c r="A807" t="n">
        <v>806</v>
      </c>
      <c r="B807" t="inlineStr">
        <is>
          <t>62 (5).tif</t>
        </is>
      </c>
      <c r="C807" t="inlineStr">
        <is>
          <t>62(5)-V02</t>
        </is>
      </c>
      <c r="D807" t="n">
        <v>2</v>
      </c>
      <c r="E807" t="inlineStr">
        <is>
          <t>primary</t>
        </is>
      </c>
      <c r="F807" t="n">
        <v>587.6890359168242</v>
      </c>
      <c r="G807">
        <f>2*SQRT(F807/PI())</f>
        <v/>
      </c>
      <c r="H807" t="n">
        <v>90.84551958934121</v>
      </c>
      <c r="I807" t="n">
        <v>586</v>
      </c>
      <c r="J807" t="n">
        <v>291</v>
      </c>
      <c r="K807" t="n">
        <v>575.9352551984877</v>
      </c>
      <c r="L807" t="n">
        <v>599.4428166351607</v>
      </c>
      <c r="M807">
        <f>2*SQRT(K807/PI())</f>
        <v/>
      </c>
      <c r="N807">
        <f>2*SQRT(L807/PI())</f>
        <v/>
      </c>
      <c r="O807" t="inlineStr">
        <is>
          <t>62(5)-P01</t>
        </is>
      </c>
      <c r="P807" t="inlineStr">
        <is>
          <t>是</t>
        </is>
      </c>
      <c r="Q807" t="inlineStr">
        <is>
          <t>auto_pipeline;review_png_green</t>
        </is>
      </c>
      <c r="R807" t="inlineStr">
        <is>
          <t>样品62</t>
        </is>
      </c>
    </row>
    <row r="808">
      <c r="A808" t="n">
        <v>807</v>
      </c>
      <c r="B808" t="inlineStr">
        <is>
          <t>62 (5).tif</t>
        </is>
      </c>
      <c r="C808" t="inlineStr">
        <is>
          <t>62(5)-V03</t>
        </is>
      </c>
      <c r="D808" t="n">
        <v>3</v>
      </c>
      <c r="E808" t="inlineStr">
        <is>
          <t>primary</t>
        </is>
      </c>
      <c r="F808" t="n">
        <v>571.9754253308129</v>
      </c>
      <c r="G808">
        <f>2*SQRT(F808/PI())</f>
        <v/>
      </c>
      <c r="H808" t="n">
        <v>90.61267878698266</v>
      </c>
      <c r="I808" t="n">
        <v>96</v>
      </c>
      <c r="J808" t="n">
        <v>284</v>
      </c>
      <c r="K808" t="n">
        <v>560.5359168241966</v>
      </c>
      <c r="L808" t="n">
        <v>583.4149338374291</v>
      </c>
      <c r="M808">
        <f>2*SQRT(K808/PI())</f>
        <v/>
      </c>
      <c r="N808">
        <f>2*SQRT(L808/PI())</f>
        <v/>
      </c>
      <c r="P808" t="inlineStr">
        <is>
          <t>是</t>
        </is>
      </c>
      <c r="Q808" t="inlineStr">
        <is>
          <t>auto_pipeline;review_png_green</t>
        </is>
      </c>
      <c r="R808" t="inlineStr">
        <is>
          <t>样品62</t>
        </is>
      </c>
    </row>
    <row r="809">
      <c r="A809" t="n">
        <v>808</v>
      </c>
      <c r="B809" t="inlineStr">
        <is>
          <t>62 (5).tif</t>
        </is>
      </c>
      <c r="C809" t="inlineStr">
        <is>
          <t>62(5)-V04</t>
        </is>
      </c>
      <c r="D809" t="n">
        <v>4</v>
      </c>
      <c r="E809" t="inlineStr">
        <is>
          <t>primary</t>
        </is>
      </c>
      <c r="F809" t="n">
        <v>482.5378071833649</v>
      </c>
      <c r="G809">
        <f>2*SQRT(F809/PI())</f>
        <v/>
      </c>
      <c r="H809" t="n">
        <v>83.42331624549368</v>
      </c>
      <c r="I809" t="n">
        <v>952</v>
      </c>
      <c r="J809" t="n">
        <v>500</v>
      </c>
      <c r="K809" t="n">
        <v>472.8870510396976</v>
      </c>
      <c r="L809" t="n">
        <v>492.1885633270322</v>
      </c>
      <c r="M809">
        <f>2*SQRT(K809/PI())</f>
        <v/>
      </c>
      <c r="N809">
        <f>2*SQRT(L809/PI())</f>
        <v/>
      </c>
      <c r="P809" t="inlineStr">
        <is>
          <t>是</t>
        </is>
      </c>
      <c r="Q809" t="inlineStr">
        <is>
          <t>auto_pipeline;review_png_green</t>
        </is>
      </c>
      <c r="R809" t="inlineStr">
        <is>
          <t>样品62</t>
        </is>
      </c>
    </row>
    <row r="810">
      <c r="A810" t="n">
        <v>809</v>
      </c>
      <c r="B810" t="inlineStr">
        <is>
          <t>62 (5).tif</t>
        </is>
      </c>
      <c r="C810" t="inlineStr">
        <is>
          <t>62(5)-V05</t>
        </is>
      </c>
      <c r="D810" t="n">
        <v>5</v>
      </c>
      <c r="E810" t="inlineStr">
        <is>
          <t>primary</t>
        </is>
      </c>
      <c r="F810" t="n">
        <v>218.9744801512287</v>
      </c>
      <c r="G810">
        <f>2*SQRT(F810/PI())</f>
        <v/>
      </c>
      <c r="H810" t="n">
        <v>63.19422434205594</v>
      </c>
      <c r="I810" t="n">
        <v>756</v>
      </c>
      <c r="J810" t="n">
        <v>622</v>
      </c>
      <c r="K810" t="n">
        <v>214.5949905482042</v>
      </c>
      <c r="L810" t="n">
        <v>223.3539697542533</v>
      </c>
      <c r="M810">
        <f>2*SQRT(K810/PI())</f>
        <v/>
      </c>
      <c r="N810">
        <f>2*SQRT(L810/PI())</f>
        <v/>
      </c>
      <c r="P810" t="inlineStr">
        <is>
          <t>是</t>
        </is>
      </c>
      <c r="Q810" t="inlineStr">
        <is>
          <t>auto_pipeline;review_png_green</t>
        </is>
      </c>
      <c r="R810" t="inlineStr">
        <is>
          <t>样品62</t>
        </is>
      </c>
    </row>
    <row r="811">
      <c r="A811" t="n">
        <v>810</v>
      </c>
      <c r="B811" t="inlineStr">
        <is>
          <t>62 (5).tif</t>
        </is>
      </c>
      <c r="C811" t="inlineStr">
        <is>
          <t>62(5)-V06</t>
        </is>
      </c>
      <c r="D811" t="n">
        <v>6</v>
      </c>
      <c r="E811" t="inlineStr">
        <is>
          <t>primary</t>
        </is>
      </c>
      <c r="F811" t="n">
        <v>120.4395085066163</v>
      </c>
      <c r="G811">
        <f>2*SQRT(F811/PI())</f>
        <v/>
      </c>
      <c r="H811" t="n">
        <v>47.84043812233469</v>
      </c>
      <c r="I811" t="n">
        <v>434</v>
      </c>
      <c r="J811" t="n">
        <v>199</v>
      </c>
      <c r="K811" t="n">
        <v>118.0307183364839</v>
      </c>
      <c r="L811" t="n">
        <v>122.8482986767486</v>
      </c>
      <c r="M811">
        <f>2*SQRT(K811/PI())</f>
        <v/>
      </c>
      <c r="N811">
        <f>2*SQRT(L811/PI())</f>
        <v/>
      </c>
      <c r="P811" t="inlineStr">
        <is>
          <t>是</t>
        </is>
      </c>
      <c r="Q811" t="inlineStr">
        <is>
          <t>auto_pipeline;review_png_green</t>
        </is>
      </c>
      <c r="R811" t="inlineStr">
        <is>
          <t>样品62</t>
        </is>
      </c>
    </row>
    <row r="812">
      <c r="A812" t="n">
        <v>811</v>
      </c>
      <c r="B812" t="inlineStr">
        <is>
          <t>62 (6).tif</t>
        </is>
      </c>
      <c r="C812" t="inlineStr">
        <is>
          <t>62(6)-V01</t>
        </is>
      </c>
      <c r="D812" t="n">
        <v>1</v>
      </c>
      <c r="E812" t="inlineStr">
        <is>
          <t>primary</t>
        </is>
      </c>
      <c r="F812" t="n">
        <v>997.117202268431</v>
      </c>
      <c r="G812">
        <f>2*SQRT(F812/PI())</f>
        <v/>
      </c>
      <c r="H812" t="n">
        <v>118.1584781149159</v>
      </c>
      <c r="I812" t="n">
        <v>418</v>
      </c>
      <c r="J812" t="n">
        <v>367</v>
      </c>
      <c r="K812" t="n">
        <v>977.1748582230624</v>
      </c>
      <c r="L812" t="n">
        <v>1017.0595463138</v>
      </c>
      <c r="M812">
        <f>2*SQRT(K812/PI())</f>
        <v/>
      </c>
      <c r="N812">
        <f>2*SQRT(L812/PI())</f>
        <v/>
      </c>
      <c r="O812" t="inlineStr">
        <is>
          <t>62(6)-P01</t>
        </is>
      </c>
      <c r="P812" t="inlineStr">
        <is>
          <t>是</t>
        </is>
      </c>
      <c r="Q812" t="inlineStr">
        <is>
          <t>auto_pipeline;review_png_green</t>
        </is>
      </c>
      <c r="R812" t="inlineStr">
        <is>
          <t>样品62</t>
        </is>
      </c>
    </row>
    <row r="813">
      <c r="A813" t="n">
        <v>812</v>
      </c>
      <c r="B813" t="inlineStr">
        <is>
          <t>62 (6).tif</t>
        </is>
      </c>
      <c r="C813" t="inlineStr">
        <is>
          <t>62(6)-V02</t>
        </is>
      </c>
      <c r="D813" t="n">
        <v>2</v>
      </c>
      <c r="E813" t="inlineStr">
        <is>
          <t>primary</t>
        </is>
      </c>
      <c r="F813" t="n">
        <v>973.5586011342155</v>
      </c>
      <c r="G813">
        <f>2*SQRT(F813/PI())</f>
        <v/>
      </c>
      <c r="H813" t="n">
        <v>116.801382329153</v>
      </c>
      <c r="I813" t="n">
        <v>589</v>
      </c>
      <c r="J813" t="n">
        <v>388</v>
      </c>
      <c r="K813" t="n">
        <v>954.0874291115312</v>
      </c>
      <c r="L813" t="n">
        <v>993.0297731568998</v>
      </c>
      <c r="M813">
        <f>2*SQRT(K813/PI())</f>
        <v/>
      </c>
      <c r="N813">
        <f>2*SQRT(L813/PI())</f>
        <v/>
      </c>
      <c r="O813" t="inlineStr">
        <is>
          <t>62(6)-P01</t>
        </is>
      </c>
      <c r="P813" t="inlineStr">
        <is>
          <t>是</t>
        </is>
      </c>
      <c r="Q813" t="inlineStr">
        <is>
          <t>auto_pipeline;review_png_green</t>
        </is>
      </c>
      <c r="R813" t="inlineStr">
        <is>
          <t>样品62</t>
        </is>
      </c>
    </row>
    <row r="814">
      <c r="A814" t="n">
        <v>813</v>
      </c>
      <c r="B814" t="inlineStr">
        <is>
          <t>62 (7).tif</t>
        </is>
      </c>
      <c r="C814" t="inlineStr">
        <is>
          <t>62(7)-V01</t>
        </is>
      </c>
      <c r="D814" t="n">
        <v>1</v>
      </c>
      <c r="E814" t="inlineStr">
        <is>
          <t>primary</t>
        </is>
      </c>
      <c r="F814" t="n">
        <v>961.5311909262759</v>
      </c>
      <c r="G814">
        <f>2*SQRT(F814/PI())</f>
        <v/>
      </c>
      <c r="H814" t="n">
        <v>116.0591619947682</v>
      </c>
      <c r="I814" t="n">
        <v>591</v>
      </c>
      <c r="J814" t="n">
        <v>415</v>
      </c>
      <c r="K814" t="n">
        <v>942.3005671077505</v>
      </c>
      <c r="L814" t="n">
        <v>980.7618147448014</v>
      </c>
      <c r="M814">
        <f>2*SQRT(K814/PI())</f>
        <v/>
      </c>
      <c r="N814">
        <f>2*SQRT(L814/PI())</f>
        <v/>
      </c>
      <c r="O814" t="inlineStr">
        <is>
          <t>62(7)-P01</t>
        </is>
      </c>
      <c r="P814" t="inlineStr">
        <is>
          <t>是</t>
        </is>
      </c>
      <c r="Q814" t="inlineStr">
        <is>
          <t>auto_pipeline;review_png_green</t>
        </is>
      </c>
      <c r="R814" t="inlineStr">
        <is>
          <t>样品62</t>
        </is>
      </c>
    </row>
    <row r="815">
      <c r="A815" t="n">
        <v>814</v>
      </c>
      <c r="B815" t="inlineStr">
        <is>
          <t>62 (7).tif</t>
        </is>
      </c>
      <c r="C815" t="inlineStr">
        <is>
          <t>62(7)-V02</t>
        </is>
      </c>
      <c r="D815" t="n">
        <v>2</v>
      </c>
      <c r="E815" t="inlineStr">
        <is>
          <t>primary</t>
        </is>
      </c>
      <c r="F815" t="n">
        <v>947.3298676748582</v>
      </c>
      <c r="G815">
        <f>2*SQRT(F815/PI())</f>
        <v/>
      </c>
      <c r="H815" t="n">
        <v>115.3169416603835</v>
      </c>
      <c r="I815" t="n">
        <v>438</v>
      </c>
      <c r="J815" t="n">
        <v>317</v>
      </c>
      <c r="K815" t="n">
        <v>928.383270321361</v>
      </c>
      <c r="L815" t="n">
        <v>966.2764650283553</v>
      </c>
      <c r="M815">
        <f>2*SQRT(K815/PI())</f>
        <v/>
      </c>
      <c r="N815">
        <f>2*SQRT(L815/PI())</f>
        <v/>
      </c>
      <c r="O815" t="inlineStr">
        <is>
          <t>62(7)-P01</t>
        </is>
      </c>
      <c r="P815" t="inlineStr">
        <is>
          <t>是</t>
        </is>
      </c>
      <c r="Q815" t="inlineStr">
        <is>
          <t>auto_pipeline;review_png_green</t>
        </is>
      </c>
      <c r="R815" t="inlineStr">
        <is>
          <t>样品62</t>
        </is>
      </c>
    </row>
    <row r="816">
      <c r="A816" t="n">
        <v>815</v>
      </c>
      <c r="B816" t="inlineStr">
        <is>
          <t>62 (7).tif</t>
        </is>
      </c>
      <c r="C816" t="inlineStr">
        <is>
          <t>62(7)-V03</t>
        </is>
      </c>
      <c r="D816" t="n">
        <v>3</v>
      </c>
      <c r="E816" t="inlineStr">
        <is>
          <t>primary</t>
        </is>
      </c>
      <c r="F816" t="n">
        <v>662.2873345935728</v>
      </c>
      <c r="G816">
        <f>2*SQRT(F816/PI())</f>
        <v/>
      </c>
      <c r="H816" t="n">
        <v>96.65593738141267</v>
      </c>
      <c r="I816" t="n">
        <v>778</v>
      </c>
      <c r="J816" t="n">
        <v>572</v>
      </c>
      <c r="K816" t="n">
        <v>649.0415879017014</v>
      </c>
      <c r="L816" t="n">
        <v>675.5330812854443</v>
      </c>
      <c r="M816">
        <f>2*SQRT(K816/PI())</f>
        <v/>
      </c>
      <c r="N816">
        <f>2*SQRT(L816/PI())</f>
        <v/>
      </c>
      <c r="P816" t="inlineStr">
        <is>
          <t>是</t>
        </is>
      </c>
      <c r="Q816" t="inlineStr">
        <is>
          <t>auto_pipeline;review_png_green</t>
        </is>
      </c>
      <c r="R816" t="inlineStr">
        <is>
          <t>样品62</t>
        </is>
      </c>
    </row>
    <row r="817">
      <c r="A817" t="n">
        <v>816</v>
      </c>
      <c r="B817" t="inlineStr">
        <is>
          <t>62 (8).tif</t>
        </is>
      </c>
      <c r="C817" t="inlineStr">
        <is>
          <t>62(8)-V01</t>
        </is>
      </c>
      <c r="D817" t="n">
        <v>1</v>
      </c>
      <c r="E817" t="inlineStr">
        <is>
          <t>primary</t>
        </is>
      </c>
      <c r="F817" t="n">
        <v>1172.42438563327</v>
      </c>
      <c r="G817">
        <f>2*SQRT(F817/PI())</f>
        <v/>
      </c>
      <c r="H817" t="n">
        <v>130.2668442674305</v>
      </c>
      <c r="I817" t="n">
        <v>510</v>
      </c>
      <c r="J817" t="n">
        <v>298</v>
      </c>
      <c r="K817" t="n">
        <v>1148.975897920605</v>
      </c>
      <c r="L817" t="n">
        <v>1195.872873345936</v>
      </c>
      <c r="M817">
        <f>2*SQRT(K817/PI())</f>
        <v/>
      </c>
      <c r="N817">
        <f>2*SQRT(L817/PI())</f>
        <v/>
      </c>
      <c r="P817" t="inlineStr">
        <is>
          <t>是</t>
        </is>
      </c>
      <c r="Q817" t="inlineStr">
        <is>
          <t>auto_pipeline;review_png_green</t>
        </is>
      </c>
      <c r="R817" t="inlineStr">
        <is>
          <t>样品62</t>
        </is>
      </c>
    </row>
    <row r="818">
      <c r="A818" t="n">
        <v>817</v>
      </c>
      <c r="B818" t="inlineStr">
        <is>
          <t>62 (8).tif</t>
        </is>
      </c>
      <c r="C818" t="inlineStr">
        <is>
          <t>62(8)-V02</t>
        </is>
      </c>
      <c r="D818" t="n">
        <v>2</v>
      </c>
      <c r="E818" t="inlineStr">
        <is>
          <t>primary</t>
        </is>
      </c>
      <c r="F818" t="n">
        <v>1015.689981096408</v>
      </c>
      <c r="G818">
        <f>2*SQRT(F818/PI())</f>
        <v/>
      </c>
      <c r="H818" t="n">
        <v>120.0031044690505</v>
      </c>
      <c r="I818" t="n">
        <v>745</v>
      </c>
      <c r="J818" t="n">
        <v>180</v>
      </c>
      <c r="K818" t="n">
        <v>995.3761814744802</v>
      </c>
      <c r="L818" t="n">
        <v>1036.003780718337</v>
      </c>
      <c r="M818">
        <f>2*SQRT(K818/PI())</f>
        <v/>
      </c>
      <c r="N818">
        <f>2*SQRT(L818/PI())</f>
        <v/>
      </c>
      <c r="P818" t="inlineStr">
        <is>
          <t>是</t>
        </is>
      </c>
      <c r="Q818" t="inlineStr">
        <is>
          <t>auto_pipeline;review_png_green</t>
        </is>
      </c>
      <c r="R818" t="inlineStr">
        <is>
          <t>样品62</t>
        </is>
      </c>
    </row>
    <row r="819">
      <c r="A819" t="n">
        <v>818</v>
      </c>
      <c r="B819" t="inlineStr">
        <is>
          <t>62 (8).tif</t>
        </is>
      </c>
      <c r="C819" t="inlineStr">
        <is>
          <t>62(8)-V03</t>
        </is>
      </c>
      <c r="D819" t="n">
        <v>3</v>
      </c>
      <c r="E819" t="inlineStr">
        <is>
          <t>primary</t>
        </is>
      </c>
      <c r="F819" t="n">
        <v>561.4366729678638</v>
      </c>
      <c r="G819">
        <f>2*SQRT(F819/PI())</f>
        <v/>
      </c>
      <c r="H819" t="n">
        <v>88.87354835220005</v>
      </c>
      <c r="I819" t="n">
        <v>122</v>
      </c>
      <c r="J819" t="n">
        <v>378</v>
      </c>
      <c r="K819" t="n">
        <v>550.2079395085066</v>
      </c>
      <c r="L819" t="n">
        <v>572.6654064272211</v>
      </c>
      <c r="M819">
        <f>2*SQRT(K819/PI())</f>
        <v/>
      </c>
      <c r="N819">
        <f>2*SQRT(L819/PI())</f>
        <v/>
      </c>
      <c r="P819" t="inlineStr">
        <is>
          <t>是</t>
        </is>
      </c>
      <c r="Q819" t="inlineStr">
        <is>
          <t>auto_pipeline;review_png_green</t>
        </is>
      </c>
      <c r="R819" t="inlineStr">
        <is>
          <t>样品62</t>
        </is>
      </c>
    </row>
    <row r="820">
      <c r="A820" t="n">
        <v>819</v>
      </c>
      <c r="B820" t="inlineStr">
        <is>
          <t>62 (8).tif</t>
        </is>
      </c>
      <c r="C820" t="inlineStr">
        <is>
          <t>62(8)-V04</t>
        </is>
      </c>
      <c r="D820" t="n">
        <v>4</v>
      </c>
      <c r="E820" t="inlineStr">
        <is>
          <t>primary</t>
        </is>
      </c>
      <c r="F820" t="n">
        <v>457.0888468809074</v>
      </c>
      <c r="G820">
        <f>2*SQRT(F820/PI())</f>
        <v/>
      </c>
      <c r="H820" t="n">
        <v>80.22159410559613</v>
      </c>
      <c r="I820" t="n">
        <v>551</v>
      </c>
      <c r="J820" t="n">
        <v>320</v>
      </c>
      <c r="K820" t="n">
        <v>447.9470699432893</v>
      </c>
      <c r="L820" t="n">
        <v>466.2306238185255</v>
      </c>
      <c r="M820">
        <f>2*SQRT(K820/PI())</f>
        <v/>
      </c>
      <c r="N820">
        <f>2*SQRT(L820/PI())</f>
        <v/>
      </c>
      <c r="O820" t="inlineStr">
        <is>
          <t>62(8)-P01</t>
        </is>
      </c>
      <c r="P820" t="inlineStr">
        <is>
          <t>是</t>
        </is>
      </c>
      <c r="Q820" t="inlineStr">
        <is>
          <t>auto_pipeline;review_png_green</t>
        </is>
      </c>
      <c r="R820" t="inlineStr">
        <is>
          <t>样品62</t>
        </is>
      </c>
    </row>
    <row r="821">
      <c r="A821" t="n">
        <v>820</v>
      </c>
      <c r="B821" t="inlineStr">
        <is>
          <t>62 (8).tif</t>
        </is>
      </c>
      <c r="C821" t="inlineStr">
        <is>
          <t>62(8)-V05</t>
        </is>
      </c>
      <c r="D821" t="n">
        <v>5</v>
      </c>
      <c r="E821" t="inlineStr">
        <is>
          <t>primary</t>
        </is>
      </c>
      <c r="F821" t="n">
        <v>456.8998109640832</v>
      </c>
      <c r="G821">
        <f>2*SQRT(F821/PI())</f>
        <v/>
      </c>
      <c r="H821" t="n">
        <v>79.96690433958302</v>
      </c>
      <c r="I821" t="n">
        <v>448</v>
      </c>
      <c r="J821" t="n">
        <v>405</v>
      </c>
      <c r="K821" t="n">
        <v>447.7618147448015</v>
      </c>
      <c r="L821" t="n">
        <v>466.0378071833649</v>
      </c>
      <c r="M821">
        <f>2*SQRT(K821/PI())</f>
        <v/>
      </c>
      <c r="N821">
        <f>2*SQRT(L821/PI())</f>
        <v/>
      </c>
      <c r="O821" t="inlineStr">
        <is>
          <t>62(8)-P01</t>
        </is>
      </c>
      <c r="P821" t="inlineStr">
        <is>
          <t>是</t>
        </is>
      </c>
      <c r="Q821" t="inlineStr">
        <is>
          <t>auto_pipeline;review_png_green</t>
        </is>
      </c>
      <c r="R821" t="inlineStr">
        <is>
          <t>样品62</t>
        </is>
      </c>
    </row>
    <row r="822">
      <c r="A822" t="n">
        <v>821</v>
      </c>
      <c r="B822" t="inlineStr">
        <is>
          <t>62 (8).tif</t>
        </is>
      </c>
      <c r="C822" t="inlineStr">
        <is>
          <t>62(8)-V06</t>
        </is>
      </c>
      <c r="D822" t="n">
        <v>6</v>
      </c>
      <c r="E822" t="inlineStr">
        <is>
          <t>primary</t>
        </is>
      </c>
      <c r="F822" t="n">
        <v>200.1654064272212</v>
      </c>
      <c r="G822">
        <f>2*SQRT(F822/PI())</f>
        <v/>
      </c>
      <c r="H822" t="n">
        <v>60.13794714989869</v>
      </c>
      <c r="I822" t="n">
        <v>618</v>
      </c>
      <c r="J822" t="n">
        <v>387</v>
      </c>
      <c r="K822" t="n">
        <v>196.1620982986767</v>
      </c>
      <c r="L822" t="n">
        <v>204.1687145557656</v>
      </c>
      <c r="M822">
        <f>2*SQRT(K822/PI())</f>
        <v/>
      </c>
      <c r="N822">
        <f>2*SQRT(L822/PI())</f>
        <v/>
      </c>
      <c r="P822" t="inlineStr">
        <is>
          <t>是</t>
        </is>
      </c>
      <c r="Q822" t="inlineStr">
        <is>
          <t>auto_pipeline;review_png_green</t>
        </is>
      </c>
      <c r="R822" t="inlineStr">
        <is>
          <t>样品62</t>
        </is>
      </c>
    </row>
    <row r="823">
      <c r="A823" t="n">
        <v>822</v>
      </c>
      <c r="B823" t="inlineStr">
        <is>
          <t>62 (8).tif</t>
        </is>
      </c>
      <c r="C823" t="inlineStr">
        <is>
          <t>62(8)-V07</t>
        </is>
      </c>
      <c r="D823" t="n">
        <v>7</v>
      </c>
      <c r="E823" t="inlineStr">
        <is>
          <t>primary</t>
        </is>
      </c>
      <c r="F823" t="n">
        <v>159.7117202268431</v>
      </c>
      <c r="G823">
        <f>2*SQRT(F823/PI())</f>
        <v/>
      </c>
      <c r="H823" t="n">
        <v>50.04525016183438</v>
      </c>
      <c r="I823" t="n">
        <v>699</v>
      </c>
      <c r="J823" t="n">
        <v>317</v>
      </c>
      <c r="K823" t="n">
        <v>156.5174858223062</v>
      </c>
      <c r="L823" t="n">
        <v>162.90595463138</v>
      </c>
      <c r="M823">
        <f>2*SQRT(K823/PI())</f>
        <v/>
      </c>
      <c r="N823">
        <f>2*SQRT(L823/PI())</f>
        <v/>
      </c>
      <c r="P823" t="inlineStr">
        <is>
          <t>是</t>
        </is>
      </c>
      <c r="Q823" t="inlineStr">
        <is>
          <t>auto_pipeline;review_png_green</t>
        </is>
      </c>
      <c r="R823" t="inlineStr">
        <is>
          <t>样品62</t>
        </is>
      </c>
    </row>
    <row r="824">
      <c r="A824" t="n">
        <v>823</v>
      </c>
      <c r="B824" t="inlineStr">
        <is>
          <t>62 (8).tif</t>
        </is>
      </c>
      <c r="C824" t="inlineStr">
        <is>
          <t>62(8)-V08</t>
        </is>
      </c>
      <c r="D824" t="n">
        <v>8</v>
      </c>
      <c r="E824" t="inlineStr">
        <is>
          <t>primary</t>
        </is>
      </c>
      <c r="F824" t="n">
        <v>150.8506616257089</v>
      </c>
      <c r="G824">
        <f>2*SQRT(F824/PI())</f>
        <v/>
      </c>
      <c r="H824" t="n">
        <v>47.45840347331503</v>
      </c>
      <c r="I824" t="n">
        <v>545</v>
      </c>
      <c r="J824" t="n">
        <v>351</v>
      </c>
      <c r="K824" t="n">
        <v>147.8336483931947</v>
      </c>
      <c r="L824" t="n">
        <v>153.8676748582231</v>
      </c>
      <c r="M824">
        <f>2*SQRT(K824/PI())</f>
        <v/>
      </c>
      <c r="N824">
        <f>2*SQRT(L824/PI())</f>
        <v/>
      </c>
      <c r="P824" t="inlineStr">
        <is>
          <t>是</t>
        </is>
      </c>
      <c r="Q824" t="inlineStr">
        <is>
          <t>auto_pipeline;review_png_green</t>
        </is>
      </c>
      <c r="R824" t="inlineStr">
        <is>
          <t>样品62</t>
        </is>
      </c>
    </row>
    <row r="825">
      <c r="A825" t="n">
        <v>824</v>
      </c>
      <c r="B825" t="inlineStr">
        <is>
          <t>62 (8).tif</t>
        </is>
      </c>
      <c r="C825" t="inlineStr">
        <is>
          <t>62(8)-V09</t>
        </is>
      </c>
      <c r="D825" t="n">
        <v>9</v>
      </c>
      <c r="E825" t="inlineStr">
        <is>
          <t>primary</t>
        </is>
      </c>
      <c r="F825" t="n">
        <v>126.2523629489603</v>
      </c>
      <c r="G825">
        <f>2*SQRT(F825/PI())</f>
        <v/>
      </c>
      <c r="H825" t="n">
        <v>49.02649109778197</v>
      </c>
      <c r="I825" t="n">
        <v>837</v>
      </c>
      <c r="J825" t="n">
        <v>230</v>
      </c>
      <c r="K825" t="n">
        <v>123.7273156899811</v>
      </c>
      <c r="L825" t="n">
        <v>128.7774102079395</v>
      </c>
      <c r="M825">
        <f>2*SQRT(K825/PI())</f>
        <v/>
      </c>
      <c r="N825">
        <f>2*SQRT(L825/PI())</f>
        <v/>
      </c>
      <c r="P825" t="inlineStr">
        <is>
          <t>是</t>
        </is>
      </c>
      <c r="Q825" t="inlineStr">
        <is>
          <t>auto_pipeline;review_png_green</t>
        </is>
      </c>
      <c r="R825" t="inlineStr">
        <is>
          <t>样品62</t>
        </is>
      </c>
    </row>
    <row r="826">
      <c r="A826" t="n">
        <v>825</v>
      </c>
      <c r="B826" t="inlineStr">
        <is>
          <t>63 (1).tif</t>
        </is>
      </c>
      <c r="C826" t="inlineStr">
        <is>
          <t>63(1)-V01</t>
        </is>
      </c>
      <c r="D826" t="n">
        <v>1</v>
      </c>
      <c r="E826" t="inlineStr">
        <is>
          <t>primary</t>
        </is>
      </c>
      <c r="F826" t="n">
        <v>633.695652173913</v>
      </c>
      <c r="G826">
        <f>2*SQRT(F826/PI())</f>
        <v/>
      </c>
      <c r="H826" t="n">
        <v>94.30193149525186</v>
      </c>
      <c r="I826" t="n">
        <v>461</v>
      </c>
      <c r="J826" t="n">
        <v>446</v>
      </c>
      <c r="K826" t="n">
        <v>621.0217391304348</v>
      </c>
      <c r="L826" t="n">
        <v>646.3695652173913</v>
      </c>
      <c r="M826">
        <f>2*SQRT(K826/PI())</f>
        <v/>
      </c>
      <c r="N826">
        <f>2*SQRT(L826/PI())</f>
        <v/>
      </c>
      <c r="P826" t="inlineStr">
        <is>
          <t>是</t>
        </is>
      </c>
      <c r="Q826" t="inlineStr">
        <is>
          <t>auto_pipeline;review_png_green</t>
        </is>
      </c>
      <c r="R826" t="inlineStr">
        <is>
          <t>样品63</t>
        </is>
      </c>
    </row>
    <row r="827">
      <c r="A827" t="n">
        <v>826</v>
      </c>
      <c r="B827" t="inlineStr">
        <is>
          <t>63 (1).tif</t>
        </is>
      </c>
      <c r="C827" t="inlineStr">
        <is>
          <t>63(1)-V02</t>
        </is>
      </c>
      <c r="D827" t="n">
        <v>2</v>
      </c>
      <c r="E827" t="inlineStr">
        <is>
          <t>primary</t>
        </is>
      </c>
      <c r="F827" t="n">
        <v>509.4517958412098</v>
      </c>
      <c r="G827">
        <f>2*SQRT(F827/PI())</f>
        <v/>
      </c>
      <c r="H827" t="n">
        <v>86.62503838539124</v>
      </c>
      <c r="I827" t="n">
        <v>922</v>
      </c>
      <c r="J827" t="n">
        <v>613</v>
      </c>
      <c r="K827" t="n">
        <v>499.2627599243856</v>
      </c>
      <c r="L827" t="n">
        <v>519.6408317580341</v>
      </c>
      <c r="M827">
        <f>2*SQRT(K827/PI())</f>
        <v/>
      </c>
      <c r="N827">
        <f>2*SQRT(L827/PI())</f>
        <v/>
      </c>
      <c r="P827" t="inlineStr">
        <is>
          <t>是</t>
        </is>
      </c>
      <c r="Q827" t="inlineStr">
        <is>
          <t>auto_pipeline;review_png_green</t>
        </is>
      </c>
      <c r="R827" t="inlineStr">
        <is>
          <t>样品63</t>
        </is>
      </c>
    </row>
    <row r="828">
      <c r="A828" t="n">
        <v>827</v>
      </c>
      <c r="B828" t="inlineStr">
        <is>
          <t>63 (2).tif</t>
        </is>
      </c>
      <c r="C828" t="inlineStr">
        <is>
          <t>63(2)-V01</t>
        </is>
      </c>
      <c r="D828" t="n">
        <v>1</v>
      </c>
      <c r="E828" t="inlineStr">
        <is>
          <t>primary</t>
        </is>
      </c>
      <c r="F828" t="n">
        <v>715.359168241966</v>
      </c>
      <c r="G828">
        <f>2*SQRT(F828/PI())</f>
        <v/>
      </c>
      <c r="H828" t="n">
        <v>100.494383936343</v>
      </c>
      <c r="I828" t="n">
        <v>247</v>
      </c>
      <c r="J828" t="n">
        <v>344</v>
      </c>
      <c r="K828" t="n">
        <v>701.0519848771266</v>
      </c>
      <c r="L828" t="n">
        <v>729.6663516068054</v>
      </c>
      <c r="M828">
        <f>2*SQRT(K828/PI())</f>
        <v/>
      </c>
      <c r="N828">
        <f>2*SQRT(L828/PI())</f>
        <v/>
      </c>
      <c r="P828" t="inlineStr">
        <is>
          <t>是</t>
        </is>
      </c>
      <c r="Q828" t="inlineStr">
        <is>
          <t>auto_pipeline;review_png_green</t>
        </is>
      </c>
      <c r="R828" t="inlineStr">
        <is>
          <t>样品63</t>
        </is>
      </c>
    </row>
    <row r="829">
      <c r="A829" t="n">
        <v>828</v>
      </c>
      <c r="B829" t="inlineStr">
        <is>
          <t>63 (2).tif</t>
        </is>
      </c>
      <c r="C829" t="inlineStr">
        <is>
          <t>63(2)-V02</t>
        </is>
      </c>
      <c r="D829" t="n">
        <v>2</v>
      </c>
      <c r="E829" t="inlineStr">
        <is>
          <t>primary</t>
        </is>
      </c>
      <c r="F829" t="n">
        <v>570.3922495274102</v>
      </c>
      <c r="G829">
        <f>2*SQRT(F829/PI())</f>
        <v/>
      </c>
      <c r="H829" t="n">
        <v>89.9759543719499</v>
      </c>
      <c r="I829" t="n">
        <v>438</v>
      </c>
      <c r="J829" t="n">
        <v>342</v>
      </c>
      <c r="K829" t="n">
        <v>558.9844045368619</v>
      </c>
      <c r="L829" t="n">
        <v>581.8000945179584</v>
      </c>
      <c r="M829">
        <f>2*SQRT(K829/PI())</f>
        <v/>
      </c>
      <c r="N829">
        <f>2*SQRT(L829/PI())</f>
        <v/>
      </c>
      <c r="P829" t="inlineStr">
        <is>
          <t>是</t>
        </is>
      </c>
      <c r="Q829" t="inlineStr">
        <is>
          <t>auto_pipeline;review_png_green</t>
        </is>
      </c>
      <c r="R829" t="inlineStr">
        <is>
          <t>样品63</t>
        </is>
      </c>
    </row>
    <row r="830">
      <c r="A830" t="n">
        <v>829</v>
      </c>
      <c r="B830" t="inlineStr">
        <is>
          <t>63 (2).tif</t>
        </is>
      </c>
      <c r="C830" t="inlineStr">
        <is>
          <t>63(2)-V03</t>
        </is>
      </c>
      <c r="D830" t="n">
        <v>3</v>
      </c>
      <c r="E830" t="inlineStr">
        <is>
          <t>primary</t>
        </is>
      </c>
      <c r="F830" t="n">
        <v>489.9574669187145</v>
      </c>
      <c r="G830">
        <f>2*SQRT(F830/PI())</f>
        <v/>
      </c>
      <c r="H830" t="n">
        <v>83.06313056012858</v>
      </c>
      <c r="I830" t="n">
        <v>578</v>
      </c>
      <c r="J830" t="n">
        <v>350</v>
      </c>
      <c r="K830" t="n">
        <v>480.1583175803402</v>
      </c>
      <c r="L830" t="n">
        <v>499.7566162570889</v>
      </c>
      <c r="M830">
        <f>2*SQRT(K830/PI())</f>
        <v/>
      </c>
      <c r="N830">
        <f>2*SQRT(L830/PI())</f>
        <v/>
      </c>
      <c r="P830" t="inlineStr">
        <is>
          <t>是</t>
        </is>
      </c>
      <c r="Q830" t="inlineStr">
        <is>
          <t>auto_pipeline;review_png_green</t>
        </is>
      </c>
      <c r="R830" t="inlineStr">
        <is>
          <t>样品63</t>
        </is>
      </c>
    </row>
    <row r="831">
      <c r="A831" t="n">
        <v>830</v>
      </c>
      <c r="B831" t="inlineStr">
        <is>
          <t>63 (2).tif</t>
        </is>
      </c>
      <c r="C831" t="inlineStr">
        <is>
          <t>63(2)-V04</t>
        </is>
      </c>
      <c r="D831" t="n">
        <v>4</v>
      </c>
      <c r="E831" t="inlineStr">
        <is>
          <t>primary</t>
        </is>
      </c>
      <c r="F831" t="n">
        <v>426.8194706994329</v>
      </c>
      <c r="G831">
        <f>2*SQRT(F831/PI())</f>
        <v/>
      </c>
      <c r="H831" t="n">
        <v>78.24962286845498</v>
      </c>
      <c r="I831" t="n">
        <v>773</v>
      </c>
      <c r="J831" t="n">
        <v>473</v>
      </c>
      <c r="K831" t="n">
        <v>418.2830812854442</v>
      </c>
      <c r="L831" t="n">
        <v>435.3558601134216</v>
      </c>
      <c r="M831">
        <f>2*SQRT(K831/PI())</f>
        <v/>
      </c>
      <c r="N831">
        <f>2*SQRT(L831/PI())</f>
        <v/>
      </c>
      <c r="P831" t="inlineStr">
        <is>
          <t>是</t>
        </is>
      </c>
      <c r="Q831" t="inlineStr">
        <is>
          <t>auto_pipeline;review_png_green</t>
        </is>
      </c>
      <c r="R831" t="inlineStr">
        <is>
          <t>样品63</t>
        </is>
      </c>
    </row>
    <row r="832">
      <c r="A832" t="n">
        <v>831</v>
      </c>
      <c r="B832" t="inlineStr">
        <is>
          <t>63 (2).tif</t>
        </is>
      </c>
      <c r="C832" t="inlineStr">
        <is>
          <t>63(2)-V05</t>
        </is>
      </c>
      <c r="D832" t="n">
        <v>5</v>
      </c>
      <c r="E832" t="inlineStr">
        <is>
          <t>primary</t>
        </is>
      </c>
      <c r="F832" t="n">
        <v>155.812854442344</v>
      </c>
      <c r="G832">
        <f>2*SQRT(F832/PI())</f>
        <v/>
      </c>
      <c r="H832" t="n">
        <v>47.81858915868013</v>
      </c>
      <c r="I832" t="n">
        <v>912</v>
      </c>
      <c r="J832" t="n">
        <v>441</v>
      </c>
      <c r="K832" t="n">
        <v>152.6965973534972</v>
      </c>
      <c r="L832" t="n">
        <v>158.9291115311909</v>
      </c>
      <c r="M832">
        <f>2*SQRT(K832/PI())</f>
        <v/>
      </c>
      <c r="N832">
        <f>2*SQRT(L832/PI())</f>
        <v/>
      </c>
      <c r="P832" t="inlineStr">
        <is>
          <t>是</t>
        </is>
      </c>
      <c r="Q832" t="inlineStr">
        <is>
          <t>auto_pipeline;review_png_green</t>
        </is>
      </c>
      <c r="R832" t="inlineStr">
        <is>
          <t>样品63</t>
        </is>
      </c>
    </row>
    <row r="833">
      <c r="A833" t="n">
        <v>832</v>
      </c>
      <c r="B833" t="inlineStr">
        <is>
          <t>63 (3).tif</t>
        </is>
      </c>
      <c r="C833" t="inlineStr">
        <is>
          <t>63(3)-V01</t>
        </is>
      </c>
      <c r="D833" t="n">
        <v>1</v>
      </c>
      <c r="E833" t="inlineStr">
        <is>
          <t>primary</t>
        </is>
      </c>
      <c r="F833" t="n">
        <v>645.7230623818525</v>
      </c>
      <c r="G833">
        <f>2*SQRT(F833/PI())</f>
        <v/>
      </c>
      <c r="H833" t="n">
        <v>96.52859249840611</v>
      </c>
      <c r="I833" t="n">
        <v>843</v>
      </c>
      <c r="J833" t="n">
        <v>113</v>
      </c>
      <c r="K833" t="n">
        <v>632.8086011342155</v>
      </c>
      <c r="L833" t="n">
        <v>658.6375236294896</v>
      </c>
      <c r="M833">
        <f>2*SQRT(K833/PI())</f>
        <v/>
      </c>
      <c r="N833">
        <f>2*SQRT(L833/PI())</f>
        <v/>
      </c>
      <c r="P833" t="inlineStr">
        <is>
          <t>是</t>
        </is>
      </c>
      <c r="Q833" t="inlineStr">
        <is>
          <t>auto_pipeline;review_png_green</t>
        </is>
      </c>
      <c r="R833" t="inlineStr">
        <is>
          <t>样品63</t>
        </is>
      </c>
    </row>
    <row r="834">
      <c r="A834" t="n">
        <v>833</v>
      </c>
      <c r="B834" t="inlineStr">
        <is>
          <t>63 (3).tif</t>
        </is>
      </c>
      <c r="C834" t="inlineStr">
        <is>
          <t>63(3)-V02</t>
        </is>
      </c>
      <c r="D834" t="n">
        <v>2</v>
      </c>
      <c r="E834" t="inlineStr">
        <is>
          <t>primary</t>
        </is>
      </c>
      <c r="F834" t="n">
        <v>529.6786389413988</v>
      </c>
      <c r="G834">
        <f>2*SQRT(F834/PI())</f>
        <v/>
      </c>
      <c r="H834" t="n">
        <v>87.64379744944365</v>
      </c>
      <c r="I834" t="n">
        <v>530</v>
      </c>
      <c r="J834" t="n">
        <v>420</v>
      </c>
      <c r="K834" t="n">
        <v>519.0850661625709</v>
      </c>
      <c r="L834" t="n">
        <v>540.2722117202268</v>
      </c>
      <c r="M834">
        <f>2*SQRT(K834/PI())</f>
        <v/>
      </c>
      <c r="N834">
        <f>2*SQRT(L834/PI())</f>
        <v/>
      </c>
      <c r="P834" t="inlineStr">
        <is>
          <t>是</t>
        </is>
      </c>
      <c r="Q834" t="inlineStr">
        <is>
          <t>auto_pipeline;review_png_green</t>
        </is>
      </c>
      <c r="R834" t="inlineStr">
        <is>
          <t>样品63</t>
        </is>
      </c>
    </row>
    <row r="835">
      <c r="A835" t="n">
        <v>834</v>
      </c>
      <c r="B835" t="inlineStr">
        <is>
          <t>63 (3).tif</t>
        </is>
      </c>
      <c r="C835" t="inlineStr">
        <is>
          <t>63(3)-V03</t>
        </is>
      </c>
      <c r="D835" t="n">
        <v>3</v>
      </c>
      <c r="E835" t="inlineStr">
        <is>
          <t>primary</t>
        </is>
      </c>
      <c r="F835" t="n">
        <v>414.461247637051</v>
      </c>
      <c r="G835">
        <f>2*SQRT(F835/PI())</f>
        <v/>
      </c>
      <c r="H835" t="n">
        <v>77.50740253407022</v>
      </c>
      <c r="I835" t="n">
        <v>249</v>
      </c>
      <c r="J835" t="n">
        <v>566</v>
      </c>
      <c r="K835" t="n">
        <v>406.17202268431</v>
      </c>
      <c r="L835" t="n">
        <v>422.7504725897921</v>
      </c>
      <c r="M835">
        <f>2*SQRT(K835/PI())</f>
        <v/>
      </c>
      <c r="N835">
        <f>2*SQRT(L835/PI())</f>
        <v/>
      </c>
      <c r="P835" t="inlineStr">
        <is>
          <t>是</t>
        </is>
      </c>
      <c r="Q835" t="inlineStr">
        <is>
          <t>auto_pipeline;review_png_green</t>
        </is>
      </c>
      <c r="R835" t="inlineStr">
        <is>
          <t>样品63</t>
        </is>
      </c>
    </row>
    <row r="836">
      <c r="A836" t="n">
        <v>835</v>
      </c>
      <c r="B836" t="inlineStr">
        <is>
          <t>63 (3).tif</t>
        </is>
      </c>
      <c r="C836" t="inlineStr">
        <is>
          <t>63(3)-V04</t>
        </is>
      </c>
      <c r="D836" t="n">
        <v>4</v>
      </c>
      <c r="E836" t="inlineStr">
        <is>
          <t>primary</t>
        </is>
      </c>
      <c r="F836" t="n">
        <v>235.4914933837429</v>
      </c>
      <c r="G836">
        <f>2*SQRT(F836/PI())</f>
        <v/>
      </c>
      <c r="H836" t="n">
        <v>59.07923905745796</v>
      </c>
      <c r="I836" t="n">
        <v>894</v>
      </c>
      <c r="J836" t="n">
        <v>542</v>
      </c>
      <c r="K836" t="n">
        <v>230.7816635160681</v>
      </c>
      <c r="L836" t="n">
        <v>240.2013232514178</v>
      </c>
      <c r="M836">
        <f>2*SQRT(K836/PI())</f>
        <v/>
      </c>
      <c r="N836">
        <f>2*SQRT(L836/PI())</f>
        <v/>
      </c>
      <c r="P836" t="inlineStr">
        <is>
          <t>是</t>
        </is>
      </c>
      <c r="Q836" t="inlineStr">
        <is>
          <t>auto_pipeline;review_png_green</t>
        </is>
      </c>
      <c r="R836" t="inlineStr">
        <is>
          <t>样品63</t>
        </is>
      </c>
    </row>
    <row r="837">
      <c r="A837" t="n">
        <v>836</v>
      </c>
      <c r="B837" t="inlineStr">
        <is>
          <t>63 (3).tif</t>
        </is>
      </c>
      <c r="C837" t="inlineStr">
        <is>
          <t>63(3)-V05</t>
        </is>
      </c>
      <c r="D837" t="n">
        <v>5</v>
      </c>
      <c r="E837" t="inlineStr">
        <is>
          <t>primary</t>
        </is>
      </c>
      <c r="F837" t="n">
        <v>230.9073724007561</v>
      </c>
      <c r="G837">
        <f>2*SQRT(F837/PI())</f>
        <v/>
      </c>
      <c r="H837" t="n">
        <v>79.28273309832034</v>
      </c>
      <c r="I837" t="n">
        <v>708</v>
      </c>
      <c r="J837" t="n">
        <v>172</v>
      </c>
      <c r="K837" t="n">
        <v>226.289224952741</v>
      </c>
      <c r="L837" t="n">
        <v>235.5255198487713</v>
      </c>
      <c r="M837">
        <f>2*SQRT(K837/PI())</f>
        <v/>
      </c>
      <c r="N837">
        <f>2*SQRT(L837/PI())</f>
        <v/>
      </c>
      <c r="P837" t="inlineStr">
        <is>
          <t>是</t>
        </is>
      </c>
      <c r="Q837" t="inlineStr">
        <is>
          <t>auto_pipeline;review_png_green</t>
        </is>
      </c>
      <c r="R837" t="inlineStr">
        <is>
          <t>样品63</t>
        </is>
      </c>
    </row>
    <row r="838">
      <c r="A838" t="n">
        <v>837</v>
      </c>
      <c r="B838" t="inlineStr">
        <is>
          <t>63 (3).tif</t>
        </is>
      </c>
      <c r="C838" t="inlineStr">
        <is>
          <t>63(3)-V06</t>
        </is>
      </c>
      <c r="D838" t="n">
        <v>6</v>
      </c>
      <c r="E838" t="inlineStr">
        <is>
          <t>primary</t>
        </is>
      </c>
      <c r="F838" t="n">
        <v>180.741965973535</v>
      </c>
      <c r="G838">
        <f>2*SQRT(F838/PI())</f>
        <v/>
      </c>
      <c r="H838" t="n">
        <v>51.52969083060389</v>
      </c>
      <c r="I838" t="n">
        <v>740</v>
      </c>
      <c r="J838" t="n">
        <v>439</v>
      </c>
      <c r="K838" t="n">
        <v>177.1271266540643</v>
      </c>
      <c r="L838" t="n">
        <v>184.3568052930057</v>
      </c>
      <c r="M838">
        <f>2*SQRT(K838/PI())</f>
        <v/>
      </c>
      <c r="N838">
        <f>2*SQRT(L838/PI())</f>
        <v/>
      </c>
      <c r="P838" t="inlineStr">
        <is>
          <t>是</t>
        </is>
      </c>
      <c r="Q838" t="inlineStr">
        <is>
          <t>auto_pipeline;review_png_green</t>
        </is>
      </c>
      <c r="R838" t="inlineStr">
        <is>
          <t>样品63</t>
        </is>
      </c>
    </row>
    <row r="839">
      <c r="A839" t="n">
        <v>838</v>
      </c>
      <c r="B839" t="inlineStr">
        <is>
          <t>63 (4).tif</t>
        </is>
      </c>
      <c r="C839" t="inlineStr">
        <is>
          <t>63(4)-V01</t>
        </is>
      </c>
      <c r="D839" t="n">
        <v>1</v>
      </c>
      <c r="E839" t="inlineStr">
        <is>
          <t>primary</t>
        </is>
      </c>
      <c r="F839" t="n">
        <v>528.875236294896</v>
      </c>
      <c r="G839">
        <f>2*SQRT(F839/PI())</f>
        <v/>
      </c>
      <c r="H839" t="n">
        <v>86.77423223205234</v>
      </c>
      <c r="I839" t="n">
        <v>521</v>
      </c>
      <c r="J839" t="n">
        <v>447</v>
      </c>
      <c r="K839" t="n">
        <v>518.2977315689981</v>
      </c>
      <c r="L839" t="n">
        <v>539.452741020794</v>
      </c>
      <c r="M839">
        <f>2*SQRT(K839/PI())</f>
        <v/>
      </c>
      <c r="N839">
        <f>2*SQRT(L839/PI())</f>
        <v/>
      </c>
      <c r="P839" t="inlineStr">
        <is>
          <t>是</t>
        </is>
      </c>
      <c r="Q839" t="inlineStr">
        <is>
          <t>auto_pipeline;review_png_green</t>
        </is>
      </c>
      <c r="R839" t="inlineStr">
        <is>
          <t>样品63</t>
        </is>
      </c>
    </row>
    <row r="840">
      <c r="A840" t="n">
        <v>839</v>
      </c>
      <c r="B840" t="inlineStr">
        <is>
          <t>63 (4).tif</t>
        </is>
      </c>
      <c r="C840" t="inlineStr">
        <is>
          <t>63(4)-V02</t>
        </is>
      </c>
      <c r="D840" t="n">
        <v>2</v>
      </c>
      <c r="E840" t="inlineStr">
        <is>
          <t>primary</t>
        </is>
      </c>
      <c r="F840" t="n">
        <v>462.3345935727788</v>
      </c>
      <c r="G840">
        <f>2*SQRT(F840/PI())</f>
        <v/>
      </c>
      <c r="H840" t="n">
        <v>80.83646955697432</v>
      </c>
      <c r="I840" t="n">
        <v>467</v>
      </c>
      <c r="J840" t="n">
        <v>309</v>
      </c>
      <c r="K840" t="n">
        <v>453.0879017013232</v>
      </c>
      <c r="L840" t="n">
        <v>471.5812854442344</v>
      </c>
      <c r="M840">
        <f>2*SQRT(K840/PI())</f>
        <v/>
      </c>
      <c r="N840">
        <f>2*SQRT(L840/PI())</f>
        <v/>
      </c>
      <c r="O840" t="inlineStr">
        <is>
          <t>63(4)-P01</t>
        </is>
      </c>
      <c r="P840" t="inlineStr">
        <is>
          <t>是</t>
        </is>
      </c>
      <c r="Q840" t="inlineStr">
        <is>
          <t>auto_pipeline;review_png_green</t>
        </is>
      </c>
      <c r="R840" t="inlineStr">
        <is>
          <t>样品63</t>
        </is>
      </c>
    </row>
    <row r="841">
      <c r="A841" t="n">
        <v>840</v>
      </c>
      <c r="B841" t="inlineStr">
        <is>
          <t>63 (4).tif</t>
        </is>
      </c>
      <c r="C841" t="inlineStr">
        <is>
          <t>63(4)-V03</t>
        </is>
      </c>
      <c r="D841" t="n">
        <v>3</v>
      </c>
      <c r="E841" t="inlineStr">
        <is>
          <t>primary</t>
        </is>
      </c>
      <c r="F841" t="n">
        <v>410.9168241965974</v>
      </c>
      <c r="G841">
        <f>2*SQRT(F841/PI())</f>
        <v/>
      </c>
      <c r="H841" t="n">
        <v>76.99802300204401</v>
      </c>
      <c r="I841" t="n">
        <v>857</v>
      </c>
      <c r="J841" t="n">
        <v>503</v>
      </c>
      <c r="K841" t="n">
        <v>402.6984877126654</v>
      </c>
      <c r="L841" t="n">
        <v>419.1351606805293</v>
      </c>
      <c r="M841">
        <f>2*SQRT(K841/PI())</f>
        <v/>
      </c>
      <c r="N841">
        <f>2*SQRT(L841/PI())</f>
        <v/>
      </c>
      <c r="P841" t="inlineStr">
        <is>
          <t>是</t>
        </is>
      </c>
      <c r="Q841" t="inlineStr">
        <is>
          <t>auto_pipeline;review_png_green</t>
        </is>
      </c>
      <c r="R841" t="inlineStr">
        <is>
          <t>样品63</t>
        </is>
      </c>
    </row>
    <row r="842">
      <c r="A842" t="n">
        <v>841</v>
      </c>
      <c r="B842" t="inlineStr">
        <is>
          <t>63 (4).tif</t>
        </is>
      </c>
      <c r="C842" t="inlineStr">
        <is>
          <t>63(4)-V04</t>
        </is>
      </c>
      <c r="D842" t="n">
        <v>4</v>
      </c>
      <c r="E842" t="inlineStr">
        <is>
          <t>primary</t>
        </is>
      </c>
      <c r="F842" t="n">
        <v>391.398865784499</v>
      </c>
      <c r="G842">
        <f>2*SQRT(F842/PI())</f>
        <v/>
      </c>
      <c r="H842" t="n">
        <v>77.40190661471823</v>
      </c>
      <c r="I842" t="n">
        <v>904</v>
      </c>
      <c r="J842" t="n">
        <v>632</v>
      </c>
      <c r="K842" t="n">
        <v>383.5708884688091</v>
      </c>
      <c r="L842" t="n">
        <v>399.226843100189</v>
      </c>
      <c r="M842">
        <f>2*SQRT(K842/PI())</f>
        <v/>
      </c>
      <c r="N842">
        <f>2*SQRT(L842/PI())</f>
        <v/>
      </c>
      <c r="P842" t="inlineStr">
        <is>
          <t>是</t>
        </is>
      </c>
      <c r="Q842" t="inlineStr">
        <is>
          <t>auto_pipeline;review_png_green</t>
        </is>
      </c>
      <c r="R842" t="inlineStr">
        <is>
          <t>样品63</t>
        </is>
      </c>
    </row>
    <row r="843">
      <c r="A843" t="n">
        <v>842</v>
      </c>
      <c r="B843" t="inlineStr">
        <is>
          <t>63 (4).tif</t>
        </is>
      </c>
      <c r="C843" t="inlineStr">
        <is>
          <t>63(4)-V05</t>
        </is>
      </c>
      <c r="D843" t="n">
        <v>5</v>
      </c>
      <c r="E843" t="inlineStr">
        <is>
          <t>primary</t>
        </is>
      </c>
      <c r="F843" t="n">
        <v>218.6200378071834</v>
      </c>
      <c r="G843">
        <f>2*SQRT(F843/PI())</f>
        <v/>
      </c>
      <c r="H843" t="n">
        <v>58.20967384006666</v>
      </c>
      <c r="I843" t="n">
        <v>61</v>
      </c>
      <c r="J843" t="n">
        <v>338</v>
      </c>
      <c r="K843" t="n">
        <v>214.2476370510397</v>
      </c>
      <c r="L843" t="n">
        <v>222.992438563327</v>
      </c>
      <c r="M843">
        <f>2*SQRT(K843/PI())</f>
        <v/>
      </c>
      <c r="N843">
        <f>2*SQRT(L843/PI())</f>
        <v/>
      </c>
      <c r="P843" t="inlineStr">
        <is>
          <t>是</t>
        </is>
      </c>
      <c r="Q843" t="inlineStr">
        <is>
          <t>auto_pipeline;review_png_green</t>
        </is>
      </c>
      <c r="R843" t="inlineStr">
        <is>
          <t>样品63</t>
        </is>
      </c>
    </row>
    <row r="844">
      <c r="A844" t="n">
        <v>843</v>
      </c>
      <c r="B844" t="inlineStr">
        <is>
          <t>63 (4).tif</t>
        </is>
      </c>
      <c r="C844" t="inlineStr">
        <is>
          <t>63(4)-V06</t>
        </is>
      </c>
      <c r="D844" t="n">
        <v>6</v>
      </c>
      <c r="E844" t="inlineStr">
        <is>
          <t>primary</t>
        </is>
      </c>
      <c r="F844" t="n">
        <v>160.4914933837429</v>
      </c>
      <c r="G844">
        <f>2*SQRT(F844/PI())</f>
        <v/>
      </c>
      <c r="H844" t="n">
        <v>48.83734822273254</v>
      </c>
      <c r="I844" t="n">
        <v>726</v>
      </c>
      <c r="J844" t="n">
        <v>291</v>
      </c>
      <c r="K844" t="n">
        <v>157.2816635160681</v>
      </c>
      <c r="L844" t="n">
        <v>163.7013232514178</v>
      </c>
      <c r="M844">
        <f>2*SQRT(K844/PI())</f>
        <v/>
      </c>
      <c r="N844">
        <f>2*SQRT(L844/PI())</f>
        <v/>
      </c>
      <c r="P844" t="inlineStr">
        <is>
          <t>是</t>
        </is>
      </c>
      <c r="Q844" t="inlineStr">
        <is>
          <t>auto_pipeline;review_png_green</t>
        </is>
      </c>
      <c r="R844" t="inlineStr">
        <is>
          <t>样品63</t>
        </is>
      </c>
    </row>
    <row r="845">
      <c r="A845" t="n">
        <v>844</v>
      </c>
      <c r="B845" t="inlineStr">
        <is>
          <t>63 (4).tif</t>
        </is>
      </c>
      <c r="C845" t="inlineStr">
        <is>
          <t>63(4)-V07</t>
        </is>
      </c>
      <c r="D845" t="n">
        <v>7</v>
      </c>
      <c r="E845" t="inlineStr">
        <is>
          <t>primary</t>
        </is>
      </c>
      <c r="F845" t="n">
        <v>132.2778827977316</v>
      </c>
      <c r="G845">
        <f>2*SQRT(F845/PI())</f>
        <v/>
      </c>
      <c r="H845" t="n">
        <v>44.99890166780223</v>
      </c>
      <c r="I845" t="n">
        <v>765</v>
      </c>
      <c r="J845" t="n">
        <v>402</v>
      </c>
      <c r="K845" t="n">
        <v>129.6323251417769</v>
      </c>
      <c r="L845" t="n">
        <v>134.9234404536862</v>
      </c>
      <c r="M845">
        <f>2*SQRT(K845/PI())</f>
        <v/>
      </c>
      <c r="N845">
        <f>2*SQRT(L845/PI())</f>
        <v/>
      </c>
      <c r="P845" t="inlineStr">
        <is>
          <t>是</t>
        </is>
      </c>
      <c r="Q845" t="inlineStr">
        <is>
          <t>auto_pipeline;review_png_green</t>
        </is>
      </c>
      <c r="R845" t="inlineStr">
        <is>
          <t>样品63</t>
        </is>
      </c>
    </row>
    <row r="846">
      <c r="A846" t="n">
        <v>845</v>
      </c>
      <c r="B846" t="inlineStr">
        <is>
          <t>63 (4).tif</t>
        </is>
      </c>
      <c r="C846" t="inlineStr">
        <is>
          <t>63(4)-V08</t>
        </is>
      </c>
      <c r="D846" t="n">
        <v>8</v>
      </c>
      <c r="E846" t="inlineStr">
        <is>
          <t>primary</t>
        </is>
      </c>
      <c r="F846" t="n">
        <v>81.00189035916824</v>
      </c>
      <c r="G846">
        <f>2*SQRT(F846/PI())</f>
        <v/>
      </c>
      <c r="H846" t="n">
        <v>36.1977535745372</v>
      </c>
      <c r="I846" t="n">
        <v>494</v>
      </c>
      <c r="J846" t="n">
        <v>338</v>
      </c>
      <c r="K846" t="n">
        <v>79.38185255198488</v>
      </c>
      <c r="L846" t="n">
        <v>82.62192816635161</v>
      </c>
      <c r="M846">
        <f>2*SQRT(K846/PI())</f>
        <v/>
      </c>
      <c r="N846">
        <f>2*SQRT(L846/PI())</f>
        <v/>
      </c>
      <c r="O846" t="inlineStr">
        <is>
          <t>63(4)-P01</t>
        </is>
      </c>
      <c r="P846" t="inlineStr">
        <is>
          <t>是</t>
        </is>
      </c>
      <c r="Q846" t="inlineStr">
        <is>
          <t>auto_pipeline;review_png_green</t>
        </is>
      </c>
      <c r="R846" t="inlineStr">
        <is>
          <t>样品63</t>
        </is>
      </c>
    </row>
    <row r="847">
      <c r="A847" t="n">
        <v>846</v>
      </c>
      <c r="B847" t="inlineStr">
        <is>
          <t>63 (5).tif</t>
        </is>
      </c>
      <c r="C847" t="inlineStr">
        <is>
          <t>63(5)-V01</t>
        </is>
      </c>
      <c r="D847" t="n">
        <v>1</v>
      </c>
      <c r="E847" t="inlineStr">
        <is>
          <t>primary</t>
        </is>
      </c>
      <c r="F847" t="n">
        <v>606.3327032136106</v>
      </c>
      <c r="G847">
        <f>2*SQRT(F847/PI())</f>
        <v/>
      </c>
      <c r="H847" t="n">
        <v>92.45730514111726</v>
      </c>
      <c r="I847" t="n">
        <v>480</v>
      </c>
      <c r="J847" t="n">
        <v>291</v>
      </c>
      <c r="K847" t="n">
        <v>594.2060491493384</v>
      </c>
      <c r="L847" t="n">
        <v>618.4593572778828</v>
      </c>
      <c r="M847">
        <f>2*SQRT(K847/PI())</f>
        <v/>
      </c>
      <c r="N847">
        <f>2*SQRT(L847/PI())</f>
        <v/>
      </c>
      <c r="O847" t="inlineStr">
        <is>
          <t>63(5)-P01</t>
        </is>
      </c>
      <c r="P847" t="inlineStr">
        <is>
          <t>是</t>
        </is>
      </c>
      <c r="Q847" t="inlineStr">
        <is>
          <t>auto_pipeline;review_png_green</t>
        </is>
      </c>
      <c r="R847" t="inlineStr">
        <is>
          <t>样品63</t>
        </is>
      </c>
    </row>
    <row r="848">
      <c r="A848" t="n">
        <v>847</v>
      </c>
      <c r="B848" t="inlineStr">
        <is>
          <t>63 (5).tif</t>
        </is>
      </c>
      <c r="C848" t="inlineStr">
        <is>
          <t>63(5)-V02</t>
        </is>
      </c>
      <c r="D848" t="n">
        <v>2</v>
      </c>
      <c r="E848" t="inlineStr">
        <is>
          <t>primary</t>
        </is>
      </c>
      <c r="F848" t="n">
        <v>605.741965973535</v>
      </c>
      <c r="G848">
        <f>2*SQRT(F848/PI())</f>
        <v/>
      </c>
      <c r="H848" t="n">
        <v>92.58465002412382</v>
      </c>
      <c r="I848" t="n">
        <v>499</v>
      </c>
      <c r="J848" t="n">
        <v>439</v>
      </c>
      <c r="K848" t="n">
        <v>593.6271266540643</v>
      </c>
      <c r="L848" t="n">
        <v>617.8568052930057</v>
      </c>
      <c r="M848">
        <f>2*SQRT(K848/PI())</f>
        <v/>
      </c>
      <c r="N848">
        <f>2*SQRT(L848/PI())</f>
        <v/>
      </c>
      <c r="O848" t="inlineStr">
        <is>
          <t>63(5)-P01</t>
        </is>
      </c>
      <c r="P848" t="inlineStr">
        <is>
          <t>是</t>
        </is>
      </c>
      <c r="Q848" t="inlineStr">
        <is>
          <t>auto_pipeline;review_png_green</t>
        </is>
      </c>
      <c r="R848" t="inlineStr">
        <is>
          <t>样品63</t>
        </is>
      </c>
    </row>
    <row r="849">
      <c r="A849" t="n">
        <v>848</v>
      </c>
      <c r="B849" t="inlineStr">
        <is>
          <t>63 (5).tif</t>
        </is>
      </c>
      <c r="C849" t="inlineStr">
        <is>
          <t>63(5)-V03</t>
        </is>
      </c>
      <c r="D849" t="n">
        <v>3</v>
      </c>
      <c r="E849" t="inlineStr">
        <is>
          <t>primary</t>
        </is>
      </c>
      <c r="F849" t="n">
        <v>554.820415879017</v>
      </c>
      <c r="G849">
        <f>2*SQRT(F849/PI())</f>
        <v/>
      </c>
      <c r="H849" t="n">
        <v>88.87354835220005</v>
      </c>
      <c r="I849" t="n">
        <v>320</v>
      </c>
      <c r="J849" t="n">
        <v>539</v>
      </c>
      <c r="K849" t="n">
        <v>543.7240075614367</v>
      </c>
      <c r="L849" t="n">
        <v>565.9168241965973</v>
      </c>
      <c r="M849">
        <f>2*SQRT(K849/PI())</f>
        <v/>
      </c>
      <c r="N849">
        <f>2*SQRT(L849/PI())</f>
        <v/>
      </c>
      <c r="P849" t="inlineStr">
        <is>
          <t>是</t>
        </is>
      </c>
      <c r="Q849" t="inlineStr">
        <is>
          <t>auto_pipeline;review_png_green</t>
        </is>
      </c>
      <c r="R849" t="inlineStr">
        <is>
          <t>样品63</t>
        </is>
      </c>
    </row>
    <row r="850">
      <c r="A850" t="n">
        <v>849</v>
      </c>
      <c r="B850" t="inlineStr">
        <is>
          <t>63 (5).tif</t>
        </is>
      </c>
      <c r="C850" t="inlineStr">
        <is>
          <t>63(5)-V04</t>
        </is>
      </c>
      <c r="D850" t="n">
        <v>4</v>
      </c>
      <c r="E850" t="inlineStr">
        <is>
          <t>primary</t>
        </is>
      </c>
      <c r="F850" t="n">
        <v>144.8724007561437</v>
      </c>
      <c r="G850">
        <f>2*SQRT(F850/PI())</f>
        <v/>
      </c>
      <c r="H850" t="n">
        <v>55.32443945822509</v>
      </c>
      <c r="I850" t="n">
        <v>541</v>
      </c>
      <c r="J850" t="n">
        <v>221</v>
      </c>
      <c r="K850" t="n">
        <v>141.9749527410208</v>
      </c>
      <c r="L850" t="n">
        <v>147.7698487712665</v>
      </c>
      <c r="M850">
        <f>2*SQRT(K850/PI())</f>
        <v/>
      </c>
      <c r="N850">
        <f>2*SQRT(L850/PI())</f>
        <v/>
      </c>
      <c r="P850" t="inlineStr">
        <is>
          <t>是</t>
        </is>
      </c>
      <c r="Q850" t="inlineStr">
        <is>
          <t>auto_pipeline;review_png_green</t>
        </is>
      </c>
      <c r="R850" t="inlineStr">
        <is>
          <t>样品63</t>
        </is>
      </c>
    </row>
    <row r="851">
      <c r="A851" t="n">
        <v>850</v>
      </c>
      <c r="B851" t="inlineStr">
        <is>
          <t>63 (6).tif</t>
        </is>
      </c>
      <c r="C851" t="inlineStr">
        <is>
          <t>63(6)-V01</t>
        </is>
      </c>
      <c r="D851" t="n">
        <v>1</v>
      </c>
      <c r="E851" t="inlineStr">
        <is>
          <t>primary</t>
        </is>
      </c>
      <c r="F851" t="n">
        <v>580.1275992438564</v>
      </c>
      <c r="G851">
        <f>2*SQRT(F851/PI())</f>
        <v/>
      </c>
      <c r="H851" t="n">
        <v>90.230644137963</v>
      </c>
      <c r="I851" t="n">
        <v>733</v>
      </c>
      <c r="J851" t="n">
        <v>595</v>
      </c>
      <c r="K851" t="n">
        <v>568.5250472589793</v>
      </c>
      <c r="L851" t="n">
        <v>591.7301512287335</v>
      </c>
      <c r="M851">
        <f>2*SQRT(K851/PI())</f>
        <v/>
      </c>
      <c r="N851">
        <f>2*SQRT(L851/PI())</f>
        <v/>
      </c>
      <c r="P851" t="inlineStr">
        <is>
          <t>是</t>
        </is>
      </c>
      <c r="Q851" t="inlineStr">
        <is>
          <t>auto_pipeline;review_png_green</t>
        </is>
      </c>
      <c r="R851" t="inlineStr">
        <is>
          <t>样品63</t>
        </is>
      </c>
    </row>
    <row r="852">
      <c r="A852" t="n">
        <v>851</v>
      </c>
      <c r="B852" t="inlineStr">
        <is>
          <t>63 (6).tif</t>
        </is>
      </c>
      <c r="C852" t="inlineStr">
        <is>
          <t>63(6)-V02</t>
        </is>
      </c>
      <c r="D852" t="n">
        <v>2</v>
      </c>
      <c r="E852" t="inlineStr">
        <is>
          <t>primary</t>
        </is>
      </c>
      <c r="F852" t="n">
        <v>521.195652173913</v>
      </c>
      <c r="G852">
        <f>2*SQRT(F852/PI())</f>
        <v/>
      </c>
      <c r="H852" t="n">
        <v>86.03201189766759</v>
      </c>
      <c r="I852" t="n">
        <v>600</v>
      </c>
      <c r="J852" t="n">
        <v>365</v>
      </c>
      <c r="K852" t="n">
        <v>510.7717391304348</v>
      </c>
      <c r="L852" t="n">
        <v>531.6195652173913</v>
      </c>
      <c r="M852">
        <f>2*SQRT(K852/PI())</f>
        <v/>
      </c>
      <c r="N852">
        <f>2*SQRT(L852/PI())</f>
        <v/>
      </c>
      <c r="P852" t="inlineStr">
        <is>
          <t>是</t>
        </is>
      </c>
      <c r="Q852" t="inlineStr">
        <is>
          <t>auto_pipeline;review_png_green</t>
        </is>
      </c>
      <c r="R852" t="inlineStr">
        <is>
          <t>样品63</t>
        </is>
      </c>
    </row>
    <row r="853">
      <c r="A853" t="n">
        <v>852</v>
      </c>
      <c r="B853" t="inlineStr">
        <is>
          <t>63 (6).tif</t>
        </is>
      </c>
      <c r="C853" t="inlineStr">
        <is>
          <t>63(6)-V03</t>
        </is>
      </c>
      <c r="D853" t="n">
        <v>3</v>
      </c>
      <c r="E853" t="inlineStr">
        <is>
          <t>primary</t>
        </is>
      </c>
      <c r="F853" t="n">
        <v>473.086011342155</v>
      </c>
      <c r="G853">
        <f>2*SQRT(F853/PI())</f>
        <v/>
      </c>
      <c r="H853" t="n">
        <v>82.80844079411548</v>
      </c>
      <c r="I853" t="n">
        <v>127</v>
      </c>
      <c r="J853" t="n">
        <v>71</v>
      </c>
      <c r="K853" t="n">
        <v>463.6242911153119</v>
      </c>
      <c r="L853" t="n">
        <v>482.5477315689981</v>
      </c>
      <c r="M853">
        <f>2*SQRT(K853/PI())</f>
        <v/>
      </c>
      <c r="N853">
        <f>2*SQRT(L853/PI())</f>
        <v/>
      </c>
      <c r="P853" t="inlineStr">
        <is>
          <t>是</t>
        </is>
      </c>
      <c r="Q853" t="inlineStr">
        <is>
          <t>auto_pipeline;review_png_green</t>
        </is>
      </c>
      <c r="R853" t="inlineStr">
        <is>
          <t>样品63</t>
        </is>
      </c>
    </row>
    <row r="854">
      <c r="A854" t="n">
        <v>853</v>
      </c>
      <c r="B854" t="inlineStr">
        <is>
          <t>63 (6).tif</t>
        </is>
      </c>
      <c r="C854" t="inlineStr">
        <is>
          <t>63(6)-V04</t>
        </is>
      </c>
      <c r="D854" t="n">
        <v>4</v>
      </c>
      <c r="E854" t="inlineStr">
        <is>
          <t>primary</t>
        </is>
      </c>
      <c r="F854" t="n">
        <v>159.4990548204159</v>
      </c>
      <c r="G854">
        <f>2*SQRT(F854/PI())</f>
        <v/>
      </c>
      <c r="H854" t="n">
        <v>47.71309323932813</v>
      </c>
      <c r="I854" t="n">
        <v>882</v>
      </c>
      <c r="J854" t="n">
        <v>615</v>
      </c>
      <c r="K854" t="n">
        <v>156.3090737240076</v>
      </c>
      <c r="L854" t="n">
        <v>162.6890359168242</v>
      </c>
      <c r="M854">
        <f>2*SQRT(K854/PI())</f>
        <v/>
      </c>
      <c r="N854">
        <f>2*SQRT(L854/PI())</f>
        <v/>
      </c>
      <c r="P854" t="inlineStr">
        <is>
          <t>是</t>
        </is>
      </c>
      <c r="Q854" t="inlineStr">
        <is>
          <t>auto_pipeline;review_png_green</t>
        </is>
      </c>
      <c r="R854" t="inlineStr">
        <is>
          <t>样品63</t>
        </is>
      </c>
    </row>
    <row r="855">
      <c r="A855" t="n">
        <v>854</v>
      </c>
      <c r="B855" t="inlineStr">
        <is>
          <t>63 (6).tif</t>
        </is>
      </c>
      <c r="C855" t="inlineStr">
        <is>
          <t>63(6)-V05</t>
        </is>
      </c>
      <c r="D855" t="n">
        <v>5</v>
      </c>
      <c r="E855" t="inlineStr">
        <is>
          <t>primary</t>
        </is>
      </c>
      <c r="F855" t="n">
        <v>107.9395085066163</v>
      </c>
      <c r="G855">
        <f>2*SQRT(F855/PI())</f>
        <v/>
      </c>
      <c r="H855" t="n">
        <v>51.70073364091956</v>
      </c>
      <c r="I855" t="n">
        <v>409</v>
      </c>
      <c r="J855" t="n">
        <v>454</v>
      </c>
      <c r="K855" t="n">
        <v>105.7807183364839</v>
      </c>
      <c r="L855" t="n">
        <v>110.0982986767486</v>
      </c>
      <c r="M855">
        <f>2*SQRT(K855/PI())</f>
        <v/>
      </c>
      <c r="N855">
        <f>2*SQRT(L855/PI())</f>
        <v/>
      </c>
      <c r="P855" t="inlineStr">
        <is>
          <t>是</t>
        </is>
      </c>
      <c r="Q855" t="inlineStr">
        <is>
          <t>auto_pipeline;review_png_green</t>
        </is>
      </c>
      <c r="R855" t="inlineStr">
        <is>
          <t>样品63</t>
        </is>
      </c>
    </row>
    <row r="856">
      <c r="A856" t="n">
        <v>855</v>
      </c>
      <c r="B856" t="inlineStr">
        <is>
          <t>63 (7).tif</t>
        </is>
      </c>
      <c r="C856" t="inlineStr">
        <is>
          <t>63(7)-V01</t>
        </is>
      </c>
      <c r="D856" t="n">
        <v>1</v>
      </c>
      <c r="E856" t="inlineStr">
        <is>
          <t>primary</t>
        </is>
      </c>
      <c r="F856" t="n">
        <v>634.0737240075614</v>
      </c>
      <c r="G856">
        <f>2*SQRT(F856/PI())</f>
        <v/>
      </c>
      <c r="H856" t="n">
        <v>94.81131102727807</v>
      </c>
      <c r="I856" t="n">
        <v>432</v>
      </c>
      <c r="J856" t="n">
        <v>360</v>
      </c>
      <c r="K856" t="n">
        <v>621.3922495274102</v>
      </c>
      <c r="L856" t="n">
        <v>646.7551984877126</v>
      </c>
      <c r="M856">
        <f>2*SQRT(K856/PI())</f>
        <v/>
      </c>
      <c r="N856">
        <f>2*SQRT(L856/PI())</f>
        <v/>
      </c>
      <c r="P856" t="inlineStr">
        <is>
          <t>是</t>
        </is>
      </c>
      <c r="Q856" t="inlineStr">
        <is>
          <t>auto_pipeline;review_png_green</t>
        </is>
      </c>
      <c r="R856" t="inlineStr">
        <is>
          <t>样品63</t>
        </is>
      </c>
    </row>
    <row r="857">
      <c r="A857" t="n">
        <v>856</v>
      </c>
      <c r="B857" t="inlineStr">
        <is>
          <t>63 (7).tif</t>
        </is>
      </c>
      <c r="C857" t="inlineStr">
        <is>
          <t>63(7)-V02</t>
        </is>
      </c>
      <c r="D857" t="n">
        <v>2</v>
      </c>
      <c r="E857" t="inlineStr">
        <is>
          <t>primary</t>
        </is>
      </c>
      <c r="F857" t="n">
        <v>444.0926275992439</v>
      </c>
      <c r="G857">
        <f>2*SQRT(F857/PI())</f>
        <v/>
      </c>
      <c r="H857" t="n">
        <v>80.73097363762233</v>
      </c>
      <c r="I857" t="n">
        <v>549</v>
      </c>
      <c r="J857" t="n">
        <v>427</v>
      </c>
      <c r="K857" t="n">
        <v>435.210775047259</v>
      </c>
      <c r="L857" t="n">
        <v>452.9744801512288</v>
      </c>
      <c r="M857">
        <f>2*SQRT(K857/PI())</f>
        <v/>
      </c>
      <c r="N857">
        <f>2*SQRT(L857/PI())</f>
        <v/>
      </c>
      <c r="P857" t="inlineStr">
        <is>
          <t>是</t>
        </is>
      </c>
      <c r="Q857" t="inlineStr">
        <is>
          <t>auto_pipeline;review_png_green</t>
        </is>
      </c>
      <c r="R857" t="inlineStr">
        <is>
          <t>样品63</t>
        </is>
      </c>
    </row>
    <row r="858">
      <c r="A858" t="n">
        <v>857</v>
      </c>
      <c r="B858" t="inlineStr">
        <is>
          <t>63 (8).tif</t>
        </is>
      </c>
      <c r="C858" t="inlineStr">
        <is>
          <t>63(8)-V01</t>
        </is>
      </c>
      <c r="D858" t="n">
        <v>1</v>
      </c>
      <c r="E858" t="inlineStr">
        <is>
          <t>primary</t>
        </is>
      </c>
      <c r="F858" t="n">
        <v>520.0378071833649</v>
      </c>
      <c r="G858">
        <f>2*SQRT(F858/PI())</f>
        <v/>
      </c>
      <c r="H858" t="n">
        <v>87.02892199806544</v>
      </c>
      <c r="I858" t="n">
        <v>443</v>
      </c>
      <c r="J858" t="n">
        <v>320</v>
      </c>
      <c r="K858" t="n">
        <v>509.6370510396976</v>
      </c>
      <c r="L858" t="n">
        <v>530.4385633270322</v>
      </c>
      <c r="M858">
        <f>2*SQRT(K858/PI())</f>
        <v/>
      </c>
      <c r="N858">
        <f>2*SQRT(L858/PI())</f>
        <v/>
      </c>
      <c r="P858" t="inlineStr">
        <is>
          <t>是</t>
        </is>
      </c>
      <c r="Q858" t="inlineStr">
        <is>
          <t>auto_pipeline;review_png_green</t>
        </is>
      </c>
      <c r="R858" t="inlineStr">
        <is>
          <t>样品63</t>
        </is>
      </c>
    </row>
    <row r="859">
      <c r="A859" t="n">
        <v>858</v>
      </c>
      <c r="B859" t="inlineStr">
        <is>
          <t>63 (8).tif</t>
        </is>
      </c>
      <c r="C859" t="inlineStr">
        <is>
          <t>63(8)-V02</t>
        </is>
      </c>
      <c r="D859" t="n">
        <v>2</v>
      </c>
      <c r="E859" t="inlineStr">
        <is>
          <t>primary</t>
        </is>
      </c>
      <c r="F859" t="n">
        <v>443.4782608695652</v>
      </c>
      <c r="G859">
        <f>2*SQRT(F859/PI())</f>
        <v/>
      </c>
      <c r="H859" t="n">
        <v>79.60671865421793</v>
      </c>
      <c r="I859" t="n">
        <v>533</v>
      </c>
      <c r="J859" t="n">
        <v>444</v>
      </c>
      <c r="K859" t="n">
        <v>434.6086956521739</v>
      </c>
      <c r="L859" t="n">
        <v>452.3478260869566</v>
      </c>
      <c r="M859">
        <f>2*SQRT(K859/PI())</f>
        <v/>
      </c>
      <c r="N859">
        <f>2*SQRT(L859/PI())</f>
        <v/>
      </c>
      <c r="P859" t="inlineStr">
        <is>
          <t>是</t>
        </is>
      </c>
      <c r="Q859" t="inlineStr">
        <is>
          <t>auto_pipeline;review_png_green</t>
        </is>
      </c>
      <c r="R859" t="inlineStr">
        <is>
          <t>样品63</t>
        </is>
      </c>
    </row>
    <row r="860">
      <c r="A860" t="n">
        <v>859</v>
      </c>
      <c r="B860" t="inlineStr">
        <is>
          <t>63 (8).tif</t>
        </is>
      </c>
      <c r="C860" t="inlineStr">
        <is>
          <t>63(8)-V03</t>
        </is>
      </c>
      <c r="D860" t="n">
        <v>3</v>
      </c>
      <c r="E860" t="inlineStr">
        <is>
          <t>primary</t>
        </is>
      </c>
      <c r="F860" t="n">
        <v>338.5633270321361</v>
      </c>
      <c r="G860">
        <f>2*SQRT(F860/PI())</f>
        <v/>
      </c>
      <c r="H860" t="n">
        <v>69.4703237388445</v>
      </c>
      <c r="I860" t="n">
        <v>918</v>
      </c>
      <c r="J860" t="n">
        <v>376</v>
      </c>
      <c r="K860" t="n">
        <v>331.7920604914934</v>
      </c>
      <c r="L860" t="n">
        <v>345.3345935727788</v>
      </c>
      <c r="M860">
        <f>2*SQRT(K860/PI())</f>
        <v/>
      </c>
      <c r="N860">
        <f>2*SQRT(L860/PI())</f>
        <v/>
      </c>
      <c r="P860" t="inlineStr">
        <is>
          <t>是</t>
        </is>
      </c>
      <c r="Q860" t="inlineStr">
        <is>
          <t>auto_pipeline;review_png_green</t>
        </is>
      </c>
      <c r="R860" t="inlineStr">
        <is>
          <t>样品63</t>
        </is>
      </c>
    </row>
    <row r="861">
      <c r="A861" t="n">
        <v>860</v>
      </c>
      <c r="B861" t="inlineStr">
        <is>
          <t>63 (8).tif</t>
        </is>
      </c>
      <c r="C861" t="inlineStr">
        <is>
          <t>63(8)-V04</t>
        </is>
      </c>
      <c r="D861" t="n">
        <v>4</v>
      </c>
      <c r="E861" t="inlineStr">
        <is>
          <t>primary</t>
        </is>
      </c>
      <c r="F861" t="n">
        <v>185.4914933837429</v>
      </c>
      <c r="G861">
        <f>2*SQRT(F861/PI())</f>
        <v/>
      </c>
      <c r="H861" t="n">
        <v>51.40234594759734</v>
      </c>
      <c r="I861" t="n">
        <v>292</v>
      </c>
      <c r="J861" t="n">
        <v>58</v>
      </c>
      <c r="K861" t="n">
        <v>181.7816635160681</v>
      </c>
      <c r="L861" t="n">
        <v>189.2013232514178</v>
      </c>
      <c r="M861">
        <f>2*SQRT(K861/PI())</f>
        <v/>
      </c>
      <c r="N861">
        <f>2*SQRT(L861/PI())</f>
        <v/>
      </c>
      <c r="P861" t="inlineStr">
        <is>
          <t>是</t>
        </is>
      </c>
      <c r="Q861" t="inlineStr">
        <is>
          <t>auto_pipeline;review_png_green</t>
        </is>
      </c>
      <c r="R861" t="inlineStr">
        <is>
          <t>样品63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图像文件</t>
        </is>
      </c>
      <c r="C1" t="inlineStr">
        <is>
          <t>中心X</t>
        </is>
      </c>
      <c r="D1" t="inlineStr">
        <is>
          <t>中心Y</t>
        </is>
      </c>
      <c r="E1" t="inlineStr">
        <is>
          <t>边界框 (xmin,ymin,xmax,ymax)</t>
        </is>
      </c>
      <c r="F1" t="inlineStr">
        <is>
          <t>距最近视野边界 (px)</t>
        </is>
      </c>
      <c r="G1" t="inlineStr">
        <is>
          <t>状态</t>
        </is>
      </c>
      <c r="H1" t="inlineStr">
        <is>
          <t>reason_code</t>
        </is>
      </c>
      <c r="I1" t="inlineStr">
        <is>
          <t>可可靠测量Ai/Di</t>
        </is>
      </c>
      <c r="J1" t="inlineStr">
        <is>
          <t>主分析判定</t>
        </is>
      </c>
      <c r="K1" t="inlineStr">
        <is>
          <t>Ai (μm²)</t>
        </is>
      </c>
      <c r="L1" t="inlineStr">
        <is>
          <t>Di (μm)</t>
        </is>
      </c>
      <c r="M1" t="inlineStr">
        <is>
          <t>边界类别</t>
        </is>
      </c>
      <c r="N1" t="inlineStr">
        <is>
          <t>处理</t>
        </is>
      </c>
      <c r="O1" t="inlineStr">
        <is>
          <t>判定依据</t>
        </is>
      </c>
      <c r="P1" t="inlineStr">
        <is>
          <t>审计来源</t>
        </is>
      </c>
      <c r="Q1" t="inlineStr">
        <is>
          <t>Pair_ID</t>
        </is>
      </c>
      <c r="R1" t="inlineStr">
        <is>
          <t>样品</t>
        </is>
      </c>
    </row>
    <row r="2">
      <c r="A2" t="inlineStr">
        <is>
          <t>41(1)-V01</t>
        </is>
      </c>
      <c r="B2" t="inlineStr">
        <is>
          <t>41 (1).tif</t>
        </is>
      </c>
      <c r="C2" t="n">
        <v>437</v>
      </c>
      <c r="D2" t="n">
        <v>334</v>
      </c>
      <c r="E2" t="inlineStr">
        <is>
          <t>349,240,526,429</t>
        </is>
      </c>
      <c r="F2" t="n">
        <v>240</v>
      </c>
      <c r="G2" t="inlineStr">
        <is>
          <t>primary</t>
        </is>
      </c>
      <c r="H2" t="inlineStr">
        <is>
          <t>AUTO_VESSEL</t>
        </is>
      </c>
      <c r="I2" t="inlineStr">
        <is>
          <t>是</t>
        </is>
      </c>
      <c r="J2" t="inlineStr">
        <is>
          <t>纳入</t>
        </is>
      </c>
      <c r="K2" t="n">
        <v>1226.441398865785</v>
      </c>
      <c r="L2">
        <f>导管母表_860!G2</f>
        <v/>
      </c>
      <c r="M2" t="inlineStr">
        <is>
          <t>视野内部</t>
        </is>
      </c>
      <c r="N2" t="inlineStr">
        <is>
          <t>纳入A/D/Dh；若有Pair_ID则纳入CWR</t>
        </is>
      </c>
      <c r="O2" t="inlineStr">
        <is>
          <t>自动管线检出的合格导管腔。</t>
        </is>
      </c>
      <c r="P2" t="inlineStr">
        <is>
          <t>auto_pipeline;review_png_green</t>
        </is>
      </c>
      <c r="Q2" t="inlineStr">
        <is>
          <t>41(1)-P01</t>
        </is>
      </c>
      <c r="R2" t="inlineStr">
        <is>
          <t>样品41</t>
        </is>
      </c>
    </row>
    <row r="3">
      <c r="A3" t="inlineStr">
        <is>
          <t>41(1)-V02</t>
        </is>
      </c>
      <c r="B3" t="inlineStr">
        <is>
          <t>41 (1).tif</t>
        </is>
      </c>
      <c r="C3" t="n">
        <v>599</v>
      </c>
      <c r="D3" t="n">
        <v>342</v>
      </c>
      <c r="E3" t="inlineStr">
        <is>
          <t>529,283,670,402</t>
        </is>
      </c>
      <c r="F3" t="n">
        <v>283</v>
      </c>
      <c r="G3" t="inlineStr">
        <is>
          <t>primary</t>
        </is>
      </c>
      <c r="H3" t="inlineStr">
        <is>
          <t>AUTO_VESSEL</t>
        </is>
      </c>
      <c r="I3" t="inlineStr">
        <is>
          <t>是</t>
        </is>
      </c>
      <c r="J3" t="inlineStr">
        <is>
          <t>纳入</t>
        </is>
      </c>
      <c r="K3" t="n">
        <v>437.1219281663516</v>
      </c>
      <c r="L3">
        <f>导管母表_860!G3</f>
        <v/>
      </c>
      <c r="M3" t="inlineStr">
        <is>
          <t>视野内部</t>
        </is>
      </c>
      <c r="N3" t="inlineStr">
        <is>
          <t>纳入A/D/Dh；若有Pair_ID则纳入CWR</t>
        </is>
      </c>
      <c r="O3" t="inlineStr">
        <is>
          <t>自动管线检出的合格导管腔。</t>
        </is>
      </c>
      <c r="P3" t="inlineStr">
        <is>
          <t>auto_pipeline;review_png_green</t>
        </is>
      </c>
      <c r="Q3" t="inlineStr">
        <is>
          <t>41(1)-P01</t>
        </is>
      </c>
      <c r="R3" t="inlineStr">
        <is>
          <t>样品41</t>
        </is>
      </c>
    </row>
    <row r="4">
      <c r="A4" t="inlineStr">
        <is>
          <t>41(1)-V03</t>
        </is>
      </c>
      <c r="B4" t="inlineStr">
        <is>
          <t>41 (1).tif</t>
        </is>
      </c>
      <c r="C4" t="n">
        <v>564</v>
      </c>
      <c r="D4" t="n">
        <v>335</v>
      </c>
      <c r="E4" t="inlineStr">
        <is>
          <t>538,309,591,362</t>
        </is>
      </c>
      <c r="F4" t="n">
        <v>309</v>
      </c>
      <c r="G4" t="inlineStr">
        <is>
          <t>primary</t>
        </is>
      </c>
      <c r="H4" t="inlineStr">
        <is>
          <t>AUTO_VESSEL</t>
        </is>
      </c>
      <c r="I4" t="inlineStr">
        <is>
          <t>是</t>
        </is>
      </c>
      <c r="J4" t="inlineStr">
        <is>
          <t>纳入</t>
        </is>
      </c>
      <c r="K4" t="n">
        <v>96.78638941398866</v>
      </c>
      <c r="L4">
        <f>导管母表_860!G4</f>
        <v/>
      </c>
      <c r="M4" t="inlineStr">
        <is>
          <t>视野内部</t>
        </is>
      </c>
      <c r="N4" t="inlineStr">
        <is>
          <t>纳入A/D/Dh；若有Pair_ID则纳入CWR</t>
        </is>
      </c>
      <c r="O4" t="inlineStr">
        <is>
          <t>自动管线检出的合格导管腔。</t>
        </is>
      </c>
      <c r="P4" t="inlineStr">
        <is>
          <t>auto_pipeline;review_png_green</t>
        </is>
      </c>
      <c r="R4" t="inlineStr">
        <is>
          <t>样品41</t>
        </is>
      </c>
    </row>
    <row r="5">
      <c r="A5" t="inlineStr">
        <is>
          <t>41(1)-V04</t>
        </is>
      </c>
      <c r="B5" t="inlineStr">
        <is>
          <t>41 (1).tif</t>
        </is>
      </c>
      <c r="C5" t="n">
        <v>612</v>
      </c>
      <c r="D5" t="n">
        <v>374</v>
      </c>
      <c r="E5" t="inlineStr">
        <is>
          <t>590,352,635,397</t>
        </is>
      </c>
      <c r="F5" t="n">
        <v>352</v>
      </c>
      <c r="G5" t="inlineStr">
        <is>
          <t>primary</t>
        </is>
      </c>
      <c r="H5" t="inlineStr">
        <is>
          <t>AUTO_VESSEL</t>
        </is>
      </c>
      <c r="I5" t="inlineStr">
        <is>
          <t>是</t>
        </is>
      </c>
      <c r="J5" t="inlineStr">
        <is>
          <t>纳入</t>
        </is>
      </c>
      <c r="K5" t="n">
        <v>68.71455576559546</v>
      </c>
      <c r="L5">
        <f>导管母表_860!G5</f>
        <v/>
      </c>
      <c r="M5" t="inlineStr">
        <is>
          <t>视野内部</t>
        </is>
      </c>
      <c r="N5" t="inlineStr">
        <is>
          <t>纳入A/D/Dh；若有Pair_ID则纳入CWR</t>
        </is>
      </c>
      <c r="O5" t="inlineStr">
        <is>
          <t>自动管线检出的合格导管腔。</t>
        </is>
      </c>
      <c r="P5" t="inlineStr">
        <is>
          <t>auto_pipeline;review_png_green</t>
        </is>
      </c>
      <c r="R5" t="inlineStr">
        <is>
          <t>样品41</t>
        </is>
      </c>
    </row>
    <row r="6">
      <c r="A6" t="inlineStr">
        <is>
          <t>41(2)-V01</t>
        </is>
      </c>
      <c r="B6" t="inlineStr">
        <is>
          <t>41 (2).tif</t>
        </is>
      </c>
      <c r="C6" t="n">
        <v>379</v>
      </c>
      <c r="D6" t="n">
        <v>436</v>
      </c>
      <c r="E6" t="inlineStr">
        <is>
          <t>289,344,470,529</t>
        </is>
      </c>
      <c r="F6" t="n">
        <v>239</v>
      </c>
      <c r="G6" t="inlineStr">
        <is>
          <t>primary</t>
        </is>
      </c>
      <c r="H6" t="inlineStr">
        <is>
          <t>AUTO_VESSEL</t>
        </is>
      </c>
      <c r="I6" t="inlineStr">
        <is>
          <t>是</t>
        </is>
      </c>
      <c r="J6" t="inlineStr">
        <is>
          <t>纳入</t>
        </is>
      </c>
      <c r="K6" t="n">
        <v>1209.806238185255</v>
      </c>
      <c r="L6">
        <f>导管母表_860!G6</f>
        <v/>
      </c>
      <c r="M6" t="inlineStr">
        <is>
          <t>视野内部</t>
        </is>
      </c>
      <c r="N6" t="inlineStr">
        <is>
          <t>纳入A/D/Dh；若有Pair_ID则纳入CWR</t>
        </is>
      </c>
      <c r="O6" t="inlineStr">
        <is>
          <t>自动管线检出的合格导管腔。</t>
        </is>
      </c>
      <c r="P6" t="inlineStr">
        <is>
          <t>auto_pipeline;review_png_green</t>
        </is>
      </c>
      <c r="R6" t="inlineStr">
        <is>
          <t>样品41</t>
        </is>
      </c>
    </row>
    <row r="7">
      <c r="A7" t="inlineStr">
        <is>
          <t>41(2)-V02</t>
        </is>
      </c>
      <c r="B7" t="inlineStr">
        <is>
          <t>41 (2).tif</t>
        </is>
      </c>
      <c r="C7" t="n">
        <v>520</v>
      </c>
      <c r="D7" t="n">
        <v>106</v>
      </c>
      <c r="E7" t="inlineStr">
        <is>
          <t>445,42,596,171</t>
        </is>
      </c>
      <c r="F7" t="n">
        <v>42</v>
      </c>
      <c r="G7" t="inlineStr">
        <is>
          <t>primary</t>
        </is>
      </c>
      <c r="H7" t="inlineStr">
        <is>
          <t>AUTO_VESSEL</t>
        </is>
      </c>
      <c r="I7" t="inlineStr">
        <is>
          <t>是</t>
        </is>
      </c>
      <c r="J7" t="inlineStr">
        <is>
          <t>纳入</t>
        </is>
      </c>
      <c r="K7" t="n">
        <v>680.4820415879017</v>
      </c>
      <c r="L7">
        <f>导管母表_860!G7</f>
        <v/>
      </c>
      <c r="M7" t="inlineStr">
        <is>
          <t>视野内部</t>
        </is>
      </c>
      <c r="N7" t="inlineStr">
        <is>
          <t>纳入A/D/Dh；若有Pair_ID则纳入CWR</t>
        </is>
      </c>
      <c r="O7" t="inlineStr">
        <is>
          <t>自动管线检出的合格导管腔。</t>
        </is>
      </c>
      <c r="P7" t="inlineStr">
        <is>
          <t>auto_pipeline;review_png_green</t>
        </is>
      </c>
      <c r="R7" t="inlineStr">
        <is>
          <t>样品41</t>
        </is>
      </c>
    </row>
    <row r="8">
      <c r="A8" t="inlineStr">
        <is>
          <t>41(2)-V03</t>
        </is>
      </c>
      <c r="B8" t="inlineStr">
        <is>
          <t>41 (2).tif</t>
        </is>
      </c>
      <c r="C8" t="n">
        <v>708</v>
      </c>
      <c r="D8" t="n">
        <v>263</v>
      </c>
      <c r="E8" t="inlineStr">
        <is>
          <t>686,223,731,304</t>
        </is>
      </c>
      <c r="F8" t="n">
        <v>223</v>
      </c>
      <c r="G8" t="inlineStr">
        <is>
          <t>primary</t>
        </is>
      </c>
      <c r="H8" t="inlineStr">
        <is>
          <t>AUTO_VESSEL</t>
        </is>
      </c>
      <c r="I8" t="inlineStr">
        <is>
          <t>是</t>
        </is>
      </c>
      <c r="J8" t="inlineStr">
        <is>
          <t>纳入</t>
        </is>
      </c>
      <c r="K8" t="n">
        <v>121.8809073724008</v>
      </c>
      <c r="L8">
        <f>导管母表_860!G8</f>
        <v/>
      </c>
      <c r="M8" t="inlineStr">
        <is>
          <t>视野内部</t>
        </is>
      </c>
      <c r="N8" t="inlineStr">
        <is>
          <t>纳入A/D/Dh；若有Pair_ID则纳入CWR</t>
        </is>
      </c>
      <c r="O8" t="inlineStr">
        <is>
          <t>自动管线检出的合格导管腔。</t>
        </is>
      </c>
      <c r="P8" t="inlineStr">
        <is>
          <t>auto_pipeline;review_png_green</t>
        </is>
      </c>
      <c r="R8" t="inlineStr">
        <is>
          <t>样品41</t>
        </is>
      </c>
    </row>
    <row r="9">
      <c r="A9" t="inlineStr">
        <is>
          <t>41(3)-V01</t>
        </is>
      </c>
      <c r="B9" t="inlineStr">
        <is>
          <t>41 (3).tif</t>
        </is>
      </c>
      <c r="C9" t="n">
        <v>356</v>
      </c>
      <c r="D9" t="n">
        <v>189</v>
      </c>
      <c r="E9" t="inlineStr">
        <is>
          <t>247,75,466,304</t>
        </is>
      </c>
      <c r="F9" t="n">
        <v>75</v>
      </c>
      <c r="G9" t="inlineStr">
        <is>
          <t>primary</t>
        </is>
      </c>
      <c r="H9" t="inlineStr">
        <is>
          <t>AUTO_VESSEL</t>
        </is>
      </c>
      <c r="I9" t="inlineStr">
        <is>
          <t>是</t>
        </is>
      </c>
      <c r="J9" t="inlineStr">
        <is>
          <t>纳入</t>
        </is>
      </c>
      <c r="K9" t="n">
        <v>1465.619092627599</v>
      </c>
      <c r="L9">
        <f>导管母表_860!G9</f>
        <v/>
      </c>
      <c r="M9" t="inlineStr">
        <is>
          <t>视野内部</t>
        </is>
      </c>
      <c r="N9" t="inlineStr">
        <is>
          <t>纳入A/D/Dh；若有Pair_ID则纳入CWR</t>
        </is>
      </c>
      <c r="O9" t="inlineStr">
        <is>
          <t>自动管线检出的合格导管腔。</t>
        </is>
      </c>
      <c r="P9" t="inlineStr">
        <is>
          <t>auto_pipeline;review_png_green</t>
        </is>
      </c>
      <c r="R9" t="inlineStr">
        <is>
          <t>样品41</t>
        </is>
      </c>
    </row>
    <row r="10">
      <c r="A10" t="inlineStr">
        <is>
          <t>41(3)-V02</t>
        </is>
      </c>
      <c r="B10" t="inlineStr">
        <is>
          <t>41 (3).tif</t>
        </is>
      </c>
      <c r="C10" t="n">
        <v>258</v>
      </c>
      <c r="D10" t="n">
        <v>419</v>
      </c>
      <c r="E10" t="inlineStr">
        <is>
          <t>190,375,327,464</t>
        </is>
      </c>
      <c r="F10" t="n">
        <v>190</v>
      </c>
      <c r="G10" t="inlineStr">
        <is>
          <t>primary</t>
        </is>
      </c>
      <c r="H10" t="inlineStr">
        <is>
          <t>AUTO_VESSEL</t>
        </is>
      </c>
      <c r="I10" t="inlineStr">
        <is>
          <t>是</t>
        </is>
      </c>
      <c r="J10" t="inlineStr">
        <is>
          <t>纳入</t>
        </is>
      </c>
      <c r="K10" t="n">
        <v>141.9659735349717</v>
      </c>
      <c r="L10">
        <f>导管母表_860!G10</f>
        <v/>
      </c>
      <c r="M10" t="inlineStr">
        <is>
          <t>视野内部</t>
        </is>
      </c>
      <c r="N10" t="inlineStr">
        <is>
          <t>纳入A/D/Dh；若有Pair_ID则纳入CWR</t>
        </is>
      </c>
      <c r="O10" t="inlineStr">
        <is>
          <t>自动管线检出的合格导管腔。</t>
        </is>
      </c>
      <c r="P10" t="inlineStr">
        <is>
          <t>auto_pipeline;review_png_green</t>
        </is>
      </c>
      <c r="R10" t="inlineStr">
        <is>
          <t>样品41</t>
        </is>
      </c>
    </row>
    <row r="11">
      <c r="A11" t="inlineStr">
        <is>
          <t>41(4)-V01</t>
        </is>
      </c>
      <c r="B11" t="inlineStr">
        <is>
          <t>41 (4).tif</t>
        </is>
      </c>
      <c r="C11" t="n">
        <v>440</v>
      </c>
      <c r="D11" t="n">
        <v>364</v>
      </c>
      <c r="E11" t="inlineStr">
        <is>
          <t>349,288,532,441</t>
        </is>
      </c>
      <c r="F11" t="n">
        <v>288</v>
      </c>
      <c r="G11" t="inlineStr">
        <is>
          <t>primary</t>
        </is>
      </c>
      <c r="H11" t="inlineStr">
        <is>
          <t>AUTO_VESSEL</t>
        </is>
      </c>
      <c r="I11" t="inlineStr">
        <is>
          <t>是</t>
        </is>
      </c>
      <c r="J11" t="inlineStr">
        <is>
          <t>纳入</t>
        </is>
      </c>
      <c r="K11" t="n">
        <v>1025.567107750473</v>
      </c>
      <c r="L11">
        <f>导管母表_860!G11</f>
        <v/>
      </c>
      <c r="M11" t="inlineStr">
        <is>
          <t>视野内部</t>
        </is>
      </c>
      <c r="N11" t="inlineStr">
        <is>
          <t>纳入A/D/Dh；若有Pair_ID则纳入CWR</t>
        </is>
      </c>
      <c r="O11" t="inlineStr">
        <is>
          <t>自动管线检出的合格导管腔。</t>
        </is>
      </c>
      <c r="P11" t="inlineStr">
        <is>
          <t>auto_pipeline;review_png_green</t>
        </is>
      </c>
      <c r="Q11" t="inlineStr">
        <is>
          <t>41(4)-P01</t>
        </is>
      </c>
      <c r="R11" t="inlineStr">
        <is>
          <t>样品41</t>
        </is>
      </c>
    </row>
    <row r="12">
      <c r="A12" t="inlineStr">
        <is>
          <t>41(4)-V02</t>
        </is>
      </c>
      <c r="B12" t="inlineStr">
        <is>
          <t>41 (4).tif</t>
        </is>
      </c>
      <c r="C12" t="n">
        <v>644</v>
      </c>
      <c r="D12" t="n">
        <v>326</v>
      </c>
      <c r="E12" t="inlineStr">
        <is>
          <t>563,255,726,398</t>
        </is>
      </c>
      <c r="F12" t="n">
        <v>255</v>
      </c>
      <c r="G12" t="inlineStr">
        <is>
          <t>primary</t>
        </is>
      </c>
      <c r="H12" t="inlineStr">
        <is>
          <t>AUTO_VESSEL</t>
        </is>
      </c>
      <c r="I12" t="inlineStr">
        <is>
          <t>是</t>
        </is>
      </c>
      <c r="J12" t="inlineStr">
        <is>
          <t>纳入</t>
        </is>
      </c>
      <c r="K12" t="n">
        <v>854.2060491493384</v>
      </c>
      <c r="L12">
        <f>导管母表_860!G12</f>
        <v/>
      </c>
      <c r="M12" t="inlineStr">
        <is>
          <t>视野内部</t>
        </is>
      </c>
      <c r="N12" t="inlineStr">
        <is>
          <t>纳入A/D/Dh；若有Pair_ID则纳入CWR</t>
        </is>
      </c>
      <c r="O12" t="inlineStr">
        <is>
          <t>自动管线检出的合格导管腔。</t>
        </is>
      </c>
      <c r="P12" t="inlineStr">
        <is>
          <t>auto_pipeline;review_png_green</t>
        </is>
      </c>
      <c r="Q12" t="inlineStr">
        <is>
          <t>41(4)-P01</t>
        </is>
      </c>
      <c r="R12" t="inlineStr">
        <is>
          <t>样品41</t>
        </is>
      </c>
    </row>
    <row r="13">
      <c r="A13" t="inlineStr">
        <is>
          <t>41(4)-V03</t>
        </is>
      </c>
      <c r="B13" t="inlineStr">
        <is>
          <t>41 (4).tif</t>
        </is>
      </c>
      <c r="C13" t="n">
        <v>693</v>
      </c>
      <c r="D13" t="n">
        <v>371</v>
      </c>
      <c r="E13" t="inlineStr">
        <is>
          <t>656,334,731,409</t>
        </is>
      </c>
      <c r="F13" t="n">
        <v>293</v>
      </c>
      <c r="G13" t="inlineStr">
        <is>
          <t>primary</t>
        </is>
      </c>
      <c r="H13" t="inlineStr">
        <is>
          <t>AUTO_VESSEL</t>
        </is>
      </c>
      <c r="I13" t="inlineStr">
        <is>
          <t>是</t>
        </is>
      </c>
      <c r="J13" t="inlineStr">
        <is>
          <t>纳入</t>
        </is>
      </c>
      <c r="K13" t="n">
        <v>197.9206049149338</v>
      </c>
      <c r="L13">
        <f>导管母表_860!G13</f>
        <v/>
      </c>
      <c r="M13" t="inlineStr">
        <is>
          <t>视野内部</t>
        </is>
      </c>
      <c r="N13" t="inlineStr">
        <is>
          <t>纳入A/D/Dh；若有Pair_ID则纳入CWR</t>
        </is>
      </c>
      <c r="O13" t="inlineStr">
        <is>
          <t>自动管线检出的合格导管腔。</t>
        </is>
      </c>
      <c r="P13" t="inlineStr">
        <is>
          <t>auto_pipeline;review_png_green</t>
        </is>
      </c>
      <c r="R13" t="inlineStr">
        <is>
          <t>样品41</t>
        </is>
      </c>
    </row>
    <row r="14">
      <c r="A14" t="inlineStr">
        <is>
          <t>41(4)-V04</t>
        </is>
      </c>
      <c r="B14" t="inlineStr">
        <is>
          <t>41 (4).tif</t>
        </is>
      </c>
      <c r="C14" t="n">
        <v>289</v>
      </c>
      <c r="D14" t="n">
        <v>312</v>
      </c>
      <c r="E14" t="inlineStr">
        <is>
          <t>255,287,324,338</t>
        </is>
      </c>
      <c r="F14" t="n">
        <v>255</v>
      </c>
      <c r="G14" t="inlineStr">
        <is>
          <t>primary</t>
        </is>
      </c>
      <c r="H14" t="inlineStr">
        <is>
          <t>AUTO_VESSEL</t>
        </is>
      </c>
      <c r="I14" t="inlineStr">
        <is>
          <t>是</t>
        </is>
      </c>
      <c r="J14" t="inlineStr">
        <is>
          <t>纳入</t>
        </is>
      </c>
      <c r="K14" t="n">
        <v>117.5803402646503</v>
      </c>
      <c r="L14">
        <f>导管母表_860!G14</f>
        <v/>
      </c>
      <c r="M14" t="inlineStr">
        <is>
          <t>视野内部</t>
        </is>
      </c>
      <c r="N14" t="inlineStr">
        <is>
          <t>纳入A/D/Dh；若有Pair_ID则纳入CWR</t>
        </is>
      </c>
      <c r="O14" t="inlineStr">
        <is>
          <t>自动管线检出的合格导管腔。</t>
        </is>
      </c>
      <c r="P14" t="inlineStr">
        <is>
          <t>auto_pipeline;review_png_green</t>
        </is>
      </c>
      <c r="R14" t="inlineStr">
        <is>
          <t>样品41</t>
        </is>
      </c>
    </row>
    <row r="15">
      <c r="A15" t="inlineStr">
        <is>
          <t>41(4)-V05</t>
        </is>
      </c>
      <c r="B15" t="inlineStr">
        <is>
          <t>41 (4).tif</t>
        </is>
      </c>
      <c r="C15" t="n">
        <v>724</v>
      </c>
      <c r="D15" t="n">
        <v>244</v>
      </c>
      <c r="E15" t="inlineStr">
        <is>
          <t>683,225,766,264</t>
        </is>
      </c>
      <c r="F15" t="n">
        <v>225</v>
      </c>
      <c r="G15" t="inlineStr">
        <is>
          <t>primary</t>
        </is>
      </c>
      <c r="H15" t="inlineStr">
        <is>
          <t>AUTO_VESSEL</t>
        </is>
      </c>
      <c r="I15" t="inlineStr">
        <is>
          <t>是</t>
        </is>
      </c>
      <c r="J15" t="inlineStr">
        <is>
          <t>纳入</t>
        </is>
      </c>
      <c r="K15" t="n">
        <v>115.5009451795841</v>
      </c>
      <c r="L15">
        <f>导管母表_860!G15</f>
        <v/>
      </c>
      <c r="M15" t="inlineStr">
        <is>
          <t>视野内部</t>
        </is>
      </c>
      <c r="N15" t="inlineStr">
        <is>
          <t>纳入A/D/Dh；若有Pair_ID则纳入CWR</t>
        </is>
      </c>
      <c r="O15" t="inlineStr">
        <is>
          <t>自动管线检出的合格导管腔。</t>
        </is>
      </c>
      <c r="P15" t="inlineStr">
        <is>
          <t>auto_pipeline;review_png_green</t>
        </is>
      </c>
      <c r="R15" t="inlineStr">
        <is>
          <t>样品41</t>
        </is>
      </c>
    </row>
    <row r="16">
      <c r="A16" t="inlineStr">
        <is>
          <t>41(4)-V06</t>
        </is>
      </c>
      <c r="B16" t="inlineStr">
        <is>
          <t>41 (4).tif</t>
        </is>
      </c>
      <c r="C16" t="n">
        <v>534</v>
      </c>
      <c r="D16" t="n">
        <v>246</v>
      </c>
      <c r="E16" t="inlineStr">
        <is>
          <t>500,224,569,269</t>
        </is>
      </c>
      <c r="F16" t="n">
        <v>224</v>
      </c>
      <c r="G16" t="inlineStr">
        <is>
          <t>primary</t>
        </is>
      </c>
      <c r="H16" t="inlineStr">
        <is>
          <t>AUTO_VESSEL</t>
        </is>
      </c>
      <c r="I16" t="inlineStr">
        <is>
          <t>是</t>
        </is>
      </c>
      <c r="J16" t="inlineStr">
        <is>
          <t>纳入</t>
        </is>
      </c>
      <c r="K16" t="n">
        <v>106.0018903591682</v>
      </c>
      <c r="L16">
        <f>导管母表_860!G16</f>
        <v/>
      </c>
      <c r="M16" t="inlineStr">
        <is>
          <t>视野内部</t>
        </is>
      </c>
      <c r="N16" t="inlineStr">
        <is>
          <t>纳入A/D/Dh；若有Pair_ID则纳入CWR</t>
        </is>
      </c>
      <c r="O16" t="inlineStr">
        <is>
          <t>自动管线检出的合格导管腔。</t>
        </is>
      </c>
      <c r="P16" t="inlineStr">
        <is>
          <t>auto_pipeline;review_png_green</t>
        </is>
      </c>
      <c r="R16" t="inlineStr">
        <is>
          <t>样品41</t>
        </is>
      </c>
    </row>
    <row r="17">
      <c r="A17" t="inlineStr">
        <is>
          <t>41(5)-V01</t>
        </is>
      </c>
      <c r="B17" t="inlineStr">
        <is>
          <t>41 (5).tif</t>
        </is>
      </c>
      <c r="C17" t="n">
        <v>596</v>
      </c>
      <c r="D17" t="n">
        <v>388</v>
      </c>
      <c r="E17" t="inlineStr">
        <is>
          <t>511,312,682,465</t>
        </is>
      </c>
      <c r="F17" t="n">
        <v>303</v>
      </c>
      <c r="G17" t="inlineStr">
        <is>
          <t>primary</t>
        </is>
      </c>
      <c r="H17" t="inlineStr">
        <is>
          <t>AUTO_VESSEL</t>
        </is>
      </c>
      <c r="I17" t="inlineStr">
        <is>
          <t>是</t>
        </is>
      </c>
      <c r="J17" t="inlineStr">
        <is>
          <t>纳入</t>
        </is>
      </c>
      <c r="K17" t="n">
        <v>959.1682419659735</v>
      </c>
      <c r="L17">
        <f>导管母表_860!G17</f>
        <v/>
      </c>
      <c r="M17" t="inlineStr">
        <is>
          <t>视野内部</t>
        </is>
      </c>
      <c r="N17" t="inlineStr">
        <is>
          <t>纳入A/D/Dh；若有Pair_ID则纳入CWR</t>
        </is>
      </c>
      <c r="O17" t="inlineStr">
        <is>
          <t>自动管线检出的合格导管腔。</t>
        </is>
      </c>
      <c r="P17" t="inlineStr">
        <is>
          <t>auto_pipeline;review_png_green</t>
        </is>
      </c>
      <c r="Q17" t="inlineStr">
        <is>
          <t>41(5)-P01</t>
        </is>
      </c>
      <c r="R17" t="inlineStr">
        <is>
          <t>样品41</t>
        </is>
      </c>
    </row>
    <row r="18">
      <c r="A18" t="inlineStr">
        <is>
          <t>41(5)-V02</t>
        </is>
      </c>
      <c r="B18" t="inlineStr">
        <is>
          <t>41 (5).tif</t>
        </is>
      </c>
      <c r="C18" t="n">
        <v>425</v>
      </c>
      <c r="D18" t="n">
        <v>345</v>
      </c>
      <c r="E18" t="inlineStr">
        <is>
          <t>342,267,509,424</t>
        </is>
      </c>
      <c r="F18" t="n">
        <v>267</v>
      </c>
      <c r="G18" t="inlineStr">
        <is>
          <t>primary</t>
        </is>
      </c>
      <c r="H18" t="inlineStr">
        <is>
          <t>AUTO_VESSEL</t>
        </is>
      </c>
      <c r="I18" t="inlineStr">
        <is>
          <t>是</t>
        </is>
      </c>
      <c r="J18" t="inlineStr">
        <is>
          <t>纳入</t>
        </is>
      </c>
      <c r="K18" t="n">
        <v>955.4111531190927</v>
      </c>
      <c r="L18">
        <f>导管母表_860!G18</f>
        <v/>
      </c>
      <c r="M18" t="inlineStr">
        <is>
          <t>视野内部</t>
        </is>
      </c>
      <c r="N18" t="inlineStr">
        <is>
          <t>纳入A/D/Dh；若有Pair_ID则纳入CWR</t>
        </is>
      </c>
      <c r="O18" t="inlineStr">
        <is>
          <t>自动管线检出的合格导管腔。</t>
        </is>
      </c>
      <c r="P18" t="inlineStr">
        <is>
          <t>auto_pipeline;review_png_green</t>
        </is>
      </c>
      <c r="Q18" t="inlineStr">
        <is>
          <t>41(5)-P01</t>
        </is>
      </c>
      <c r="R18" t="inlineStr">
        <is>
          <t>样品41</t>
        </is>
      </c>
    </row>
    <row r="19">
      <c r="A19" t="inlineStr">
        <is>
          <t>41(5)-V03</t>
        </is>
      </c>
      <c r="B19" t="inlineStr">
        <is>
          <t>41 (5).tif</t>
        </is>
      </c>
      <c r="C19" t="n">
        <v>813</v>
      </c>
      <c r="D19" t="n">
        <v>61</v>
      </c>
      <c r="E19" t="inlineStr">
        <is>
          <t>747,12,880,111</t>
        </is>
      </c>
      <c r="F19" t="n">
        <v>12</v>
      </c>
      <c r="G19" t="inlineStr">
        <is>
          <t>primary</t>
        </is>
      </c>
      <c r="H19" t="inlineStr">
        <is>
          <t>AUTO_VESSEL</t>
        </is>
      </c>
      <c r="I19" t="inlineStr">
        <is>
          <t>是</t>
        </is>
      </c>
      <c r="J19" t="inlineStr">
        <is>
          <t>纳入</t>
        </is>
      </c>
      <c r="K19" t="n">
        <v>431.9470699432893</v>
      </c>
      <c r="L19">
        <f>导管母表_860!G19</f>
        <v/>
      </c>
      <c r="M19" t="inlineStr">
        <is>
          <t>近边缘（&lt;25 px）</t>
        </is>
      </c>
      <c r="N19" t="inlineStr">
        <is>
          <t>纳入A/D/Dh；若有Pair_ID则纳入CWR</t>
        </is>
      </c>
      <c r="O19" t="inlineStr">
        <is>
          <t>自动管线检出的合格导管腔。</t>
        </is>
      </c>
      <c r="P19" t="inlineStr">
        <is>
          <t>auto_pipeline;review_png_green</t>
        </is>
      </c>
      <c r="R19" t="inlineStr">
        <is>
          <t>样品41</t>
        </is>
      </c>
    </row>
    <row r="20">
      <c r="A20" t="inlineStr">
        <is>
          <t>41(5)-V04</t>
        </is>
      </c>
      <c r="B20" t="inlineStr">
        <is>
          <t>41 (5).tif</t>
        </is>
      </c>
      <c r="C20" t="n">
        <v>521</v>
      </c>
      <c r="D20" t="n">
        <v>397</v>
      </c>
      <c r="E20" t="inlineStr">
        <is>
          <t>492,362,551,433</t>
        </is>
      </c>
      <c r="F20" t="n">
        <v>335</v>
      </c>
      <c r="G20" t="inlineStr">
        <is>
          <t>primary</t>
        </is>
      </c>
      <c r="H20" t="inlineStr">
        <is>
          <t>AUTO_VESSEL</t>
        </is>
      </c>
      <c r="I20" t="inlineStr">
        <is>
          <t>是</t>
        </is>
      </c>
      <c r="J20" t="inlineStr">
        <is>
          <t>纳入</t>
        </is>
      </c>
      <c r="K20" t="n">
        <v>127.3393194706994</v>
      </c>
      <c r="L20">
        <f>导管母表_860!G20</f>
        <v/>
      </c>
      <c r="M20" t="inlineStr">
        <is>
          <t>视野内部</t>
        </is>
      </c>
      <c r="N20" t="inlineStr">
        <is>
          <t>纳入A/D/Dh；若有Pair_ID则纳入CWR</t>
        </is>
      </c>
      <c r="O20" t="inlineStr">
        <is>
          <t>自动管线检出的合格导管腔。</t>
        </is>
      </c>
      <c r="P20" t="inlineStr">
        <is>
          <t>auto_pipeline;review_png_green</t>
        </is>
      </c>
      <c r="R20" t="inlineStr">
        <is>
          <t>样品41</t>
        </is>
      </c>
    </row>
    <row r="21">
      <c r="A21" t="inlineStr">
        <is>
          <t>41(5)-V05</t>
        </is>
      </c>
      <c r="B21" t="inlineStr">
        <is>
          <t>41 (5).tif</t>
        </is>
      </c>
      <c r="C21" t="n">
        <v>736</v>
      </c>
      <c r="D21" t="n">
        <v>361</v>
      </c>
      <c r="E21" t="inlineStr">
        <is>
          <t>709,328,764,395</t>
        </is>
      </c>
      <c r="F21" t="n">
        <v>260</v>
      </c>
      <c r="G21" t="inlineStr">
        <is>
          <t>primary</t>
        </is>
      </c>
      <c r="H21" t="inlineStr">
        <is>
          <t>AUTO_VESSEL</t>
        </is>
      </c>
      <c r="I21" t="inlineStr">
        <is>
          <t>是</t>
        </is>
      </c>
      <c r="J21" t="inlineStr">
        <is>
          <t>纳入</t>
        </is>
      </c>
      <c r="K21" t="n">
        <v>123.1332703213611</v>
      </c>
      <c r="L21">
        <f>导管母表_860!G21</f>
        <v/>
      </c>
      <c r="M21" t="inlineStr">
        <is>
          <t>视野内部</t>
        </is>
      </c>
      <c r="N21" t="inlineStr">
        <is>
          <t>纳入A/D/Dh；若有Pair_ID则纳入CWR</t>
        </is>
      </c>
      <c r="O21" t="inlineStr">
        <is>
          <t>自动管线检出的合格导管腔。</t>
        </is>
      </c>
      <c r="P21" t="inlineStr">
        <is>
          <t>auto_pipeline;review_png_green</t>
        </is>
      </c>
      <c r="R21" t="inlineStr">
        <is>
          <t>样品41</t>
        </is>
      </c>
    </row>
    <row r="22">
      <c r="A22" t="inlineStr">
        <is>
          <t>41(5)-V06</t>
        </is>
      </c>
      <c r="B22" t="inlineStr">
        <is>
          <t>41 (5).tif</t>
        </is>
      </c>
      <c r="C22" t="n">
        <v>603</v>
      </c>
      <c r="D22" t="n">
        <v>99</v>
      </c>
      <c r="E22" t="inlineStr">
        <is>
          <t>565,79,642,120</t>
        </is>
      </c>
      <c r="F22" t="n">
        <v>79</v>
      </c>
      <c r="G22" t="inlineStr">
        <is>
          <t>primary</t>
        </is>
      </c>
      <c r="H22" t="inlineStr">
        <is>
          <t>AUTO_VESSEL</t>
        </is>
      </c>
      <c r="I22" t="inlineStr">
        <is>
          <t>是</t>
        </is>
      </c>
      <c r="J22" t="inlineStr">
        <is>
          <t>纳入</t>
        </is>
      </c>
      <c r="K22" t="n">
        <v>109.8298676748582</v>
      </c>
      <c r="L22">
        <f>导管母表_860!G22</f>
        <v/>
      </c>
      <c r="M22" t="inlineStr">
        <is>
          <t>视野内部</t>
        </is>
      </c>
      <c r="N22" t="inlineStr">
        <is>
          <t>纳入A/D/Dh；若有Pair_ID则纳入CWR</t>
        </is>
      </c>
      <c r="O22" t="inlineStr">
        <is>
          <t>自动管线检出的合格导管腔。</t>
        </is>
      </c>
      <c r="P22" t="inlineStr">
        <is>
          <t>auto_pipeline;review_png_green</t>
        </is>
      </c>
      <c r="R22" t="inlineStr">
        <is>
          <t>样品41</t>
        </is>
      </c>
    </row>
    <row r="23">
      <c r="A23" t="inlineStr">
        <is>
          <t>41(6)-V01</t>
        </is>
      </c>
      <c r="B23" t="inlineStr">
        <is>
          <t>41 (6).tif</t>
        </is>
      </c>
      <c r="C23" t="n">
        <v>627</v>
      </c>
      <c r="D23" t="n">
        <v>348</v>
      </c>
      <c r="E23" t="inlineStr">
        <is>
          <t>529,259,726,438</t>
        </is>
      </c>
      <c r="F23" t="n">
        <v>259</v>
      </c>
      <c r="G23" t="inlineStr">
        <is>
          <t>primary</t>
        </is>
      </c>
      <c r="H23" t="inlineStr">
        <is>
          <t>AUTO_VESSEL</t>
        </is>
      </c>
      <c r="I23" t="inlineStr">
        <is>
          <t>是</t>
        </is>
      </c>
      <c r="J23" t="inlineStr">
        <is>
          <t>纳入</t>
        </is>
      </c>
      <c r="K23" t="n">
        <v>1294.470699432892</v>
      </c>
      <c r="L23">
        <f>导管母表_860!G23</f>
        <v/>
      </c>
      <c r="M23" t="inlineStr">
        <is>
          <t>视野内部</t>
        </is>
      </c>
      <c r="N23" t="inlineStr">
        <is>
          <t>纳入A/D/Dh；若有Pair_ID则纳入CWR</t>
        </is>
      </c>
      <c r="O23" t="inlineStr">
        <is>
          <t>自动管线检出的合格导管腔。</t>
        </is>
      </c>
      <c r="P23" t="inlineStr">
        <is>
          <t>auto_pipeline;review_png_green</t>
        </is>
      </c>
      <c r="R23" t="inlineStr">
        <is>
          <t>样品41</t>
        </is>
      </c>
    </row>
    <row r="24">
      <c r="A24" t="inlineStr">
        <is>
          <t>41(6)-V02</t>
        </is>
      </c>
      <c r="B24" t="inlineStr">
        <is>
          <t>41 (6).tif</t>
        </is>
      </c>
      <c r="C24" t="n">
        <v>406</v>
      </c>
      <c r="D24" t="n">
        <v>312</v>
      </c>
      <c r="E24" t="inlineStr">
        <is>
          <t>319,227,494,398</t>
        </is>
      </c>
      <c r="F24" t="n">
        <v>227</v>
      </c>
      <c r="G24" t="inlineStr">
        <is>
          <t>primary</t>
        </is>
      </c>
      <c r="H24" t="inlineStr">
        <is>
          <t>AUTO_VESSEL</t>
        </is>
      </c>
      <c r="I24" t="inlineStr">
        <is>
          <t>是</t>
        </is>
      </c>
      <c r="J24" t="inlineStr">
        <is>
          <t>纳入</t>
        </is>
      </c>
      <c r="K24" t="n">
        <v>1075.992438563327</v>
      </c>
      <c r="L24">
        <f>导管母表_860!G24</f>
        <v/>
      </c>
      <c r="M24" t="inlineStr">
        <is>
          <t>视野内部</t>
        </is>
      </c>
      <c r="N24" t="inlineStr">
        <is>
          <t>纳入A/D/Dh；若有Pair_ID则纳入CWR</t>
        </is>
      </c>
      <c r="O24" t="inlineStr">
        <is>
          <t>自动管线检出的合格导管腔。</t>
        </is>
      </c>
      <c r="P24" t="inlineStr">
        <is>
          <t>auto_pipeline;review_png_green</t>
        </is>
      </c>
      <c r="R24" t="inlineStr">
        <is>
          <t>样品41</t>
        </is>
      </c>
    </row>
    <row r="25">
      <c r="A25" t="inlineStr">
        <is>
          <t>41(6)-V03</t>
        </is>
      </c>
      <c r="B25" t="inlineStr">
        <is>
          <t>41 (6).tif</t>
        </is>
      </c>
      <c r="C25" t="n">
        <v>234</v>
      </c>
      <c r="D25" t="n">
        <v>107</v>
      </c>
      <c r="E25" t="inlineStr">
        <is>
          <t>163,37,306,178</t>
        </is>
      </c>
      <c r="F25" t="n">
        <v>37</v>
      </c>
      <c r="G25" t="inlineStr">
        <is>
          <t>primary</t>
        </is>
      </c>
      <c r="H25" t="inlineStr">
        <is>
          <t>AUTO_VESSEL</t>
        </is>
      </c>
      <c r="I25" t="inlineStr">
        <is>
          <t>是</t>
        </is>
      </c>
      <c r="J25" t="inlineStr">
        <is>
          <t>纳入</t>
        </is>
      </c>
      <c r="K25" t="n">
        <v>697.9678638941399</v>
      </c>
      <c r="L25">
        <f>导管母表_860!G25</f>
        <v/>
      </c>
      <c r="M25" t="inlineStr">
        <is>
          <t>视野内部</t>
        </is>
      </c>
      <c r="N25" t="inlineStr">
        <is>
          <t>纳入A/D/Dh；若有Pair_ID则纳入CWR</t>
        </is>
      </c>
      <c r="O25" t="inlineStr">
        <is>
          <t>自动管线检出的合格导管腔。</t>
        </is>
      </c>
      <c r="P25" t="inlineStr">
        <is>
          <t>auto_pipeline;review_png_green</t>
        </is>
      </c>
      <c r="R25" t="inlineStr">
        <is>
          <t>样品41</t>
        </is>
      </c>
    </row>
    <row r="26">
      <c r="A26" t="inlineStr">
        <is>
          <t>41(6)-V04</t>
        </is>
      </c>
      <c r="B26" t="inlineStr">
        <is>
          <t>41 (6).tif</t>
        </is>
      </c>
      <c r="C26" t="n">
        <v>888</v>
      </c>
      <c r="D26" t="n">
        <v>410</v>
      </c>
      <c r="E26" t="inlineStr">
        <is>
          <t>862,372,915,449</t>
        </is>
      </c>
      <c r="F26" t="n">
        <v>109</v>
      </c>
      <c r="G26" t="inlineStr">
        <is>
          <t>primary</t>
        </is>
      </c>
      <c r="H26" t="inlineStr">
        <is>
          <t>AUTO_VESSEL</t>
        </is>
      </c>
      <c r="I26" t="inlineStr">
        <is>
          <t>是</t>
        </is>
      </c>
      <c r="J26" t="inlineStr">
        <is>
          <t>纳入</t>
        </is>
      </c>
      <c r="K26" t="n">
        <v>136.507561436673</v>
      </c>
      <c r="L26">
        <f>导管母表_860!G26</f>
        <v/>
      </c>
      <c r="M26" t="inlineStr">
        <is>
          <t>视野内部</t>
        </is>
      </c>
      <c r="N26" t="inlineStr">
        <is>
          <t>纳入A/D/Dh；若有Pair_ID则纳入CWR</t>
        </is>
      </c>
      <c r="O26" t="inlineStr">
        <is>
          <t>自动管线检出的合格导管腔。</t>
        </is>
      </c>
      <c r="P26" t="inlineStr">
        <is>
          <t>auto_pipeline;review_png_green</t>
        </is>
      </c>
      <c r="R26" t="inlineStr">
        <is>
          <t>样品41</t>
        </is>
      </c>
    </row>
    <row r="27">
      <c r="A27" t="inlineStr">
        <is>
          <t>41(7)-V01</t>
        </is>
      </c>
      <c r="B27" t="inlineStr">
        <is>
          <t>41 (7).tif</t>
        </is>
      </c>
      <c r="C27" t="n">
        <v>577</v>
      </c>
      <c r="D27" t="n">
        <v>408</v>
      </c>
      <c r="E27" t="inlineStr">
        <is>
          <t>510,347,645,470</t>
        </is>
      </c>
      <c r="F27" t="n">
        <v>298</v>
      </c>
      <c r="G27" t="inlineStr">
        <is>
          <t>primary</t>
        </is>
      </c>
      <c r="H27" t="inlineStr">
        <is>
          <t>AUTO_VESSEL</t>
        </is>
      </c>
      <c r="I27" t="inlineStr">
        <is>
          <t>是</t>
        </is>
      </c>
      <c r="J27" t="inlineStr">
        <is>
          <t>纳入</t>
        </is>
      </c>
      <c r="K27" t="n">
        <v>605.9310018903592</v>
      </c>
      <c r="L27">
        <f>导管母表_860!G27</f>
        <v/>
      </c>
      <c r="M27" t="inlineStr">
        <is>
          <t>视野内部</t>
        </is>
      </c>
      <c r="N27" t="inlineStr">
        <is>
          <t>纳入A/D/Dh；若有Pair_ID则纳入CWR</t>
        </is>
      </c>
      <c r="O27" t="inlineStr">
        <is>
          <t>自动管线检出的合格导管腔。</t>
        </is>
      </c>
      <c r="P27" t="inlineStr">
        <is>
          <t>auto_pipeline;review_png_green</t>
        </is>
      </c>
      <c r="R27" t="inlineStr">
        <is>
          <t>样品41</t>
        </is>
      </c>
    </row>
    <row r="28">
      <c r="A28" t="inlineStr">
        <is>
          <t>41(7)-V02</t>
        </is>
      </c>
      <c r="B28" t="inlineStr">
        <is>
          <t>41 (7).tif</t>
        </is>
      </c>
      <c r="C28" t="n">
        <v>444</v>
      </c>
      <c r="D28" t="n">
        <v>358</v>
      </c>
      <c r="E28" t="inlineStr">
        <is>
          <t>386,295,503,422</t>
        </is>
      </c>
      <c r="F28" t="n">
        <v>295</v>
      </c>
      <c r="G28" t="inlineStr">
        <is>
          <t>primary</t>
        </is>
      </c>
      <c r="H28" t="inlineStr">
        <is>
          <t>AUTO_VESSEL</t>
        </is>
      </c>
      <c r="I28" t="inlineStr">
        <is>
          <t>是</t>
        </is>
      </c>
      <c r="J28" t="inlineStr">
        <is>
          <t>纳入</t>
        </is>
      </c>
      <c r="K28" t="n">
        <v>542.2022684310019</v>
      </c>
      <c r="L28">
        <f>导管母表_860!G28</f>
        <v/>
      </c>
      <c r="M28" t="inlineStr">
        <is>
          <t>视野内部</t>
        </is>
      </c>
      <c r="N28" t="inlineStr">
        <is>
          <t>纳入A/D/Dh；若有Pair_ID则纳入CWR</t>
        </is>
      </c>
      <c r="O28" t="inlineStr">
        <is>
          <t>自动管线检出的合格导管腔。</t>
        </is>
      </c>
      <c r="P28" t="inlineStr">
        <is>
          <t>auto_pipeline;review_png_green</t>
        </is>
      </c>
      <c r="Q28" t="inlineStr">
        <is>
          <t>41(7)-P01</t>
        </is>
      </c>
      <c r="R28" t="inlineStr">
        <is>
          <t>样品41</t>
        </is>
      </c>
    </row>
    <row r="29">
      <c r="A29" t="inlineStr">
        <is>
          <t>41(7)-V03</t>
        </is>
      </c>
      <c r="B29" t="inlineStr">
        <is>
          <t>41 (7).tif</t>
        </is>
      </c>
      <c r="C29" t="n">
        <v>472</v>
      </c>
      <c r="D29" t="n">
        <v>390</v>
      </c>
      <c r="E29" t="inlineStr">
        <is>
          <t>445,360,500,421</t>
        </is>
      </c>
      <c r="F29" t="n">
        <v>347</v>
      </c>
      <c r="G29" t="inlineStr">
        <is>
          <t>primary</t>
        </is>
      </c>
      <c r="H29" t="inlineStr">
        <is>
          <t>AUTO_VESSEL</t>
        </is>
      </c>
      <c r="I29" t="inlineStr">
        <is>
          <t>是</t>
        </is>
      </c>
      <c r="J29" t="inlineStr">
        <is>
          <t>纳入</t>
        </is>
      </c>
      <c r="K29" t="n">
        <v>96.2429111531191</v>
      </c>
      <c r="L29">
        <f>导管母表_860!G29</f>
        <v/>
      </c>
      <c r="M29" t="inlineStr">
        <is>
          <t>视野内部</t>
        </is>
      </c>
      <c r="N29" t="inlineStr">
        <is>
          <t>纳入A/D/Dh；若有Pair_ID则纳入CWR</t>
        </is>
      </c>
      <c r="O29" t="inlineStr">
        <is>
          <t>自动管线检出的合格导管腔。</t>
        </is>
      </c>
      <c r="P29" t="inlineStr">
        <is>
          <t>auto_pipeline;review_png_green</t>
        </is>
      </c>
      <c r="Q29" t="inlineStr">
        <is>
          <t>41(7)-P01</t>
        </is>
      </c>
      <c r="R29" t="inlineStr">
        <is>
          <t>样品41</t>
        </is>
      </c>
    </row>
    <row r="30">
      <c r="A30" t="inlineStr">
        <is>
          <t>41(8)-V01</t>
        </is>
      </c>
      <c r="B30" t="inlineStr">
        <is>
          <t>41 (8).tif</t>
        </is>
      </c>
      <c r="C30" t="n">
        <v>424</v>
      </c>
      <c r="D30" t="n">
        <v>293</v>
      </c>
      <c r="E30" t="inlineStr">
        <is>
          <t>330,207,519,380</t>
        </is>
      </c>
      <c r="F30" t="n">
        <v>207</v>
      </c>
      <c r="G30" t="inlineStr">
        <is>
          <t>primary</t>
        </is>
      </c>
      <c r="H30" t="inlineStr">
        <is>
          <t>AUTO_VESSEL</t>
        </is>
      </c>
      <c r="I30" t="inlineStr">
        <is>
          <t>是</t>
        </is>
      </c>
      <c r="J30" t="inlineStr">
        <is>
          <t>纳入</t>
        </is>
      </c>
      <c r="K30" t="n">
        <v>1184.428166351607</v>
      </c>
      <c r="L30">
        <f>导管母表_860!G30</f>
        <v/>
      </c>
      <c r="M30" t="inlineStr">
        <is>
          <t>视野内部</t>
        </is>
      </c>
      <c r="N30" t="inlineStr">
        <is>
          <t>纳入A/D/Dh；若有Pair_ID则纳入CWR</t>
        </is>
      </c>
      <c r="O30" t="inlineStr">
        <is>
          <t>自动管线检出的合格导管腔。</t>
        </is>
      </c>
      <c r="P30" t="inlineStr">
        <is>
          <t>auto_pipeline;review_png_green</t>
        </is>
      </c>
      <c r="R30" t="inlineStr">
        <is>
          <t>样品41</t>
        </is>
      </c>
    </row>
    <row r="31">
      <c r="A31" t="inlineStr">
        <is>
          <t>42(1)-V01</t>
        </is>
      </c>
      <c r="B31" t="inlineStr">
        <is>
          <t>42 (1).tif</t>
        </is>
      </c>
      <c r="C31" t="n">
        <v>609</v>
      </c>
      <c r="D31" t="n">
        <v>385</v>
      </c>
      <c r="E31" t="inlineStr">
        <is>
          <t>534,310,685,461</t>
        </is>
      </c>
      <c r="F31" t="n">
        <v>307</v>
      </c>
      <c r="G31" t="inlineStr">
        <is>
          <t>primary</t>
        </is>
      </c>
      <c r="H31" t="inlineStr">
        <is>
          <t>AUTO_VESSEL</t>
        </is>
      </c>
      <c r="I31" t="inlineStr">
        <is>
          <t>是</t>
        </is>
      </c>
      <c r="J31" t="inlineStr">
        <is>
          <t>纳入</t>
        </is>
      </c>
      <c r="K31" t="n">
        <v>833.7429111531191</v>
      </c>
      <c r="L31">
        <f>导管母表_860!G31</f>
        <v/>
      </c>
      <c r="M31" t="inlineStr">
        <is>
          <t>视野内部</t>
        </is>
      </c>
      <c r="N31" t="inlineStr">
        <is>
          <t>纳入A/D/Dh；若有Pair_ID则纳入CWR</t>
        </is>
      </c>
      <c r="O31" t="inlineStr">
        <is>
          <t>自动管线检出的合格导管腔。</t>
        </is>
      </c>
      <c r="P31" t="inlineStr">
        <is>
          <t>auto_pipeline;review_png_green</t>
        </is>
      </c>
      <c r="Q31" t="inlineStr">
        <is>
          <t>42(1)-P01</t>
        </is>
      </c>
      <c r="R31" t="inlineStr">
        <is>
          <t>样品42</t>
        </is>
      </c>
    </row>
    <row r="32">
      <c r="A32" t="inlineStr">
        <is>
          <t>42(1)-V02</t>
        </is>
      </c>
      <c r="B32" t="inlineStr">
        <is>
          <t>42 (1).tif</t>
        </is>
      </c>
      <c r="C32" t="n">
        <v>475</v>
      </c>
      <c r="D32" t="n">
        <v>277</v>
      </c>
      <c r="E32" t="inlineStr">
        <is>
          <t>407,219,544,336</t>
        </is>
      </c>
      <c r="F32" t="n">
        <v>219</v>
      </c>
      <c r="G32" t="inlineStr">
        <is>
          <t>primary</t>
        </is>
      </c>
      <c r="H32" t="inlineStr">
        <is>
          <t>AUTO_VESSEL</t>
        </is>
      </c>
      <c r="I32" t="inlineStr">
        <is>
          <t>是</t>
        </is>
      </c>
      <c r="J32" t="inlineStr">
        <is>
          <t>纳入</t>
        </is>
      </c>
      <c r="K32" t="n">
        <v>586.4366729678638</v>
      </c>
      <c r="L32">
        <f>导管母表_860!G32</f>
        <v/>
      </c>
      <c r="M32" t="inlineStr">
        <is>
          <t>视野内部</t>
        </is>
      </c>
      <c r="N32" t="inlineStr">
        <is>
          <t>纳入A/D/Dh；若有Pair_ID则纳入CWR</t>
        </is>
      </c>
      <c r="O32" t="inlineStr">
        <is>
          <t>自动管线检出的合格导管腔。</t>
        </is>
      </c>
      <c r="P32" t="inlineStr">
        <is>
          <t>auto_pipeline;review_png_green</t>
        </is>
      </c>
      <c r="Q32" t="inlineStr">
        <is>
          <t>42(1)-P01</t>
        </is>
      </c>
      <c r="R32" t="inlineStr">
        <is>
          <t>样品42</t>
        </is>
      </c>
    </row>
    <row r="33">
      <c r="A33" t="inlineStr">
        <is>
          <t>42(1)-V03</t>
        </is>
      </c>
      <c r="B33" t="inlineStr">
        <is>
          <t>42 (1).tif</t>
        </is>
      </c>
      <c r="C33" t="n">
        <v>389</v>
      </c>
      <c r="D33" t="n">
        <v>337</v>
      </c>
      <c r="E33" t="inlineStr">
        <is>
          <t>357,296,422,379</t>
        </is>
      </c>
      <c r="F33" t="n">
        <v>296</v>
      </c>
      <c r="G33" t="inlineStr">
        <is>
          <t>primary</t>
        </is>
      </c>
      <c r="H33" t="inlineStr">
        <is>
          <t>AUTO_VESSEL</t>
        </is>
      </c>
      <c r="I33" t="inlineStr">
        <is>
          <t>是</t>
        </is>
      </c>
      <c r="J33" t="inlineStr">
        <is>
          <t>纳入</t>
        </is>
      </c>
      <c r="K33" t="n">
        <v>173.6531190926276</v>
      </c>
      <c r="L33">
        <f>导管母表_860!G33</f>
        <v/>
      </c>
      <c r="M33" t="inlineStr">
        <is>
          <t>视野内部</t>
        </is>
      </c>
      <c r="N33" t="inlineStr">
        <is>
          <t>纳入A/D/Dh；若有Pair_ID则纳入CWR</t>
        </is>
      </c>
      <c r="O33" t="inlineStr">
        <is>
          <t>自动管线检出的合格导管腔。</t>
        </is>
      </c>
      <c r="P33" t="inlineStr">
        <is>
          <t>auto_pipeline;review_png_green</t>
        </is>
      </c>
      <c r="R33" t="inlineStr">
        <is>
          <t>样品42</t>
        </is>
      </c>
    </row>
    <row r="34">
      <c r="A34" t="inlineStr">
        <is>
          <t>42(1)-V04</t>
        </is>
      </c>
      <c r="B34" t="inlineStr">
        <is>
          <t>42 (1).tif</t>
        </is>
      </c>
      <c r="C34" t="n">
        <v>480</v>
      </c>
      <c r="D34" t="n">
        <v>418</v>
      </c>
      <c r="E34" t="inlineStr">
        <is>
          <t>440,385,521,452</t>
        </is>
      </c>
      <c r="F34" t="n">
        <v>316</v>
      </c>
      <c r="G34" t="inlineStr">
        <is>
          <t>primary</t>
        </is>
      </c>
      <c r="H34" t="inlineStr">
        <is>
          <t>AUTO_VESSEL</t>
        </is>
      </c>
      <c r="I34" t="inlineStr">
        <is>
          <t>是</t>
        </is>
      </c>
      <c r="J34" t="inlineStr">
        <is>
          <t>纳入</t>
        </is>
      </c>
      <c r="K34" t="n">
        <v>173.6058601134216</v>
      </c>
      <c r="L34">
        <f>导管母表_860!G34</f>
        <v/>
      </c>
      <c r="M34" t="inlineStr">
        <is>
          <t>视野内部</t>
        </is>
      </c>
      <c r="N34" t="inlineStr">
        <is>
          <t>纳入A/D/Dh；若有Pair_ID则纳入CWR</t>
        </is>
      </c>
      <c r="O34" t="inlineStr">
        <is>
          <t>自动管线检出的合格导管腔。</t>
        </is>
      </c>
      <c r="P34" t="inlineStr">
        <is>
          <t>auto_pipeline;review_png_green</t>
        </is>
      </c>
      <c r="R34" t="inlineStr">
        <is>
          <t>样品42</t>
        </is>
      </c>
    </row>
    <row r="35">
      <c r="A35" t="inlineStr">
        <is>
          <t>42(1)-V05</t>
        </is>
      </c>
      <c r="B35" t="inlineStr">
        <is>
          <t>42 (1).tif</t>
        </is>
      </c>
      <c r="C35" t="n">
        <v>792</v>
      </c>
      <c r="D35" t="n">
        <v>602</v>
      </c>
      <c r="E35" t="inlineStr">
        <is>
          <t>764,569,821,636</t>
        </is>
      </c>
      <c r="F35" t="n">
        <v>132</v>
      </c>
      <c r="G35" t="inlineStr">
        <is>
          <t>primary</t>
        </is>
      </c>
      <c r="H35" t="inlineStr">
        <is>
          <t>AUTO_VESSEL</t>
        </is>
      </c>
      <c r="I35" t="inlineStr">
        <is>
          <t>是</t>
        </is>
      </c>
      <c r="J35" t="inlineStr">
        <is>
          <t>纳入</t>
        </is>
      </c>
      <c r="K35" t="n">
        <v>137.476370510397</v>
      </c>
      <c r="L35">
        <f>导管母表_860!G35</f>
        <v/>
      </c>
      <c r="M35" t="inlineStr">
        <is>
          <t>视野内部</t>
        </is>
      </c>
      <c r="N35" t="inlineStr">
        <is>
          <t>纳入A/D/Dh；若有Pair_ID则纳入CWR</t>
        </is>
      </c>
      <c r="O35" t="inlineStr">
        <is>
          <t>自动管线检出的合格导管腔。</t>
        </is>
      </c>
      <c r="P35" t="inlineStr">
        <is>
          <t>auto_pipeline;review_png_green</t>
        </is>
      </c>
      <c r="R35" t="inlineStr">
        <is>
          <t>样品42</t>
        </is>
      </c>
    </row>
    <row r="36">
      <c r="A36" t="inlineStr">
        <is>
          <t>42(1)-V06</t>
        </is>
      </c>
      <c r="B36" t="inlineStr">
        <is>
          <t>42 (1).tif</t>
        </is>
      </c>
      <c r="C36" t="n">
        <v>725</v>
      </c>
      <c r="D36" t="n">
        <v>557</v>
      </c>
      <c r="E36" t="inlineStr">
        <is>
          <t>693,529,758,586</t>
        </is>
      </c>
      <c r="F36" t="n">
        <v>182</v>
      </c>
      <c r="G36" t="inlineStr">
        <is>
          <t>primary</t>
        </is>
      </c>
      <c r="H36" t="inlineStr">
        <is>
          <t>AUTO_VESSEL</t>
        </is>
      </c>
      <c r="I36" t="inlineStr">
        <is>
          <t>是</t>
        </is>
      </c>
      <c r="J36" t="inlineStr">
        <is>
          <t>纳入</t>
        </is>
      </c>
      <c r="K36" t="n">
        <v>124.8109640831758</v>
      </c>
      <c r="L36">
        <f>导管母表_860!G36</f>
        <v/>
      </c>
      <c r="M36" t="inlineStr">
        <is>
          <t>视野内部</t>
        </is>
      </c>
      <c r="N36" t="inlineStr">
        <is>
          <t>纳入A/D/Dh；若有Pair_ID则纳入CWR</t>
        </is>
      </c>
      <c r="O36" t="inlineStr">
        <is>
          <t>自动管线检出的合格导管腔。</t>
        </is>
      </c>
      <c r="P36" t="inlineStr">
        <is>
          <t>auto_pipeline;review_png_green</t>
        </is>
      </c>
      <c r="R36" t="inlineStr">
        <is>
          <t>样品42</t>
        </is>
      </c>
    </row>
    <row r="37">
      <c r="A37" t="inlineStr">
        <is>
          <t>42(1)-V07</t>
        </is>
      </c>
      <c r="B37" t="inlineStr">
        <is>
          <t>42 (1).tif</t>
        </is>
      </c>
      <c r="C37" t="n">
        <v>57</v>
      </c>
      <c r="D37" t="n">
        <v>557</v>
      </c>
      <c r="E37" t="inlineStr">
        <is>
          <t>20,537,95,578</t>
        </is>
      </c>
      <c r="F37" t="n">
        <v>20</v>
      </c>
      <c r="G37" t="inlineStr">
        <is>
          <t>primary</t>
        </is>
      </c>
      <c r="H37" t="inlineStr">
        <is>
          <t>AUTO_VESSEL</t>
        </is>
      </c>
      <c r="I37" t="inlineStr">
        <is>
          <t>是</t>
        </is>
      </c>
      <c r="J37" t="inlineStr">
        <is>
          <t>纳入</t>
        </is>
      </c>
      <c r="K37" t="n">
        <v>110.1134215500945</v>
      </c>
      <c r="L37">
        <f>导管母表_860!G37</f>
        <v/>
      </c>
      <c r="M37" t="inlineStr">
        <is>
          <t>近边缘（&lt;25 px）</t>
        </is>
      </c>
      <c r="N37" t="inlineStr">
        <is>
          <t>纳入A/D/Dh；若有Pair_ID则纳入CWR</t>
        </is>
      </c>
      <c r="O37" t="inlineStr">
        <is>
          <t>自动管线检出的合格导管腔。</t>
        </is>
      </c>
      <c r="P37" t="inlineStr">
        <is>
          <t>auto_pipeline;review_png_green</t>
        </is>
      </c>
      <c r="R37" t="inlineStr">
        <is>
          <t>样品42</t>
        </is>
      </c>
    </row>
    <row r="38">
      <c r="A38" t="inlineStr">
        <is>
          <t>42(2)-V01</t>
        </is>
      </c>
      <c r="B38" t="inlineStr">
        <is>
          <t>42 (2).tif</t>
        </is>
      </c>
      <c r="C38" t="n">
        <v>566</v>
      </c>
      <c r="D38" t="n">
        <v>331</v>
      </c>
      <c r="E38" t="inlineStr">
        <is>
          <t>506,269,627,394</t>
        </is>
      </c>
      <c r="F38" t="n">
        <v>269</v>
      </c>
      <c r="G38" t="inlineStr">
        <is>
          <t>primary</t>
        </is>
      </c>
      <c r="H38" t="inlineStr">
        <is>
          <t>AUTO_VESSEL</t>
        </is>
      </c>
      <c r="I38" t="inlineStr">
        <is>
          <t>是</t>
        </is>
      </c>
      <c r="J38" t="inlineStr">
        <is>
          <t>纳入</t>
        </is>
      </c>
      <c r="K38" t="n">
        <v>552.6465028355387</v>
      </c>
      <c r="L38">
        <f>导管母表_860!G38</f>
        <v/>
      </c>
      <c r="M38" t="inlineStr">
        <is>
          <t>视野内部</t>
        </is>
      </c>
      <c r="N38" t="inlineStr">
        <is>
          <t>纳入A/D/Dh；若有Pair_ID则纳入CWR</t>
        </is>
      </c>
      <c r="O38" t="inlineStr">
        <is>
          <t>自动管线检出的合格导管腔。</t>
        </is>
      </c>
      <c r="P38" t="inlineStr">
        <is>
          <t>auto_pipeline;review_png_green</t>
        </is>
      </c>
      <c r="R38" t="inlineStr">
        <is>
          <t>样品42</t>
        </is>
      </c>
    </row>
    <row r="39">
      <c r="A39" t="inlineStr">
        <is>
          <t>42(2)-V02</t>
        </is>
      </c>
      <c r="B39" t="inlineStr">
        <is>
          <t>42 (2).tif</t>
        </is>
      </c>
      <c r="C39" t="n">
        <v>725</v>
      </c>
      <c r="D39" t="n">
        <v>195</v>
      </c>
      <c r="E39" t="inlineStr">
        <is>
          <t>663,144,788,247</t>
        </is>
      </c>
      <c r="F39" t="n">
        <v>144</v>
      </c>
      <c r="G39" t="inlineStr">
        <is>
          <t>primary</t>
        </is>
      </c>
      <c r="H39" t="inlineStr">
        <is>
          <t>AUTO_VESSEL</t>
        </is>
      </c>
      <c r="I39" t="inlineStr">
        <is>
          <t>是</t>
        </is>
      </c>
      <c r="J39" t="inlineStr">
        <is>
          <t>纳入</t>
        </is>
      </c>
      <c r="K39" t="n">
        <v>469.9905482041588</v>
      </c>
      <c r="L39">
        <f>导管母表_860!G39</f>
        <v/>
      </c>
      <c r="M39" t="inlineStr">
        <is>
          <t>视野内部</t>
        </is>
      </c>
      <c r="N39" t="inlineStr">
        <is>
          <t>纳入A/D/Dh；若有Pair_ID则纳入CWR</t>
        </is>
      </c>
      <c r="O39" t="inlineStr">
        <is>
          <t>自动管线检出的合格导管腔。</t>
        </is>
      </c>
      <c r="P39" t="inlineStr">
        <is>
          <t>auto_pipeline;review_png_green</t>
        </is>
      </c>
      <c r="R39" t="inlineStr">
        <is>
          <t>样品42</t>
        </is>
      </c>
    </row>
    <row r="40">
      <c r="A40" t="inlineStr">
        <is>
          <t>42(2)-V03</t>
        </is>
      </c>
      <c r="B40" t="inlineStr">
        <is>
          <t>42 (2).tif</t>
        </is>
      </c>
      <c r="C40" t="n">
        <v>302</v>
      </c>
      <c r="D40" t="n">
        <v>478</v>
      </c>
      <c r="E40" t="inlineStr">
        <is>
          <t>254,431,351,526</t>
        </is>
      </c>
      <c r="F40" t="n">
        <v>242</v>
      </c>
      <c r="G40" t="inlineStr">
        <is>
          <t>primary</t>
        </is>
      </c>
      <c r="H40" t="inlineStr">
        <is>
          <t>AUTO_VESSEL</t>
        </is>
      </c>
      <c r="I40" t="inlineStr">
        <is>
          <t>是</t>
        </is>
      </c>
      <c r="J40" t="inlineStr">
        <is>
          <t>纳入</t>
        </is>
      </c>
      <c r="K40" t="n">
        <v>334.2863894139887</v>
      </c>
      <c r="L40">
        <f>导管母表_860!G40</f>
        <v/>
      </c>
      <c r="M40" t="inlineStr">
        <is>
          <t>视野内部</t>
        </is>
      </c>
      <c r="N40" t="inlineStr">
        <is>
          <t>纳入A/D/Dh；若有Pair_ID则纳入CWR</t>
        </is>
      </c>
      <c r="O40" t="inlineStr">
        <is>
          <t>自动管线检出的合格导管腔。</t>
        </is>
      </c>
      <c r="P40" t="inlineStr">
        <is>
          <t>auto_pipeline;review_png_green</t>
        </is>
      </c>
      <c r="Q40" t="inlineStr">
        <is>
          <t>42(2)-P01</t>
        </is>
      </c>
      <c r="R40" t="inlineStr">
        <is>
          <t>样品42</t>
        </is>
      </c>
    </row>
    <row r="41">
      <c r="A41" t="inlineStr">
        <is>
          <t>42(2)-V04</t>
        </is>
      </c>
      <c r="B41" t="inlineStr">
        <is>
          <t>42 (2).tif</t>
        </is>
      </c>
      <c r="C41" t="n">
        <v>203</v>
      </c>
      <c r="D41" t="n">
        <v>534</v>
      </c>
      <c r="E41" t="inlineStr">
        <is>
          <t>141,495,266,574</t>
        </is>
      </c>
      <c r="F41" t="n">
        <v>141</v>
      </c>
      <c r="G41" t="inlineStr">
        <is>
          <t>primary</t>
        </is>
      </c>
      <c r="H41" t="inlineStr">
        <is>
          <t>AUTO_VESSEL</t>
        </is>
      </c>
      <c r="I41" t="inlineStr">
        <is>
          <t>是</t>
        </is>
      </c>
      <c r="J41" t="inlineStr">
        <is>
          <t>纳入</t>
        </is>
      </c>
      <c r="K41" t="n">
        <v>314.2722117202268</v>
      </c>
      <c r="L41">
        <f>导管母表_860!G41</f>
        <v/>
      </c>
      <c r="M41" t="inlineStr">
        <is>
          <t>视野内部</t>
        </is>
      </c>
      <c r="N41" t="inlineStr">
        <is>
          <t>纳入A/D/Dh；若有Pair_ID则纳入CWR</t>
        </is>
      </c>
      <c r="O41" t="inlineStr">
        <is>
          <t>自动管线检出的合格导管腔。</t>
        </is>
      </c>
      <c r="P41" t="inlineStr">
        <is>
          <t>auto_pipeline;review_png_green</t>
        </is>
      </c>
      <c r="Q41" t="inlineStr">
        <is>
          <t>42(2)-P01</t>
        </is>
      </c>
      <c r="R41" t="inlineStr">
        <is>
          <t>样品42</t>
        </is>
      </c>
    </row>
    <row r="42">
      <c r="A42" t="inlineStr">
        <is>
          <t>42(2)-V05</t>
        </is>
      </c>
      <c r="B42" t="inlineStr">
        <is>
          <t>42 (2).tif</t>
        </is>
      </c>
      <c r="C42" t="n">
        <v>857</v>
      </c>
      <c r="D42" t="n">
        <v>105</v>
      </c>
      <c r="E42" t="inlineStr">
        <is>
          <t>813,67,902,144</t>
        </is>
      </c>
      <c r="F42" t="n">
        <v>67</v>
      </c>
      <c r="G42" t="inlineStr">
        <is>
          <t>primary</t>
        </is>
      </c>
      <c r="H42" t="inlineStr">
        <is>
          <t>AUTO_VESSEL</t>
        </is>
      </c>
      <c r="I42" t="inlineStr">
        <is>
          <t>是</t>
        </is>
      </c>
      <c r="J42" t="inlineStr">
        <is>
          <t>纳入</t>
        </is>
      </c>
      <c r="K42" t="n">
        <v>248.038752362949</v>
      </c>
      <c r="L42">
        <f>导管母表_860!G42</f>
        <v/>
      </c>
      <c r="M42" t="inlineStr">
        <is>
          <t>视野内部</t>
        </is>
      </c>
      <c r="N42" t="inlineStr">
        <is>
          <t>纳入A/D/Dh；若有Pair_ID则纳入CWR</t>
        </is>
      </c>
      <c r="O42" t="inlineStr">
        <is>
          <t>自动管线检出的合格导管腔。</t>
        </is>
      </c>
      <c r="P42" t="inlineStr">
        <is>
          <t>auto_pipeline;review_png_green</t>
        </is>
      </c>
      <c r="R42" t="inlineStr">
        <is>
          <t>样品42</t>
        </is>
      </c>
    </row>
    <row r="43">
      <c r="A43" t="inlineStr">
        <is>
          <t>42(3)-V01</t>
        </is>
      </c>
      <c r="B43" t="inlineStr">
        <is>
          <t>42 (3).tif</t>
        </is>
      </c>
      <c r="C43" t="n">
        <v>542</v>
      </c>
      <c r="D43" t="n">
        <v>340</v>
      </c>
      <c r="E43" t="inlineStr">
        <is>
          <t>477,285,608,396</t>
        </is>
      </c>
      <c r="F43" t="n">
        <v>285</v>
      </c>
      <c r="G43" t="inlineStr">
        <is>
          <t>primary</t>
        </is>
      </c>
      <c r="H43" t="inlineStr">
        <is>
          <t>AUTO_VESSEL</t>
        </is>
      </c>
      <c r="I43" t="inlineStr">
        <is>
          <t>是</t>
        </is>
      </c>
      <c r="J43" t="inlineStr">
        <is>
          <t>纳入</t>
        </is>
      </c>
      <c r="K43" t="n">
        <v>531.1436672967864</v>
      </c>
      <c r="L43">
        <f>导管母表_860!G43</f>
        <v/>
      </c>
      <c r="M43" t="inlineStr">
        <is>
          <t>视野内部</t>
        </is>
      </c>
      <c r="N43" t="inlineStr">
        <is>
          <t>纳入A/D/Dh；若有Pair_ID则纳入CWR</t>
        </is>
      </c>
      <c r="O43" t="inlineStr">
        <is>
          <t>自动管线检出的合格导管腔。</t>
        </is>
      </c>
      <c r="P43" t="inlineStr">
        <is>
          <t>auto_pipeline;review_png_green</t>
        </is>
      </c>
      <c r="Q43" t="inlineStr">
        <is>
          <t>42(3)-P01</t>
        </is>
      </c>
      <c r="R43" t="inlineStr">
        <is>
          <t>样品42</t>
        </is>
      </c>
    </row>
    <row r="44">
      <c r="A44" t="inlineStr">
        <is>
          <t>42(3)-V02</t>
        </is>
      </c>
      <c r="B44" t="inlineStr">
        <is>
          <t>42 (3).tif</t>
        </is>
      </c>
      <c r="C44" t="n">
        <v>448</v>
      </c>
      <c r="D44" t="n">
        <v>439</v>
      </c>
      <c r="E44" t="inlineStr">
        <is>
          <t>388,382,509,497</t>
        </is>
      </c>
      <c r="F44" t="n">
        <v>271</v>
      </c>
      <c r="G44" t="inlineStr">
        <is>
          <t>primary</t>
        </is>
      </c>
      <c r="H44" t="inlineStr">
        <is>
          <t>AUTO_VESSEL</t>
        </is>
      </c>
      <c r="I44" t="inlineStr">
        <is>
          <t>是</t>
        </is>
      </c>
      <c r="J44" t="inlineStr">
        <is>
          <t>纳入</t>
        </is>
      </c>
      <c r="K44" t="n">
        <v>508.1758034026465</v>
      </c>
      <c r="L44">
        <f>导管母表_860!G44</f>
        <v/>
      </c>
      <c r="M44" t="inlineStr">
        <is>
          <t>视野内部</t>
        </is>
      </c>
      <c r="N44" t="inlineStr">
        <is>
          <t>纳入A/D/Dh；若有Pair_ID则纳入CWR</t>
        </is>
      </c>
      <c r="O44" t="inlineStr">
        <is>
          <t>自动管线检出的合格导管腔。</t>
        </is>
      </c>
      <c r="P44" t="inlineStr">
        <is>
          <t>auto_pipeline;review_png_green</t>
        </is>
      </c>
      <c r="Q44" t="inlineStr">
        <is>
          <t>42(3)-P01</t>
        </is>
      </c>
      <c r="R44" t="inlineStr">
        <is>
          <t>样品42</t>
        </is>
      </c>
    </row>
    <row r="45">
      <c r="A45" t="inlineStr">
        <is>
          <t>42(3)-V03</t>
        </is>
      </c>
      <c r="B45" t="inlineStr">
        <is>
          <t>42 (3).tif</t>
        </is>
      </c>
      <c r="C45" t="n">
        <v>167</v>
      </c>
      <c r="D45" t="n">
        <v>457</v>
      </c>
      <c r="E45" t="inlineStr">
        <is>
          <t>109,406,226,509</t>
        </is>
      </c>
      <c r="F45" t="n">
        <v>109</v>
      </c>
      <c r="G45" t="inlineStr">
        <is>
          <t>primary</t>
        </is>
      </c>
      <c r="H45" t="inlineStr">
        <is>
          <t>AUTO_VESSEL</t>
        </is>
      </c>
      <c r="I45" t="inlineStr">
        <is>
          <t>是</t>
        </is>
      </c>
      <c r="J45" t="inlineStr">
        <is>
          <t>纳入</t>
        </is>
      </c>
      <c r="K45" t="n">
        <v>422.9206049149338</v>
      </c>
      <c r="L45">
        <f>导管母表_860!G45</f>
        <v/>
      </c>
      <c r="M45" t="inlineStr">
        <is>
          <t>视野内部</t>
        </is>
      </c>
      <c r="N45" t="inlineStr">
        <is>
          <t>纳入A/D/Dh；若有Pair_ID则纳入CWR</t>
        </is>
      </c>
      <c r="O45" t="inlineStr">
        <is>
          <t>自动管线检出的合格导管腔。</t>
        </is>
      </c>
      <c r="P45" t="inlineStr">
        <is>
          <t>auto_pipeline;review_png_green</t>
        </is>
      </c>
      <c r="R45" t="inlineStr">
        <is>
          <t>样品42</t>
        </is>
      </c>
    </row>
    <row r="46">
      <c r="A46" t="inlineStr">
        <is>
          <t>42(3)-V04</t>
        </is>
      </c>
      <c r="B46" t="inlineStr">
        <is>
          <t>42 (3).tif</t>
        </is>
      </c>
      <c r="C46" t="n">
        <v>287</v>
      </c>
      <c r="D46" t="n">
        <v>349</v>
      </c>
      <c r="E46" t="inlineStr">
        <is>
          <t>238,293,337,406</t>
        </is>
      </c>
      <c r="F46" t="n">
        <v>238</v>
      </c>
      <c r="G46" t="inlineStr">
        <is>
          <t>primary</t>
        </is>
      </c>
      <c r="H46" t="inlineStr">
        <is>
          <t>AUTO_VESSEL</t>
        </is>
      </c>
      <c r="I46" t="inlineStr">
        <is>
          <t>是</t>
        </is>
      </c>
      <c r="J46" t="inlineStr">
        <is>
          <t>纳入</t>
        </is>
      </c>
      <c r="K46" t="n">
        <v>407.3251417769376</v>
      </c>
      <c r="L46">
        <f>导管母表_860!G46</f>
        <v/>
      </c>
      <c r="M46" t="inlineStr">
        <is>
          <t>视野内部</t>
        </is>
      </c>
      <c r="N46" t="inlineStr">
        <is>
          <t>纳入A/D/Dh；若有Pair_ID则纳入CWR</t>
        </is>
      </c>
      <c r="O46" t="inlineStr">
        <is>
          <t>自动管线检出的合格导管腔。</t>
        </is>
      </c>
      <c r="P46" t="inlineStr">
        <is>
          <t>auto_pipeline;review_png_green</t>
        </is>
      </c>
      <c r="R46" t="inlineStr">
        <is>
          <t>样品42</t>
        </is>
      </c>
    </row>
    <row r="47">
      <c r="A47" t="inlineStr">
        <is>
          <t>42(4)-V01</t>
        </is>
      </c>
      <c r="B47" t="inlineStr">
        <is>
          <t>42 (4).tif</t>
        </is>
      </c>
      <c r="C47" t="n">
        <v>384</v>
      </c>
      <c r="D47" t="n">
        <v>371</v>
      </c>
      <c r="E47" t="inlineStr">
        <is>
          <t>291,288,478,455</t>
        </is>
      </c>
      <c r="F47" t="n">
        <v>288</v>
      </c>
      <c r="G47" t="inlineStr">
        <is>
          <t>primary</t>
        </is>
      </c>
      <c r="H47" t="inlineStr">
        <is>
          <t>AUTO_VESSEL</t>
        </is>
      </c>
      <c r="I47" t="inlineStr">
        <is>
          <t>是</t>
        </is>
      </c>
      <c r="J47" t="inlineStr">
        <is>
          <t>纳入</t>
        </is>
      </c>
      <c r="K47" t="n">
        <v>1144.13988657845</v>
      </c>
      <c r="L47">
        <f>导管母表_860!G47</f>
        <v/>
      </c>
      <c r="M47" t="inlineStr">
        <is>
          <t>视野内部</t>
        </is>
      </c>
      <c r="N47" t="inlineStr">
        <is>
          <t>纳入A/D/Dh；若有Pair_ID则纳入CWR</t>
        </is>
      </c>
      <c r="O47" t="inlineStr">
        <is>
          <t>自动管线检出的合格导管腔。</t>
        </is>
      </c>
      <c r="P47" t="inlineStr">
        <is>
          <t>auto_pipeline;review_png_green</t>
        </is>
      </c>
      <c r="R47" t="inlineStr">
        <is>
          <t>样品42</t>
        </is>
      </c>
    </row>
    <row r="48">
      <c r="A48" t="inlineStr">
        <is>
          <t>42(4)-V02</t>
        </is>
      </c>
      <c r="B48" t="inlineStr">
        <is>
          <t>42 (4).tif</t>
        </is>
      </c>
      <c r="C48" t="n">
        <v>587</v>
      </c>
      <c r="D48" t="n">
        <v>330</v>
      </c>
      <c r="E48" t="inlineStr">
        <is>
          <t>510,241,665,420</t>
        </is>
      </c>
      <c r="F48" t="n">
        <v>241</v>
      </c>
      <c r="G48" t="inlineStr">
        <is>
          <t>primary</t>
        </is>
      </c>
      <c r="H48" t="inlineStr">
        <is>
          <t>AUTO_VESSEL</t>
        </is>
      </c>
      <c r="I48" t="inlineStr">
        <is>
          <t>是</t>
        </is>
      </c>
      <c r="J48" t="inlineStr">
        <is>
          <t>纳入</t>
        </is>
      </c>
      <c r="K48" t="n">
        <v>999.1965973534972</v>
      </c>
      <c r="L48">
        <f>导管母表_860!G48</f>
        <v/>
      </c>
      <c r="M48" t="inlineStr">
        <is>
          <t>视野内部</t>
        </is>
      </c>
      <c r="N48" t="inlineStr">
        <is>
          <t>纳入A/D/Dh；若有Pair_ID则纳入CWR</t>
        </is>
      </c>
      <c r="O48" t="inlineStr">
        <is>
          <t>自动管线检出的合格导管腔。</t>
        </is>
      </c>
      <c r="P48" t="inlineStr">
        <is>
          <t>auto_pipeline;review_png_green</t>
        </is>
      </c>
      <c r="R48" t="inlineStr">
        <is>
          <t>样品42</t>
        </is>
      </c>
    </row>
    <row r="49">
      <c r="A49" t="inlineStr">
        <is>
          <t>42(5)-V01</t>
        </is>
      </c>
      <c r="B49" t="inlineStr">
        <is>
          <t>42 (5).tif</t>
        </is>
      </c>
      <c r="C49" t="n">
        <v>442</v>
      </c>
      <c r="D49" t="n">
        <v>437</v>
      </c>
      <c r="E49" t="inlineStr">
        <is>
          <t>362,374,523,501</t>
        </is>
      </c>
      <c r="F49" t="n">
        <v>267</v>
      </c>
      <c r="G49" t="inlineStr">
        <is>
          <t>primary</t>
        </is>
      </c>
      <c r="H49" t="inlineStr">
        <is>
          <t>AUTO_VESSEL</t>
        </is>
      </c>
      <c r="I49" t="inlineStr">
        <is>
          <t>是</t>
        </is>
      </c>
      <c r="J49" t="inlineStr">
        <is>
          <t>纳入</t>
        </is>
      </c>
      <c r="K49" t="n">
        <v>738.6814744801512</v>
      </c>
      <c r="L49">
        <f>导管母表_860!G49</f>
        <v/>
      </c>
      <c r="M49" t="inlineStr">
        <is>
          <t>视野内部</t>
        </is>
      </c>
      <c r="N49" t="inlineStr">
        <is>
          <t>纳入A/D/Dh；若有Pair_ID则纳入CWR</t>
        </is>
      </c>
      <c r="O49" t="inlineStr">
        <is>
          <t>自动管线检出的合格导管腔。</t>
        </is>
      </c>
      <c r="P49" t="inlineStr">
        <is>
          <t>auto_pipeline;review_png_green</t>
        </is>
      </c>
      <c r="Q49" t="inlineStr">
        <is>
          <t>42(5)-P01</t>
        </is>
      </c>
      <c r="R49" t="inlineStr">
        <is>
          <t>样品42</t>
        </is>
      </c>
    </row>
    <row r="50">
      <c r="A50" t="inlineStr">
        <is>
          <t>42(5)-V02</t>
        </is>
      </c>
      <c r="B50" t="inlineStr">
        <is>
          <t>42 (5).tif</t>
        </is>
      </c>
      <c r="C50" t="n">
        <v>117</v>
      </c>
      <c r="D50" t="n">
        <v>432</v>
      </c>
      <c r="E50" t="inlineStr">
        <is>
          <t>51,361,184,504</t>
        </is>
      </c>
      <c r="F50" t="n">
        <v>51</v>
      </c>
      <c r="G50" t="inlineStr">
        <is>
          <t>primary</t>
        </is>
      </c>
      <c r="H50" t="inlineStr">
        <is>
          <t>AUTO_VESSEL</t>
        </is>
      </c>
      <c r="I50" t="inlineStr">
        <is>
          <t>是</t>
        </is>
      </c>
      <c r="J50" t="inlineStr">
        <is>
          <t>纳入</t>
        </is>
      </c>
      <c r="K50" t="n">
        <v>656.4508506616257</v>
      </c>
      <c r="L50">
        <f>导管母表_860!G50</f>
        <v/>
      </c>
      <c r="M50" t="inlineStr">
        <is>
          <t>视野内部</t>
        </is>
      </c>
      <c r="N50" t="inlineStr">
        <is>
          <t>纳入A/D/Dh；若有Pair_ID则纳入CWR</t>
        </is>
      </c>
      <c r="O50" t="inlineStr">
        <is>
          <t>自动管线检出的合格导管腔。</t>
        </is>
      </c>
      <c r="P50" t="inlineStr">
        <is>
          <t>auto_pipeline;review_png_green</t>
        </is>
      </c>
      <c r="R50" t="inlineStr">
        <is>
          <t>样品42</t>
        </is>
      </c>
    </row>
    <row r="51">
      <c r="A51" t="inlineStr">
        <is>
          <t>42(5)-V03</t>
        </is>
      </c>
      <c r="B51" t="inlineStr">
        <is>
          <t>42 (5).tif</t>
        </is>
      </c>
      <c r="C51" t="n">
        <v>517</v>
      </c>
      <c r="D51" t="n">
        <v>319</v>
      </c>
      <c r="E51" t="inlineStr">
        <is>
          <t>453,269,582,370</t>
        </is>
      </c>
      <c r="F51" t="n">
        <v>269</v>
      </c>
      <c r="G51" t="inlineStr">
        <is>
          <t>primary</t>
        </is>
      </c>
      <c r="H51" t="inlineStr">
        <is>
          <t>AUTO_VESSEL</t>
        </is>
      </c>
      <c r="I51" t="inlineStr">
        <is>
          <t>是</t>
        </is>
      </c>
      <c r="J51" t="inlineStr">
        <is>
          <t>纳入</t>
        </is>
      </c>
      <c r="K51" t="n">
        <v>463.3270321361059</v>
      </c>
      <c r="L51">
        <f>导管母表_860!G51</f>
        <v/>
      </c>
      <c r="M51" t="inlineStr">
        <is>
          <t>视野内部</t>
        </is>
      </c>
      <c r="N51" t="inlineStr">
        <is>
          <t>纳入A/D/Dh；若有Pair_ID则纳入CWR</t>
        </is>
      </c>
      <c r="O51" t="inlineStr">
        <is>
          <t>自动管线检出的合格导管腔。</t>
        </is>
      </c>
      <c r="P51" t="inlineStr">
        <is>
          <t>auto_pipeline;review_png_green</t>
        </is>
      </c>
      <c r="Q51" t="inlineStr">
        <is>
          <t>42(5)-P01</t>
        </is>
      </c>
      <c r="R51" t="inlineStr">
        <is>
          <t>样品42</t>
        </is>
      </c>
    </row>
    <row r="52">
      <c r="A52" t="inlineStr">
        <is>
          <t>42(5)-V04</t>
        </is>
      </c>
      <c r="B52" t="inlineStr">
        <is>
          <t>42 (5).tif</t>
        </is>
      </c>
      <c r="C52" t="n">
        <v>171</v>
      </c>
      <c r="D52" t="n">
        <v>221</v>
      </c>
      <c r="E52" t="inlineStr">
        <is>
          <t>121,162,222,281</t>
        </is>
      </c>
      <c r="F52" t="n">
        <v>121</v>
      </c>
      <c r="G52" t="inlineStr">
        <is>
          <t>primary</t>
        </is>
      </c>
      <c r="H52" t="inlineStr">
        <is>
          <t>AUTO_VESSEL</t>
        </is>
      </c>
      <c r="I52" t="inlineStr">
        <is>
          <t>是</t>
        </is>
      </c>
      <c r="J52" t="inlineStr">
        <is>
          <t>纳入</t>
        </is>
      </c>
      <c r="K52" t="n">
        <v>436.0349716446125</v>
      </c>
      <c r="L52">
        <f>导管母表_860!G52</f>
        <v/>
      </c>
      <c r="M52" t="inlineStr">
        <is>
          <t>视野内部</t>
        </is>
      </c>
      <c r="N52" t="inlineStr">
        <is>
          <t>纳入A/D/Dh；若有Pair_ID则纳入CWR</t>
        </is>
      </c>
      <c r="O52" t="inlineStr">
        <is>
          <t>自动管线检出的合格导管腔。</t>
        </is>
      </c>
      <c r="P52" t="inlineStr">
        <is>
          <t>auto_pipeline;review_png_green</t>
        </is>
      </c>
      <c r="R52" t="inlineStr">
        <is>
          <t>样品42</t>
        </is>
      </c>
    </row>
    <row r="53">
      <c r="A53" t="inlineStr">
        <is>
          <t>42(6)-V01</t>
        </is>
      </c>
      <c r="B53" t="inlineStr">
        <is>
          <t>42 (6).tif</t>
        </is>
      </c>
      <c r="C53" t="n">
        <v>446</v>
      </c>
      <c r="D53" t="n">
        <v>443</v>
      </c>
      <c r="E53" t="inlineStr">
        <is>
          <t>378,378,515,509</t>
        </is>
      </c>
      <c r="F53" t="n">
        <v>259</v>
      </c>
      <c r="G53" t="inlineStr">
        <is>
          <t>primary</t>
        </is>
      </c>
      <c r="H53" t="inlineStr">
        <is>
          <t>AUTO_VESSEL</t>
        </is>
      </c>
      <c r="I53" t="inlineStr">
        <is>
          <t>是</t>
        </is>
      </c>
      <c r="J53" t="inlineStr">
        <is>
          <t>纳入</t>
        </is>
      </c>
      <c r="K53" t="n">
        <v>654.749527410208</v>
      </c>
      <c r="L53">
        <f>导管母表_860!G53</f>
        <v/>
      </c>
      <c r="M53" t="inlineStr">
        <is>
          <t>视野内部</t>
        </is>
      </c>
      <c r="N53" t="inlineStr">
        <is>
          <t>纳入A/D/Dh；若有Pair_ID则纳入CWR</t>
        </is>
      </c>
      <c r="O53" t="inlineStr">
        <is>
          <t>自动管线检出的合格导管腔。</t>
        </is>
      </c>
      <c r="P53" t="inlineStr">
        <is>
          <t>auto_pipeline;review_png_green</t>
        </is>
      </c>
      <c r="Q53" t="inlineStr">
        <is>
          <t>42(6)-P01</t>
        </is>
      </c>
      <c r="R53" t="inlineStr">
        <is>
          <t>样品42</t>
        </is>
      </c>
    </row>
    <row r="54">
      <c r="A54" t="inlineStr">
        <is>
          <t>42(6)-V02</t>
        </is>
      </c>
      <c r="B54" t="inlineStr">
        <is>
          <t>42 (6).tif</t>
        </is>
      </c>
      <c r="C54" t="n">
        <v>918</v>
      </c>
      <c r="D54" t="n">
        <v>116</v>
      </c>
      <c r="E54" t="inlineStr">
        <is>
          <t>842,65,995,168</t>
        </is>
      </c>
      <c r="F54" t="n">
        <v>29</v>
      </c>
      <c r="G54" t="inlineStr">
        <is>
          <t>primary</t>
        </is>
      </c>
      <c r="H54" t="inlineStr">
        <is>
          <t>AUTO_VESSEL</t>
        </is>
      </c>
      <c r="I54" t="inlineStr">
        <is>
          <t>是</t>
        </is>
      </c>
      <c r="J54" t="inlineStr">
        <is>
          <t>纳入</t>
        </is>
      </c>
      <c r="K54" t="n">
        <v>528.6153119092628</v>
      </c>
      <c r="L54">
        <f>导管母表_860!G54</f>
        <v/>
      </c>
      <c r="M54" t="inlineStr">
        <is>
          <t>视野内部</t>
        </is>
      </c>
      <c r="N54" t="inlineStr">
        <is>
          <t>纳入A/D/Dh；若有Pair_ID则纳入CWR</t>
        </is>
      </c>
      <c r="O54" t="inlineStr">
        <is>
          <t>自动管线检出的合格导管腔。</t>
        </is>
      </c>
      <c r="P54" t="inlineStr">
        <is>
          <t>auto_pipeline;review_png_green</t>
        </is>
      </c>
      <c r="R54" t="inlineStr">
        <is>
          <t>样品42</t>
        </is>
      </c>
    </row>
    <row r="55">
      <c r="A55" t="inlineStr">
        <is>
          <t>42(6)-V03</t>
        </is>
      </c>
      <c r="B55" t="inlineStr">
        <is>
          <t>42 (6).tif</t>
        </is>
      </c>
      <c r="C55" t="n">
        <v>515</v>
      </c>
      <c r="D55" t="n">
        <v>328</v>
      </c>
      <c r="E55" t="inlineStr">
        <is>
          <t>449,278,582,379</t>
        </is>
      </c>
      <c r="F55" t="n">
        <v>278</v>
      </c>
      <c r="G55" t="inlineStr">
        <is>
          <t>primary</t>
        </is>
      </c>
      <c r="H55" t="inlineStr">
        <is>
          <t>AUTO_VESSEL</t>
        </is>
      </c>
      <c r="I55" t="inlineStr">
        <is>
          <t>是</t>
        </is>
      </c>
      <c r="J55" t="inlineStr">
        <is>
          <t>纳入</t>
        </is>
      </c>
      <c r="K55" t="n">
        <v>489.7211720226843</v>
      </c>
      <c r="L55">
        <f>导管母表_860!G55</f>
        <v/>
      </c>
      <c r="M55" t="inlineStr">
        <is>
          <t>视野内部</t>
        </is>
      </c>
      <c r="N55" t="inlineStr">
        <is>
          <t>纳入A/D/Dh；若有Pair_ID则纳入CWR</t>
        </is>
      </c>
      <c r="O55" t="inlineStr">
        <is>
          <t>自动管线检出的合格导管腔。</t>
        </is>
      </c>
      <c r="P55" t="inlineStr">
        <is>
          <t>auto_pipeline;review_png_green</t>
        </is>
      </c>
      <c r="Q55" t="inlineStr">
        <is>
          <t>42(6)-P01</t>
        </is>
      </c>
      <c r="R55" t="inlineStr">
        <is>
          <t>样品42</t>
        </is>
      </c>
    </row>
    <row r="56">
      <c r="A56" t="inlineStr">
        <is>
          <t>42(6)-V04</t>
        </is>
      </c>
      <c r="B56" t="inlineStr">
        <is>
          <t>42 (6).tif</t>
        </is>
      </c>
      <c r="C56" t="n">
        <v>111</v>
      </c>
      <c r="D56" t="n">
        <v>417</v>
      </c>
      <c r="E56" t="inlineStr">
        <is>
          <t>49,366,174,469</t>
        </is>
      </c>
      <c r="F56" t="n">
        <v>49</v>
      </c>
      <c r="G56" t="inlineStr">
        <is>
          <t>primary</t>
        </is>
      </c>
      <c r="H56" t="inlineStr">
        <is>
          <t>AUTO_VESSEL</t>
        </is>
      </c>
      <c r="I56" t="inlineStr">
        <is>
          <t>是</t>
        </is>
      </c>
      <c r="J56" t="inlineStr">
        <is>
          <t>纳入</t>
        </is>
      </c>
      <c r="K56" t="n">
        <v>424.4801512287335</v>
      </c>
      <c r="L56">
        <f>导管母表_860!G56</f>
        <v/>
      </c>
      <c r="M56" t="inlineStr">
        <is>
          <t>视野内部</t>
        </is>
      </c>
      <c r="N56" t="inlineStr">
        <is>
          <t>纳入A/D/Dh；若有Pair_ID则纳入CWR</t>
        </is>
      </c>
      <c r="O56" t="inlineStr">
        <is>
          <t>自动管线检出的合格导管腔。</t>
        </is>
      </c>
      <c r="P56" t="inlineStr">
        <is>
          <t>auto_pipeline;review_png_green</t>
        </is>
      </c>
      <c r="R56" t="inlineStr">
        <is>
          <t>样品42</t>
        </is>
      </c>
    </row>
    <row r="57">
      <c r="A57" t="inlineStr">
        <is>
          <t>42(6)-V05</t>
        </is>
      </c>
      <c r="B57" t="inlineStr">
        <is>
          <t>42 (6).tif</t>
        </is>
      </c>
      <c r="C57" t="n">
        <v>734</v>
      </c>
      <c r="D57" t="n">
        <v>214</v>
      </c>
      <c r="E57" t="inlineStr">
        <is>
          <t>679,167,790,262</t>
        </is>
      </c>
      <c r="F57" t="n">
        <v>167</v>
      </c>
      <c r="G57" t="inlineStr">
        <is>
          <t>primary</t>
        </is>
      </c>
      <c r="H57" t="inlineStr">
        <is>
          <t>AUTO_VESSEL</t>
        </is>
      </c>
      <c r="I57" t="inlineStr">
        <is>
          <t>是</t>
        </is>
      </c>
      <c r="J57" t="inlineStr">
        <is>
          <t>纳入</t>
        </is>
      </c>
      <c r="K57" t="n">
        <v>383.1994328922495</v>
      </c>
      <c r="L57">
        <f>导管母表_860!G57</f>
        <v/>
      </c>
      <c r="M57" t="inlineStr">
        <is>
          <t>视野内部</t>
        </is>
      </c>
      <c r="N57" t="inlineStr">
        <is>
          <t>纳入A/D/Dh；若有Pair_ID则纳入CWR</t>
        </is>
      </c>
      <c r="O57" t="inlineStr">
        <is>
          <t>自动管线检出的合格导管腔。</t>
        </is>
      </c>
      <c r="P57" t="inlineStr">
        <is>
          <t>auto_pipeline;review_png_green</t>
        </is>
      </c>
      <c r="R57" t="inlineStr">
        <is>
          <t>样品42</t>
        </is>
      </c>
    </row>
    <row r="58">
      <c r="A58" t="inlineStr">
        <is>
          <t>42(7)-V01</t>
        </is>
      </c>
      <c r="B58" t="inlineStr">
        <is>
          <t>42 (7).tif</t>
        </is>
      </c>
      <c r="C58" t="n">
        <v>744</v>
      </c>
      <c r="D58" t="n">
        <v>402</v>
      </c>
      <c r="E58" t="inlineStr">
        <is>
          <t>683,341,806,464</t>
        </is>
      </c>
      <c r="F58" t="n">
        <v>218</v>
      </c>
      <c r="G58" t="inlineStr">
        <is>
          <t>primary</t>
        </is>
      </c>
      <c r="H58" t="inlineStr">
        <is>
          <t>AUTO_VESSEL</t>
        </is>
      </c>
      <c r="I58" t="inlineStr">
        <is>
          <t>是</t>
        </is>
      </c>
      <c r="J58" t="inlineStr">
        <is>
          <t>纳入</t>
        </is>
      </c>
      <c r="K58" t="n">
        <v>537.6654064272212</v>
      </c>
      <c r="L58">
        <f>导管母表_860!G58</f>
        <v/>
      </c>
      <c r="M58" t="inlineStr">
        <is>
          <t>视野内部</t>
        </is>
      </c>
      <c r="N58" t="inlineStr">
        <is>
          <t>纳入A/D/Dh；若有Pair_ID则纳入CWR</t>
        </is>
      </c>
      <c r="O58" t="inlineStr">
        <is>
          <t>自动管线检出的合格导管腔。</t>
        </is>
      </c>
      <c r="P58" t="inlineStr">
        <is>
          <t>auto_pipeline;review_png_green</t>
        </is>
      </c>
      <c r="Q58" t="inlineStr">
        <is>
          <t>42(7)-P01</t>
        </is>
      </c>
      <c r="R58" t="inlineStr">
        <is>
          <t>样品42</t>
        </is>
      </c>
    </row>
    <row r="59">
      <c r="A59" t="inlineStr">
        <is>
          <t>42(7)-V02</t>
        </is>
      </c>
      <c r="B59" t="inlineStr">
        <is>
          <t>42 (7).tif</t>
        </is>
      </c>
      <c r="C59" t="n">
        <v>880</v>
      </c>
      <c r="D59" t="n">
        <v>423</v>
      </c>
      <c r="E59" t="inlineStr">
        <is>
          <t>817,373,944,474</t>
        </is>
      </c>
      <c r="F59" t="n">
        <v>80</v>
      </c>
      <c r="G59" t="inlineStr">
        <is>
          <t>primary</t>
        </is>
      </c>
      <c r="H59" t="inlineStr">
        <is>
          <t>AUTO_VESSEL</t>
        </is>
      </c>
      <c r="I59" t="inlineStr">
        <is>
          <t>是</t>
        </is>
      </c>
      <c r="J59" t="inlineStr">
        <is>
          <t>纳入</t>
        </is>
      </c>
      <c r="K59" t="n">
        <v>450.6852551984877</v>
      </c>
      <c r="L59">
        <f>导管母表_860!G59</f>
        <v/>
      </c>
      <c r="M59" t="inlineStr">
        <is>
          <t>视野内部</t>
        </is>
      </c>
      <c r="N59" t="inlineStr">
        <is>
          <t>纳入A/D/Dh；若有Pair_ID则纳入CWR</t>
        </is>
      </c>
      <c r="O59" t="inlineStr">
        <is>
          <t>自动管线检出的合格导管腔。</t>
        </is>
      </c>
      <c r="P59" t="inlineStr">
        <is>
          <t>auto_pipeline;review_png_green</t>
        </is>
      </c>
      <c r="Q59" t="inlineStr">
        <is>
          <t>42(7)-P01</t>
        </is>
      </c>
      <c r="R59" t="inlineStr">
        <is>
          <t>样品42</t>
        </is>
      </c>
    </row>
    <row r="60">
      <c r="A60" t="inlineStr">
        <is>
          <t>42(7)-V03</t>
        </is>
      </c>
      <c r="B60" t="inlineStr">
        <is>
          <t>42 (7).tif</t>
        </is>
      </c>
      <c r="C60" t="n">
        <v>573</v>
      </c>
      <c r="D60" t="n">
        <v>359</v>
      </c>
      <c r="E60" t="inlineStr">
        <is>
          <t>515,306,632,413</t>
        </is>
      </c>
      <c r="F60" t="n">
        <v>306</v>
      </c>
      <c r="G60" t="inlineStr">
        <is>
          <t>primary</t>
        </is>
      </c>
      <c r="H60" t="inlineStr">
        <is>
          <t>AUTO_VESSEL</t>
        </is>
      </c>
      <c r="I60" t="inlineStr">
        <is>
          <t>是</t>
        </is>
      </c>
      <c r="J60" t="inlineStr">
        <is>
          <t>纳入</t>
        </is>
      </c>
      <c r="K60" t="n">
        <v>446.0066162570889</v>
      </c>
      <c r="L60">
        <f>导管母表_860!G60</f>
        <v/>
      </c>
      <c r="M60" t="inlineStr">
        <is>
          <t>视野内部</t>
        </is>
      </c>
      <c r="N60" t="inlineStr">
        <is>
          <t>纳入A/D/Dh；若有Pair_ID则纳入CWR</t>
        </is>
      </c>
      <c r="O60" t="inlineStr">
        <is>
          <t>自动管线检出的合格导管腔。</t>
        </is>
      </c>
      <c r="P60" t="inlineStr">
        <is>
          <t>auto_pipeline;review_png_green</t>
        </is>
      </c>
      <c r="R60" t="inlineStr">
        <is>
          <t>样品42</t>
        </is>
      </c>
    </row>
    <row r="61">
      <c r="A61" t="inlineStr">
        <is>
          <t>42(8)-V01</t>
        </is>
      </c>
      <c r="B61" t="inlineStr">
        <is>
          <t>42 (8).tif</t>
        </is>
      </c>
      <c r="C61" t="n">
        <v>431</v>
      </c>
      <c r="D61" t="n">
        <v>325</v>
      </c>
      <c r="E61" t="inlineStr">
        <is>
          <t>357,257,506,394</t>
        </is>
      </c>
      <c r="F61" t="n">
        <v>257</v>
      </c>
      <c r="G61" t="inlineStr">
        <is>
          <t>primary</t>
        </is>
      </c>
      <c r="H61" t="inlineStr">
        <is>
          <t>AUTO_VESSEL</t>
        </is>
      </c>
      <c r="I61" t="inlineStr">
        <is>
          <t>是</t>
        </is>
      </c>
      <c r="J61" t="inlineStr">
        <is>
          <t>纳入</t>
        </is>
      </c>
      <c r="K61" t="n">
        <v>744.9669187145557</v>
      </c>
      <c r="L61">
        <f>导管母表_860!G61</f>
        <v/>
      </c>
      <c r="M61" t="inlineStr">
        <is>
          <t>视野内部</t>
        </is>
      </c>
      <c r="N61" t="inlineStr">
        <is>
          <t>纳入A/D/Dh；若有Pair_ID则纳入CWR</t>
        </is>
      </c>
      <c r="O61" t="inlineStr">
        <is>
          <t>自动管线检出的合格导管腔。</t>
        </is>
      </c>
      <c r="P61" t="inlineStr">
        <is>
          <t>auto_pipeline;review_png_green</t>
        </is>
      </c>
      <c r="R61" t="inlineStr">
        <is>
          <t>样品42</t>
        </is>
      </c>
    </row>
    <row r="62">
      <c r="A62" t="inlineStr">
        <is>
          <t>42(8)-V02</t>
        </is>
      </c>
      <c r="B62" t="inlineStr">
        <is>
          <t>42 (8).tif</t>
        </is>
      </c>
      <c r="C62" t="n">
        <v>525</v>
      </c>
      <c r="D62" t="n">
        <v>104</v>
      </c>
      <c r="E62" t="inlineStr">
        <is>
          <t>453,37,598,172</t>
        </is>
      </c>
      <c r="F62" t="n">
        <v>37</v>
      </c>
      <c r="G62" t="inlineStr">
        <is>
          <t>primary</t>
        </is>
      </c>
      <c r="H62" t="inlineStr">
        <is>
          <t>AUTO_VESSEL</t>
        </is>
      </c>
      <c r="I62" t="inlineStr">
        <is>
          <t>是</t>
        </is>
      </c>
      <c r="J62" t="inlineStr">
        <is>
          <t>纳入</t>
        </is>
      </c>
      <c r="K62" t="n">
        <v>713.3270321361059</v>
      </c>
      <c r="L62">
        <f>导管母表_860!G62</f>
        <v/>
      </c>
      <c r="M62" t="inlineStr">
        <is>
          <t>视野内部</t>
        </is>
      </c>
      <c r="N62" t="inlineStr">
        <is>
          <t>纳入A/D/Dh；若有Pair_ID则纳入CWR</t>
        </is>
      </c>
      <c r="O62" t="inlineStr">
        <is>
          <t>自动管线检出的合格导管腔。</t>
        </is>
      </c>
      <c r="P62" t="inlineStr">
        <is>
          <t>auto_pipeline;review_png_green</t>
        </is>
      </c>
      <c r="Q62" t="inlineStr">
        <is>
          <t>42(8)-P01</t>
        </is>
      </c>
      <c r="R62" t="inlineStr">
        <is>
          <t>样品42</t>
        </is>
      </c>
    </row>
    <row r="63">
      <c r="A63" t="inlineStr">
        <is>
          <t>42(8)-V03</t>
        </is>
      </c>
      <c r="B63" t="inlineStr">
        <is>
          <t>42 (8).tif</t>
        </is>
      </c>
      <c r="C63" t="n">
        <v>374</v>
      </c>
      <c r="D63" t="n">
        <v>67</v>
      </c>
      <c r="E63" t="inlineStr">
        <is>
          <t>302,5,447,130</t>
        </is>
      </c>
      <c r="F63" t="n">
        <v>5</v>
      </c>
      <c r="G63" t="inlineStr">
        <is>
          <t>primary</t>
        </is>
      </c>
      <c r="H63" t="inlineStr">
        <is>
          <t>AUTO_VESSEL</t>
        </is>
      </c>
      <c r="I63" t="inlineStr">
        <is>
          <t>是</t>
        </is>
      </c>
      <c r="J63" t="inlineStr">
        <is>
          <t>纳入</t>
        </is>
      </c>
      <c r="K63" t="n">
        <v>646.1011342155009</v>
      </c>
      <c r="L63">
        <f>导管母表_860!G63</f>
        <v/>
      </c>
      <c r="M63" t="inlineStr">
        <is>
          <t>近边缘（&lt;25 px）</t>
        </is>
      </c>
      <c r="N63" t="inlineStr">
        <is>
          <t>纳入A/D/Dh；若有Pair_ID则纳入CWR</t>
        </is>
      </c>
      <c r="O63" t="inlineStr">
        <is>
          <t>自动管线检出的合格导管腔。</t>
        </is>
      </c>
      <c r="P63" t="inlineStr">
        <is>
          <t>auto_pipeline;review_png_green</t>
        </is>
      </c>
      <c r="Q63" t="inlineStr">
        <is>
          <t>42(8)-P01</t>
        </is>
      </c>
      <c r="R63" t="inlineStr">
        <is>
          <t>样品42</t>
        </is>
      </c>
    </row>
    <row r="64">
      <c r="A64" t="inlineStr">
        <is>
          <t>42(8)-V04</t>
        </is>
      </c>
      <c r="B64" t="inlineStr">
        <is>
          <t>42 (8).tif</t>
        </is>
      </c>
      <c r="C64" t="n">
        <v>760</v>
      </c>
      <c r="D64" t="n">
        <v>528</v>
      </c>
      <c r="E64" t="inlineStr">
        <is>
          <t>731,494,790,563</t>
        </is>
      </c>
      <c r="F64" t="n">
        <v>205</v>
      </c>
      <c r="G64" t="inlineStr">
        <is>
          <t>primary</t>
        </is>
      </c>
      <c r="H64" t="inlineStr">
        <is>
          <t>AUTO_VESSEL</t>
        </is>
      </c>
      <c r="I64" t="inlineStr">
        <is>
          <t>是</t>
        </is>
      </c>
      <c r="J64" t="inlineStr">
        <is>
          <t>纳入</t>
        </is>
      </c>
      <c r="K64" t="n">
        <v>145.6521739130435</v>
      </c>
      <c r="L64">
        <f>导管母表_860!G64</f>
        <v/>
      </c>
      <c r="M64" t="inlineStr">
        <is>
          <t>视野内部</t>
        </is>
      </c>
      <c r="N64" t="inlineStr">
        <is>
          <t>纳入A/D/Dh；若有Pair_ID则纳入CWR</t>
        </is>
      </c>
      <c r="O64" t="inlineStr">
        <is>
          <t>自动管线检出的合格导管腔。</t>
        </is>
      </c>
      <c r="P64" t="inlineStr">
        <is>
          <t>auto_pipeline;review_png_green</t>
        </is>
      </c>
      <c r="R64" t="inlineStr">
        <is>
          <t>样品42</t>
        </is>
      </c>
    </row>
    <row r="65">
      <c r="A65" t="inlineStr">
        <is>
          <t>43(1)-V01</t>
        </is>
      </c>
      <c r="B65" t="inlineStr">
        <is>
          <t>43 (1).tif</t>
        </is>
      </c>
      <c r="C65" t="n">
        <v>729</v>
      </c>
      <c r="D65" t="n">
        <v>123</v>
      </c>
      <c r="E65" t="inlineStr">
        <is>
          <t>681,65,778,182</t>
        </is>
      </c>
      <c r="F65" t="n">
        <v>65</v>
      </c>
      <c r="G65" t="inlineStr">
        <is>
          <t>primary</t>
        </is>
      </c>
      <c r="H65" t="inlineStr">
        <is>
          <t>AUTO_VESSEL</t>
        </is>
      </c>
      <c r="I65" t="inlineStr">
        <is>
          <t>是</t>
        </is>
      </c>
      <c r="J65" t="inlineStr">
        <is>
          <t>纳入</t>
        </is>
      </c>
      <c r="K65" t="n">
        <v>406.7816635160681</v>
      </c>
      <c r="L65">
        <f>导管母表_860!G65</f>
        <v/>
      </c>
      <c r="M65" t="inlineStr">
        <is>
          <t>视野内部</t>
        </is>
      </c>
      <c r="N65" t="inlineStr">
        <is>
          <t>纳入A/D/Dh；若有Pair_ID则纳入CWR</t>
        </is>
      </c>
      <c r="O65" t="inlineStr">
        <is>
          <t>自动管线检出的合格导管腔。</t>
        </is>
      </c>
      <c r="P65" t="inlineStr">
        <is>
          <t>auto_pipeline;review_png_green</t>
        </is>
      </c>
      <c r="R65" t="inlineStr">
        <is>
          <t>样品43</t>
        </is>
      </c>
    </row>
    <row r="66">
      <c r="A66" t="inlineStr">
        <is>
          <t>43(1)-V02</t>
        </is>
      </c>
      <c r="B66" t="inlineStr">
        <is>
          <t>43 (1).tif</t>
        </is>
      </c>
      <c r="C66" t="n">
        <v>890</v>
      </c>
      <c r="D66" t="n">
        <v>539</v>
      </c>
      <c r="E66" t="inlineStr">
        <is>
          <t>848,483,933,596</t>
        </is>
      </c>
      <c r="F66" t="n">
        <v>91</v>
      </c>
      <c r="G66" t="inlineStr">
        <is>
          <t>primary</t>
        </is>
      </c>
      <c r="H66" t="inlineStr">
        <is>
          <t>AUTO_VESSEL</t>
        </is>
      </c>
      <c r="I66" t="inlineStr">
        <is>
          <t>是</t>
        </is>
      </c>
      <c r="J66" t="inlineStr">
        <is>
          <t>纳入</t>
        </is>
      </c>
      <c r="K66" t="n">
        <v>347.3534971644613</v>
      </c>
      <c r="L66">
        <f>导管母表_860!G66</f>
        <v/>
      </c>
      <c r="M66" t="inlineStr">
        <is>
          <t>视野内部</t>
        </is>
      </c>
      <c r="N66" t="inlineStr">
        <is>
          <t>纳入A/D/Dh；若有Pair_ID则纳入CWR</t>
        </is>
      </c>
      <c r="O66" t="inlineStr">
        <is>
          <t>自动管线检出的合格导管腔。</t>
        </is>
      </c>
      <c r="P66" t="inlineStr">
        <is>
          <t>auto_pipeline;review_png_green</t>
        </is>
      </c>
      <c r="R66" t="inlineStr">
        <is>
          <t>样品43</t>
        </is>
      </c>
    </row>
    <row r="67">
      <c r="A67" t="inlineStr">
        <is>
          <t>43(1)-V03</t>
        </is>
      </c>
      <c r="B67" t="inlineStr">
        <is>
          <t>43 (1).tif</t>
        </is>
      </c>
      <c r="C67" t="n">
        <v>497</v>
      </c>
      <c r="D67" t="n">
        <v>438</v>
      </c>
      <c r="E67" t="inlineStr">
        <is>
          <t>455,384,540,493</t>
        </is>
      </c>
      <c r="F67" t="n">
        <v>275</v>
      </c>
      <c r="G67" t="inlineStr">
        <is>
          <t>primary</t>
        </is>
      </c>
      <c r="H67" t="inlineStr">
        <is>
          <t>AUTO_VESSEL</t>
        </is>
      </c>
      <c r="I67" t="inlineStr">
        <is>
          <t>是</t>
        </is>
      </c>
      <c r="J67" t="inlineStr">
        <is>
          <t>纳入</t>
        </is>
      </c>
      <c r="K67" t="n">
        <v>321.3610586011342</v>
      </c>
      <c r="L67">
        <f>导管母表_860!G67</f>
        <v/>
      </c>
      <c r="M67" t="inlineStr">
        <is>
          <t>视野内部</t>
        </is>
      </c>
      <c r="N67" t="inlineStr">
        <is>
          <t>纳入A/D/Dh；若有Pair_ID则纳入CWR</t>
        </is>
      </c>
      <c r="O67" t="inlineStr">
        <is>
          <t>自动管线检出的合格导管腔。</t>
        </is>
      </c>
      <c r="P67" t="inlineStr">
        <is>
          <t>auto_pipeline;review_png_green</t>
        </is>
      </c>
      <c r="R67" t="inlineStr">
        <is>
          <t>样品43</t>
        </is>
      </c>
    </row>
    <row r="68">
      <c r="A68" t="inlineStr">
        <is>
          <t>43(1)-V04</t>
        </is>
      </c>
      <c r="B68" t="inlineStr">
        <is>
          <t>43 (1).tif</t>
        </is>
      </c>
      <c r="C68" t="n">
        <v>526</v>
      </c>
      <c r="D68" t="n">
        <v>338</v>
      </c>
      <c r="E68" t="inlineStr">
        <is>
          <t>479,300,574,377</t>
        </is>
      </c>
      <c r="F68" t="n">
        <v>300</v>
      </c>
      <c r="G68" t="inlineStr">
        <is>
          <t>primary</t>
        </is>
      </c>
      <c r="H68" t="inlineStr">
        <is>
          <t>AUTO_VESSEL</t>
        </is>
      </c>
      <c r="I68" t="inlineStr">
        <is>
          <t>是</t>
        </is>
      </c>
      <c r="J68" t="inlineStr">
        <is>
          <t>纳入</t>
        </is>
      </c>
      <c r="K68" t="n">
        <v>265.2173913043478</v>
      </c>
      <c r="L68">
        <f>导管母表_860!G68</f>
        <v/>
      </c>
      <c r="M68" t="inlineStr">
        <is>
          <t>视野内部</t>
        </is>
      </c>
      <c r="N68" t="inlineStr">
        <is>
          <t>纳入A/D/Dh；若有Pair_ID则纳入CWR</t>
        </is>
      </c>
      <c r="O68" t="inlineStr">
        <is>
          <t>自动管线检出的合格导管腔。</t>
        </is>
      </c>
      <c r="P68" t="inlineStr">
        <is>
          <t>auto_pipeline;review_png_green</t>
        </is>
      </c>
      <c r="R68" t="inlineStr">
        <is>
          <t>样品43</t>
        </is>
      </c>
    </row>
    <row r="69">
      <c r="A69" t="inlineStr">
        <is>
          <t>43(2)-V01</t>
        </is>
      </c>
      <c r="B69" t="inlineStr">
        <is>
          <t>43 (2).tif</t>
        </is>
      </c>
      <c r="C69" t="n">
        <v>455</v>
      </c>
      <c r="D69" t="n">
        <v>356</v>
      </c>
      <c r="E69" t="inlineStr">
        <is>
          <t>413,315,498,398</t>
        </is>
      </c>
      <c r="F69" t="n">
        <v>315</v>
      </c>
      <c r="G69" t="inlineStr">
        <is>
          <t>primary</t>
        </is>
      </c>
      <c r="H69" t="inlineStr">
        <is>
          <t>AUTO_VESSEL</t>
        </is>
      </c>
      <c r="I69" t="inlineStr">
        <is>
          <t>是</t>
        </is>
      </c>
      <c r="J69" t="inlineStr">
        <is>
          <t>纳入</t>
        </is>
      </c>
      <c r="K69" t="n">
        <v>254.1824196597354</v>
      </c>
      <c r="L69">
        <f>导管母表_860!G69</f>
        <v/>
      </c>
      <c r="M69" t="inlineStr">
        <is>
          <t>视野内部</t>
        </is>
      </c>
      <c r="N69" t="inlineStr">
        <is>
          <t>纳入A/D/Dh；若有Pair_ID则纳入CWR</t>
        </is>
      </c>
      <c r="O69" t="inlineStr">
        <is>
          <t>自动管线检出的合格导管腔。</t>
        </is>
      </c>
      <c r="P69" t="inlineStr">
        <is>
          <t>auto_pipeline;review_png_green</t>
        </is>
      </c>
      <c r="R69" t="inlineStr">
        <is>
          <t>样品43</t>
        </is>
      </c>
    </row>
    <row r="70">
      <c r="A70" t="inlineStr">
        <is>
          <t>43(3)-V01</t>
        </is>
      </c>
      <c r="B70" t="inlineStr">
        <is>
          <t>43 (3).tif</t>
        </is>
      </c>
      <c r="C70" t="n">
        <v>471</v>
      </c>
      <c r="D70" t="n">
        <v>297</v>
      </c>
      <c r="E70" t="inlineStr">
        <is>
          <t>417,247,526,348</t>
        </is>
      </c>
      <c r="F70" t="n">
        <v>247</v>
      </c>
      <c r="G70" t="inlineStr">
        <is>
          <t>primary</t>
        </is>
      </c>
      <c r="H70" t="inlineStr">
        <is>
          <t>AUTO_VESSEL</t>
        </is>
      </c>
      <c r="I70" t="inlineStr">
        <is>
          <t>是</t>
        </is>
      </c>
      <c r="J70" t="inlineStr">
        <is>
          <t>纳入</t>
        </is>
      </c>
      <c r="K70" t="n">
        <v>399.5982986767486</v>
      </c>
      <c r="L70">
        <f>导管母表_860!G70</f>
        <v/>
      </c>
      <c r="M70" t="inlineStr">
        <is>
          <t>视野内部</t>
        </is>
      </c>
      <c r="N70" t="inlineStr">
        <is>
          <t>纳入A/D/Dh；若有Pair_ID则纳入CWR</t>
        </is>
      </c>
      <c r="O70" t="inlineStr">
        <is>
          <t>自动管线检出的合格导管腔。</t>
        </is>
      </c>
      <c r="P70" t="inlineStr">
        <is>
          <t>auto_pipeline;review_png_green</t>
        </is>
      </c>
      <c r="Q70" t="inlineStr">
        <is>
          <t>43(3)-P01</t>
        </is>
      </c>
      <c r="R70" t="inlineStr">
        <is>
          <t>样品43</t>
        </is>
      </c>
    </row>
    <row r="71">
      <c r="A71" t="inlineStr">
        <is>
          <t>43(3)-V02</t>
        </is>
      </c>
      <c r="B71" t="inlineStr">
        <is>
          <t>43 (3).tif</t>
        </is>
      </c>
      <c r="C71" t="n">
        <v>523</v>
      </c>
      <c r="D71" t="n">
        <v>406</v>
      </c>
      <c r="E71" t="inlineStr">
        <is>
          <t>467,365,580,448</t>
        </is>
      </c>
      <c r="F71" t="n">
        <v>320</v>
      </c>
      <c r="G71" t="inlineStr">
        <is>
          <t>primary</t>
        </is>
      </c>
      <c r="H71" t="inlineStr">
        <is>
          <t>AUTO_VESSEL</t>
        </is>
      </c>
      <c r="I71" t="inlineStr">
        <is>
          <t>是</t>
        </is>
      </c>
      <c r="J71" t="inlineStr">
        <is>
          <t>纳入</t>
        </is>
      </c>
      <c r="K71" t="n">
        <v>330.3875236294896</v>
      </c>
      <c r="L71">
        <f>导管母表_860!G71</f>
        <v/>
      </c>
      <c r="M71" t="inlineStr">
        <is>
          <t>视野内部</t>
        </is>
      </c>
      <c r="N71" t="inlineStr">
        <is>
          <t>纳入A/D/Dh；若有Pair_ID则纳入CWR</t>
        </is>
      </c>
      <c r="O71" t="inlineStr">
        <is>
          <t>自动管线检出的合格导管腔。</t>
        </is>
      </c>
      <c r="P71" t="inlineStr">
        <is>
          <t>auto_pipeline;review_png_green</t>
        </is>
      </c>
      <c r="Q71" t="inlineStr">
        <is>
          <t>43(3)-P01</t>
        </is>
      </c>
      <c r="R71" t="inlineStr">
        <is>
          <t>样品43</t>
        </is>
      </c>
    </row>
    <row r="72">
      <c r="A72" t="inlineStr">
        <is>
          <t>43(3)-V03</t>
        </is>
      </c>
      <c r="B72" t="inlineStr">
        <is>
          <t>43 (3).tif</t>
        </is>
      </c>
      <c r="C72" t="n">
        <v>933</v>
      </c>
      <c r="D72" t="n">
        <v>506</v>
      </c>
      <c r="E72" t="inlineStr">
        <is>
          <t>885,468,982,545</t>
        </is>
      </c>
      <c r="F72" t="n">
        <v>42</v>
      </c>
      <c r="G72" t="inlineStr">
        <is>
          <t>primary</t>
        </is>
      </c>
      <c r="H72" t="inlineStr">
        <is>
          <t>AUTO_VESSEL</t>
        </is>
      </c>
      <c r="I72" t="inlineStr">
        <is>
          <t>是</t>
        </is>
      </c>
      <c r="J72" t="inlineStr">
        <is>
          <t>纳入</t>
        </is>
      </c>
      <c r="K72" t="n">
        <v>254.773156899811</v>
      </c>
      <c r="L72">
        <f>导管母表_860!G72</f>
        <v/>
      </c>
      <c r="M72" t="inlineStr">
        <is>
          <t>视野内部</t>
        </is>
      </c>
      <c r="N72" t="inlineStr">
        <is>
          <t>纳入A/D/Dh；若有Pair_ID则纳入CWR</t>
        </is>
      </c>
      <c r="O72" t="inlineStr">
        <is>
          <t>自动管线检出的合格导管腔。</t>
        </is>
      </c>
      <c r="P72" t="inlineStr">
        <is>
          <t>auto_pipeline;review_png_green</t>
        </is>
      </c>
      <c r="R72" t="inlineStr">
        <is>
          <t>样品43</t>
        </is>
      </c>
    </row>
    <row r="73">
      <c r="A73" t="inlineStr">
        <is>
          <t>43(3)-V04</t>
        </is>
      </c>
      <c r="B73" t="inlineStr">
        <is>
          <t>43 (3).tif</t>
        </is>
      </c>
      <c r="C73" t="n">
        <v>337</v>
      </c>
      <c r="D73" t="n">
        <v>137</v>
      </c>
      <c r="E73" t="inlineStr">
        <is>
          <t>293,94,382,181</t>
        </is>
      </c>
      <c r="F73" t="n">
        <v>94</v>
      </c>
      <c r="G73" t="inlineStr">
        <is>
          <t>primary</t>
        </is>
      </c>
      <c r="H73" t="inlineStr">
        <is>
          <t>AUTO_VESSEL</t>
        </is>
      </c>
      <c r="I73" t="inlineStr">
        <is>
          <t>是</t>
        </is>
      </c>
      <c r="J73" t="inlineStr">
        <is>
          <t>纳入</t>
        </is>
      </c>
      <c r="K73" t="n">
        <v>240.4300567107751</v>
      </c>
      <c r="L73">
        <f>导管母表_860!G73</f>
        <v/>
      </c>
      <c r="M73" t="inlineStr">
        <is>
          <t>视野内部</t>
        </is>
      </c>
      <c r="N73" t="inlineStr">
        <is>
          <t>纳入A/D/Dh；若有Pair_ID则纳入CWR</t>
        </is>
      </c>
      <c r="O73" t="inlineStr">
        <is>
          <t>自动管线检出的合格导管腔。</t>
        </is>
      </c>
      <c r="P73" t="inlineStr">
        <is>
          <t>auto_pipeline;review_png_green</t>
        </is>
      </c>
      <c r="R73" t="inlineStr">
        <is>
          <t>样品43</t>
        </is>
      </c>
    </row>
    <row r="74">
      <c r="A74" t="inlineStr">
        <is>
          <t>43(4)-V01</t>
        </is>
      </c>
      <c r="B74" t="inlineStr">
        <is>
          <t>43 (4).tif</t>
        </is>
      </c>
      <c r="C74" t="n">
        <v>740</v>
      </c>
      <c r="D74" t="n">
        <v>137</v>
      </c>
      <c r="E74" t="inlineStr">
        <is>
          <t>698,82,783,193</t>
        </is>
      </c>
      <c r="F74" t="n">
        <v>82</v>
      </c>
      <c r="G74" t="inlineStr">
        <is>
          <t>primary</t>
        </is>
      </c>
      <c r="H74" t="inlineStr">
        <is>
          <t>AUTO_VESSEL</t>
        </is>
      </c>
      <c r="I74" t="inlineStr">
        <is>
          <t>是</t>
        </is>
      </c>
      <c r="J74" t="inlineStr">
        <is>
          <t>纳入</t>
        </is>
      </c>
      <c r="K74" t="n">
        <v>342.6748582230624</v>
      </c>
      <c r="L74">
        <f>导管母表_860!G74</f>
        <v/>
      </c>
      <c r="M74" t="inlineStr">
        <is>
          <t>视野内部</t>
        </is>
      </c>
      <c r="N74" t="inlineStr">
        <is>
          <t>纳入A/D/Dh；若有Pair_ID则纳入CWR</t>
        </is>
      </c>
      <c r="O74" t="inlineStr">
        <is>
          <t>自动管线检出的合格导管腔。</t>
        </is>
      </c>
      <c r="P74" t="inlineStr">
        <is>
          <t>auto_pipeline;review_png_green</t>
        </is>
      </c>
      <c r="R74" t="inlineStr">
        <is>
          <t>样品43</t>
        </is>
      </c>
    </row>
    <row r="75">
      <c r="A75" t="inlineStr">
        <is>
          <t>43(4)-V02</t>
        </is>
      </c>
      <c r="B75" t="inlineStr">
        <is>
          <t>43 (4).tif</t>
        </is>
      </c>
      <c r="C75" t="n">
        <v>542</v>
      </c>
      <c r="D75" t="n">
        <v>403</v>
      </c>
      <c r="E75" t="inlineStr">
        <is>
          <t>503,358,582,449</t>
        </is>
      </c>
      <c r="F75" t="n">
        <v>319</v>
      </c>
      <c r="G75" t="inlineStr">
        <is>
          <t>primary</t>
        </is>
      </c>
      <c r="H75" t="inlineStr">
        <is>
          <t>AUTO_VESSEL</t>
        </is>
      </c>
      <c r="I75" t="inlineStr">
        <is>
          <t>是</t>
        </is>
      </c>
      <c r="J75" t="inlineStr">
        <is>
          <t>纳入</t>
        </is>
      </c>
      <c r="K75" t="n">
        <v>252.2920604914934</v>
      </c>
      <c r="L75">
        <f>导管母表_860!G75</f>
        <v/>
      </c>
      <c r="M75" t="inlineStr">
        <is>
          <t>视野内部</t>
        </is>
      </c>
      <c r="N75" t="inlineStr">
        <is>
          <t>纳入A/D/Dh；若有Pair_ID则纳入CWR</t>
        </is>
      </c>
      <c r="O75" t="inlineStr">
        <is>
          <t>自动管线检出的合格导管腔。</t>
        </is>
      </c>
      <c r="P75" t="inlineStr">
        <is>
          <t>auto_pipeline;review_png_green</t>
        </is>
      </c>
      <c r="Q75" t="inlineStr">
        <is>
          <t>43(4)-P01</t>
        </is>
      </c>
      <c r="R75" t="inlineStr">
        <is>
          <t>样品43</t>
        </is>
      </c>
    </row>
    <row r="76">
      <c r="A76" t="inlineStr">
        <is>
          <t>43(4)-V03</t>
        </is>
      </c>
      <c r="B76" t="inlineStr">
        <is>
          <t>43 (4).tif</t>
        </is>
      </c>
      <c r="C76" t="n">
        <v>487</v>
      </c>
      <c r="D76" t="n">
        <v>335</v>
      </c>
      <c r="E76" t="inlineStr">
        <is>
          <t>451,289,524,382</t>
        </is>
      </c>
      <c r="F76" t="n">
        <v>289</v>
      </c>
      <c r="G76" t="inlineStr">
        <is>
          <t>primary</t>
        </is>
      </c>
      <c r="H76" t="inlineStr">
        <is>
          <t>AUTO_VESSEL</t>
        </is>
      </c>
      <c r="I76" t="inlineStr">
        <is>
          <t>是</t>
        </is>
      </c>
      <c r="J76" t="inlineStr">
        <is>
          <t>纳入</t>
        </is>
      </c>
      <c r="K76" t="n">
        <v>235.2788279773157</v>
      </c>
      <c r="L76">
        <f>导管母表_860!G76</f>
        <v/>
      </c>
      <c r="M76" t="inlineStr">
        <is>
          <t>视野内部</t>
        </is>
      </c>
      <c r="N76" t="inlineStr">
        <is>
          <t>纳入A/D/Dh；若有Pair_ID则纳入CWR</t>
        </is>
      </c>
      <c r="O76" t="inlineStr">
        <is>
          <t>自动管线检出的合格导管腔。</t>
        </is>
      </c>
      <c r="P76" t="inlineStr">
        <is>
          <t>auto_pipeline;review_png_green</t>
        </is>
      </c>
      <c r="Q76" t="inlineStr">
        <is>
          <t>43(4)-P01</t>
        </is>
      </c>
      <c r="R76" t="inlineStr">
        <is>
          <t>样品43</t>
        </is>
      </c>
    </row>
    <row r="77">
      <c r="A77" t="inlineStr">
        <is>
          <t>43(4)-V04</t>
        </is>
      </c>
      <c r="B77" t="inlineStr">
        <is>
          <t>43 (4).tif</t>
        </is>
      </c>
      <c r="C77" t="n">
        <v>413</v>
      </c>
      <c r="D77" t="n">
        <v>172</v>
      </c>
      <c r="E77" t="inlineStr">
        <is>
          <t>388,139,439,206</t>
        </is>
      </c>
      <c r="F77" t="n">
        <v>139</v>
      </c>
      <c r="G77" t="inlineStr">
        <is>
          <t>primary</t>
        </is>
      </c>
      <c r="H77" t="inlineStr">
        <is>
          <t>AUTO_VESSEL</t>
        </is>
      </c>
      <c r="I77" t="inlineStr">
        <is>
          <t>是</t>
        </is>
      </c>
      <c r="J77" t="inlineStr">
        <is>
          <t>纳入</t>
        </is>
      </c>
      <c r="K77" t="n">
        <v>117.7457466918715</v>
      </c>
      <c r="L77">
        <f>导管母表_860!G77</f>
        <v/>
      </c>
      <c r="M77" t="inlineStr">
        <is>
          <t>视野内部</t>
        </is>
      </c>
      <c r="N77" t="inlineStr">
        <is>
          <t>纳入A/D/Dh；若有Pair_ID则纳入CWR</t>
        </is>
      </c>
      <c r="O77" t="inlineStr">
        <is>
          <t>自动管线检出的合格导管腔。</t>
        </is>
      </c>
      <c r="P77" t="inlineStr">
        <is>
          <t>auto_pipeline;review_png_green</t>
        </is>
      </c>
      <c r="R77" t="inlineStr">
        <is>
          <t>样品43</t>
        </is>
      </c>
    </row>
    <row r="78">
      <c r="A78" t="inlineStr">
        <is>
          <t>43(5)-V01</t>
        </is>
      </c>
      <c r="B78" t="inlineStr">
        <is>
          <t>43 (5).tif</t>
        </is>
      </c>
      <c r="C78" t="n">
        <v>509</v>
      </c>
      <c r="D78" t="n">
        <v>444</v>
      </c>
      <c r="E78" t="inlineStr">
        <is>
          <t>448,385,571,504</t>
        </is>
      </c>
      <c r="F78" t="n">
        <v>264</v>
      </c>
      <c r="G78" t="inlineStr">
        <is>
          <t>primary</t>
        </is>
      </c>
      <c r="H78" t="inlineStr">
        <is>
          <t>AUTO_VESSEL</t>
        </is>
      </c>
      <c r="I78" t="inlineStr">
        <is>
          <t>是</t>
        </is>
      </c>
      <c r="J78" t="inlineStr">
        <is>
          <t>纳入</t>
        </is>
      </c>
      <c r="K78" t="n">
        <v>534.5935727788279</v>
      </c>
      <c r="L78">
        <f>导管母表_860!G78</f>
        <v/>
      </c>
      <c r="M78" t="inlineStr">
        <is>
          <t>视野内部</t>
        </is>
      </c>
      <c r="N78" t="inlineStr">
        <is>
          <t>纳入A/D/Dh；若有Pair_ID则纳入CWR</t>
        </is>
      </c>
      <c r="O78" t="inlineStr">
        <is>
          <t>自动管线检出的合格导管腔。</t>
        </is>
      </c>
      <c r="P78" t="inlineStr">
        <is>
          <t>auto_pipeline;review_png_green</t>
        </is>
      </c>
      <c r="Q78" t="inlineStr">
        <is>
          <t>43(5)-P01</t>
        </is>
      </c>
      <c r="R78" t="inlineStr">
        <is>
          <t>样品43</t>
        </is>
      </c>
    </row>
    <row r="79">
      <c r="A79" t="inlineStr">
        <is>
          <t>43(5)-V02</t>
        </is>
      </c>
      <c r="B79" t="inlineStr">
        <is>
          <t>43 (5).tif</t>
        </is>
      </c>
      <c r="C79" t="n">
        <v>514</v>
      </c>
      <c r="D79" t="n">
        <v>328</v>
      </c>
      <c r="E79" t="inlineStr">
        <is>
          <t>467,285,562,372</t>
        </is>
      </c>
      <c r="F79" t="n">
        <v>285</v>
      </c>
      <c r="G79" t="inlineStr">
        <is>
          <t>primary</t>
        </is>
      </c>
      <c r="H79" t="inlineStr">
        <is>
          <t>AUTO_VESSEL</t>
        </is>
      </c>
      <c r="I79" t="inlineStr">
        <is>
          <t>是</t>
        </is>
      </c>
      <c r="J79" t="inlineStr">
        <is>
          <t>纳入</t>
        </is>
      </c>
      <c r="K79" t="n">
        <v>291.3043478260869</v>
      </c>
      <c r="L79">
        <f>导管母表_860!G79</f>
        <v/>
      </c>
      <c r="M79" t="inlineStr">
        <is>
          <t>视野内部</t>
        </is>
      </c>
      <c r="N79" t="inlineStr">
        <is>
          <t>纳入A/D/Dh；若有Pair_ID则纳入CWR</t>
        </is>
      </c>
      <c r="O79" t="inlineStr">
        <is>
          <t>自动管线检出的合格导管腔。</t>
        </is>
      </c>
      <c r="P79" t="inlineStr">
        <is>
          <t>auto_pipeline;review_png_green</t>
        </is>
      </c>
      <c r="Q79" t="inlineStr">
        <is>
          <t>43(5)-P01</t>
        </is>
      </c>
      <c r="R79" t="inlineStr">
        <is>
          <t>样品43</t>
        </is>
      </c>
    </row>
    <row r="80">
      <c r="A80" t="inlineStr">
        <is>
          <t>43(6)-V01</t>
        </is>
      </c>
      <c r="B80" t="inlineStr">
        <is>
          <t>43 (6).tif</t>
        </is>
      </c>
      <c r="C80" t="n">
        <v>460</v>
      </c>
      <c r="D80" t="n">
        <v>469</v>
      </c>
      <c r="E80" t="inlineStr">
        <is>
          <t>402,407,519,532</t>
        </is>
      </c>
      <c r="F80" t="n">
        <v>236</v>
      </c>
      <c r="G80" t="inlineStr">
        <is>
          <t>primary</t>
        </is>
      </c>
      <c r="H80" t="inlineStr">
        <is>
          <t>AUTO_VESSEL</t>
        </is>
      </c>
      <c r="I80" t="inlineStr">
        <is>
          <t>是</t>
        </is>
      </c>
      <c r="J80" t="inlineStr">
        <is>
          <t>纳入</t>
        </is>
      </c>
      <c r="K80" t="n">
        <v>530.2457466918714</v>
      </c>
      <c r="L80">
        <f>导管母表_860!G80</f>
        <v/>
      </c>
      <c r="M80" t="inlineStr">
        <is>
          <t>视野内部</t>
        </is>
      </c>
      <c r="N80" t="inlineStr">
        <is>
          <t>纳入A/D/Dh；若有Pair_ID则纳入CWR</t>
        </is>
      </c>
      <c r="O80" t="inlineStr">
        <is>
          <t>自动管线检出的合格导管腔。</t>
        </is>
      </c>
      <c r="P80" t="inlineStr">
        <is>
          <t>auto_pipeline;review_png_green</t>
        </is>
      </c>
      <c r="R80" t="inlineStr">
        <is>
          <t>样品43</t>
        </is>
      </c>
    </row>
    <row r="81">
      <c r="A81" t="inlineStr">
        <is>
          <t>43(6)-V02</t>
        </is>
      </c>
      <c r="B81" t="inlineStr">
        <is>
          <t>43 (6).tif</t>
        </is>
      </c>
      <c r="C81" t="n">
        <v>498</v>
      </c>
      <c r="D81" t="n">
        <v>332</v>
      </c>
      <c r="E81" t="inlineStr">
        <is>
          <t>446,276,551,389</t>
        </is>
      </c>
      <c r="F81" t="n">
        <v>276</v>
      </c>
      <c r="G81" t="inlineStr">
        <is>
          <t>primary</t>
        </is>
      </c>
      <c r="H81" t="inlineStr">
        <is>
          <t>AUTO_VESSEL</t>
        </is>
      </c>
      <c r="I81" t="inlineStr">
        <is>
          <t>是</t>
        </is>
      </c>
      <c r="J81" t="inlineStr">
        <is>
          <t>纳入</t>
        </is>
      </c>
      <c r="K81" t="n">
        <v>431.0727788279773</v>
      </c>
      <c r="L81">
        <f>导管母表_860!G81</f>
        <v/>
      </c>
      <c r="M81" t="inlineStr">
        <is>
          <t>视野内部</t>
        </is>
      </c>
      <c r="N81" t="inlineStr">
        <is>
          <t>纳入A/D/Dh；若有Pair_ID则纳入CWR</t>
        </is>
      </c>
      <c r="O81" t="inlineStr">
        <is>
          <t>自动管线检出的合格导管腔。</t>
        </is>
      </c>
      <c r="P81" t="inlineStr">
        <is>
          <t>auto_pipeline;review_png_green</t>
        </is>
      </c>
      <c r="R81" t="inlineStr">
        <is>
          <t>样品43</t>
        </is>
      </c>
    </row>
    <row r="82">
      <c r="A82" t="inlineStr">
        <is>
          <t>43(6)-V03</t>
        </is>
      </c>
      <c r="B82" t="inlineStr">
        <is>
          <t>43 (6).tif</t>
        </is>
      </c>
      <c r="C82" t="n">
        <v>963</v>
      </c>
      <c r="D82" t="n">
        <v>51</v>
      </c>
      <c r="E82" t="inlineStr">
        <is>
          <t>936,14,991,89</t>
        </is>
      </c>
      <c r="F82" t="n">
        <v>14</v>
      </c>
      <c r="G82" t="inlineStr">
        <is>
          <t>primary</t>
        </is>
      </c>
      <c r="H82" t="inlineStr">
        <is>
          <t>AUTO_VESSEL</t>
        </is>
      </c>
      <c r="I82" t="inlineStr">
        <is>
          <t>是</t>
        </is>
      </c>
      <c r="J82" t="inlineStr">
        <is>
          <t>纳入</t>
        </is>
      </c>
      <c r="K82" t="n">
        <v>142.5803402646503</v>
      </c>
      <c r="L82">
        <f>导管母表_860!G82</f>
        <v/>
      </c>
      <c r="M82" t="inlineStr">
        <is>
          <t>近边缘（&lt;25 px）</t>
        </is>
      </c>
      <c r="N82" t="inlineStr">
        <is>
          <t>纳入A/D/Dh；若有Pair_ID则纳入CWR</t>
        </is>
      </c>
      <c r="O82" t="inlineStr">
        <is>
          <t>自动管线检出的合格导管腔。</t>
        </is>
      </c>
      <c r="P82" t="inlineStr">
        <is>
          <t>auto_pipeline;review_png_green</t>
        </is>
      </c>
      <c r="R82" t="inlineStr">
        <is>
          <t>样品43</t>
        </is>
      </c>
    </row>
    <row r="83">
      <c r="A83" t="inlineStr">
        <is>
          <t>43(7)-V01</t>
        </is>
      </c>
      <c r="B83" t="inlineStr">
        <is>
          <t>43 (7).tif</t>
        </is>
      </c>
      <c r="C83" t="n">
        <v>558</v>
      </c>
      <c r="D83" t="n">
        <v>409</v>
      </c>
      <c r="E83" t="inlineStr">
        <is>
          <t>505,360,612,459</t>
        </is>
      </c>
      <c r="F83" t="n">
        <v>309</v>
      </c>
      <c r="G83" t="inlineStr">
        <is>
          <t>primary</t>
        </is>
      </c>
      <c r="H83" t="inlineStr">
        <is>
          <t>AUTO_VESSEL</t>
        </is>
      </c>
      <c r="I83" t="inlineStr">
        <is>
          <t>是</t>
        </is>
      </c>
      <c r="J83" t="inlineStr">
        <is>
          <t>纳入</t>
        </is>
      </c>
      <c r="K83" t="n">
        <v>384.9007561436673</v>
      </c>
      <c r="L83">
        <f>导管母表_860!G83</f>
        <v/>
      </c>
      <c r="M83" t="inlineStr">
        <is>
          <t>视野内部</t>
        </is>
      </c>
      <c r="N83" t="inlineStr">
        <is>
          <t>纳入A/D/Dh；若有Pair_ID则纳入CWR</t>
        </is>
      </c>
      <c r="O83" t="inlineStr">
        <is>
          <t>自动管线检出的合格导管腔。</t>
        </is>
      </c>
      <c r="P83" t="inlineStr">
        <is>
          <t>auto_pipeline;review_png_green</t>
        </is>
      </c>
      <c r="R83" t="inlineStr">
        <is>
          <t>样品43</t>
        </is>
      </c>
    </row>
    <row r="84">
      <c r="A84" t="inlineStr">
        <is>
          <t>43(8)-V01</t>
        </is>
      </c>
      <c r="B84" t="inlineStr">
        <is>
          <t>43 (8).tif</t>
        </is>
      </c>
      <c r="C84" t="n">
        <v>321</v>
      </c>
      <c r="D84" t="n">
        <v>530</v>
      </c>
      <c r="E84" t="inlineStr">
        <is>
          <t>243,472,400,589</t>
        </is>
      </c>
      <c r="F84" t="n">
        <v>179</v>
      </c>
      <c r="G84" t="inlineStr">
        <is>
          <t>primary</t>
        </is>
      </c>
      <c r="H84" t="inlineStr">
        <is>
          <t>AUTO_VESSEL</t>
        </is>
      </c>
      <c r="I84" t="inlineStr">
        <is>
          <t>是</t>
        </is>
      </c>
      <c r="J84" t="inlineStr">
        <is>
          <t>纳入</t>
        </is>
      </c>
      <c r="K84" t="n">
        <v>671.7155009451795</v>
      </c>
      <c r="L84">
        <f>导管母表_860!G84</f>
        <v/>
      </c>
      <c r="M84" t="inlineStr">
        <is>
          <t>视野内部</t>
        </is>
      </c>
      <c r="N84" t="inlineStr">
        <is>
          <t>纳入A/D/Dh；若有Pair_ID则纳入CWR</t>
        </is>
      </c>
      <c r="O84" t="inlineStr">
        <is>
          <t>自动管线检出的合格导管腔。</t>
        </is>
      </c>
      <c r="P84" t="inlineStr">
        <is>
          <t>auto_pipeline;review_png_green</t>
        </is>
      </c>
      <c r="R84" t="inlineStr">
        <is>
          <t>样品43</t>
        </is>
      </c>
    </row>
    <row r="85">
      <c r="A85" t="inlineStr">
        <is>
          <t>43(8)-V02</t>
        </is>
      </c>
      <c r="B85" t="inlineStr">
        <is>
          <t>43 (8).tif</t>
        </is>
      </c>
      <c r="C85" t="n">
        <v>565</v>
      </c>
      <c r="D85" t="n">
        <v>366</v>
      </c>
      <c r="E85" t="inlineStr">
        <is>
          <t>516,323,615,410</t>
        </is>
      </c>
      <c r="F85" t="n">
        <v>323</v>
      </c>
      <c r="G85" t="inlineStr">
        <is>
          <t>primary</t>
        </is>
      </c>
      <c r="H85" t="inlineStr">
        <is>
          <t>AUTO_VESSEL</t>
        </is>
      </c>
      <c r="I85" t="inlineStr">
        <is>
          <t>是</t>
        </is>
      </c>
      <c r="J85" t="inlineStr">
        <is>
          <t>纳入</t>
        </is>
      </c>
      <c r="K85" t="n">
        <v>310.9404536862004</v>
      </c>
      <c r="L85">
        <f>导管母表_860!G85</f>
        <v/>
      </c>
      <c r="M85" t="inlineStr">
        <is>
          <t>视野内部</t>
        </is>
      </c>
      <c r="N85" t="inlineStr">
        <is>
          <t>纳入A/D/Dh；若有Pair_ID则纳入CWR</t>
        </is>
      </c>
      <c r="O85" t="inlineStr">
        <is>
          <t>自动管线检出的合格导管腔。</t>
        </is>
      </c>
      <c r="P85" t="inlineStr">
        <is>
          <t>auto_pipeline;review_png_green</t>
        </is>
      </c>
      <c r="R85" t="inlineStr">
        <is>
          <t>样品43</t>
        </is>
      </c>
    </row>
    <row r="86">
      <c r="A86" t="inlineStr">
        <is>
          <t>43(8)-V03</t>
        </is>
      </c>
      <c r="B86" t="inlineStr">
        <is>
          <t>43 (8).tif</t>
        </is>
      </c>
      <c r="C86" t="n">
        <v>444</v>
      </c>
      <c r="D86" t="n">
        <v>355</v>
      </c>
      <c r="E86" t="inlineStr">
        <is>
          <t>397,322,492,389</t>
        </is>
      </c>
      <c r="F86" t="n">
        <v>322</v>
      </c>
      <c r="G86" t="inlineStr">
        <is>
          <t>primary</t>
        </is>
      </c>
      <c r="H86" t="inlineStr">
        <is>
          <t>AUTO_VESSEL</t>
        </is>
      </c>
      <c r="I86" t="inlineStr">
        <is>
          <t>是</t>
        </is>
      </c>
      <c r="J86" t="inlineStr">
        <is>
          <t>纳入</t>
        </is>
      </c>
      <c r="K86" t="n">
        <v>229.9385633270321</v>
      </c>
      <c r="L86">
        <f>导管母表_860!G86</f>
        <v/>
      </c>
      <c r="M86" t="inlineStr">
        <is>
          <t>视野内部</t>
        </is>
      </c>
      <c r="N86" t="inlineStr">
        <is>
          <t>纳入A/D/Dh；若有Pair_ID则纳入CWR</t>
        </is>
      </c>
      <c r="O86" t="inlineStr">
        <is>
          <t>自动管线检出的合格导管腔。</t>
        </is>
      </c>
      <c r="P86" t="inlineStr">
        <is>
          <t>auto_pipeline;review_png_green</t>
        </is>
      </c>
      <c r="R86" t="inlineStr">
        <is>
          <t>样品43</t>
        </is>
      </c>
    </row>
    <row r="87">
      <c r="A87" t="inlineStr">
        <is>
          <t>43(8)-V04</t>
        </is>
      </c>
      <c r="B87" t="inlineStr">
        <is>
          <t>43 (8).tif</t>
        </is>
      </c>
      <c r="C87" t="n">
        <v>132</v>
      </c>
      <c r="D87" t="n">
        <v>371</v>
      </c>
      <c r="E87" t="inlineStr">
        <is>
          <t>94,331,171,412</t>
        </is>
      </c>
      <c r="F87" t="n">
        <v>94</v>
      </c>
      <c r="G87" t="inlineStr">
        <is>
          <t>primary</t>
        </is>
      </c>
      <c r="H87" t="inlineStr">
        <is>
          <t>AUTO_VESSEL</t>
        </is>
      </c>
      <c r="I87" t="inlineStr">
        <is>
          <t>是</t>
        </is>
      </c>
      <c r="J87" t="inlineStr">
        <is>
          <t>纳入</t>
        </is>
      </c>
      <c r="K87" t="n">
        <v>225.5907372400756</v>
      </c>
      <c r="L87">
        <f>导管母表_860!G87</f>
        <v/>
      </c>
      <c r="M87" t="inlineStr">
        <is>
          <t>视野内部</t>
        </is>
      </c>
      <c r="N87" t="inlineStr">
        <is>
          <t>纳入A/D/Dh；若有Pair_ID则纳入CWR</t>
        </is>
      </c>
      <c r="O87" t="inlineStr">
        <is>
          <t>自动管线检出的合格导管腔。</t>
        </is>
      </c>
      <c r="P87" t="inlineStr">
        <is>
          <t>auto_pipeline;review_png_green</t>
        </is>
      </c>
      <c r="R87" t="inlineStr">
        <is>
          <t>样品43</t>
        </is>
      </c>
    </row>
    <row r="88">
      <c r="A88" t="inlineStr">
        <is>
          <t>44(1)-V01</t>
        </is>
      </c>
      <c r="B88" t="inlineStr">
        <is>
          <t>44 (1).tif</t>
        </is>
      </c>
      <c r="C88" t="n">
        <v>636</v>
      </c>
      <c r="D88" t="n">
        <v>397</v>
      </c>
      <c r="E88" t="inlineStr">
        <is>
          <t>519,319,754,476</t>
        </is>
      </c>
      <c r="F88" t="n">
        <v>270</v>
      </c>
      <c r="G88" t="inlineStr">
        <is>
          <t>primary</t>
        </is>
      </c>
      <c r="H88" t="inlineStr">
        <is>
          <t>AUTO_VESSEL</t>
        </is>
      </c>
      <c r="I88" t="inlineStr">
        <is>
          <t>是</t>
        </is>
      </c>
      <c r="J88" t="inlineStr">
        <is>
          <t>纳入</t>
        </is>
      </c>
      <c r="K88" t="n">
        <v>1349.102079395085</v>
      </c>
      <c r="L88">
        <f>导管母表_860!G88</f>
        <v/>
      </c>
      <c r="M88" t="inlineStr">
        <is>
          <t>视野内部</t>
        </is>
      </c>
      <c r="N88" t="inlineStr">
        <is>
          <t>纳入A/D/Dh；若有Pair_ID则纳入CWR</t>
        </is>
      </c>
      <c r="O88" t="inlineStr">
        <is>
          <t>自动管线检出的合格导管腔。</t>
        </is>
      </c>
      <c r="P88" t="inlineStr">
        <is>
          <t>auto_pipeline;review_png_green</t>
        </is>
      </c>
      <c r="R88" t="inlineStr">
        <is>
          <t>样品44</t>
        </is>
      </c>
    </row>
    <row r="89">
      <c r="A89" t="inlineStr">
        <is>
          <t>44(1)-V02</t>
        </is>
      </c>
      <c r="B89" t="inlineStr">
        <is>
          <t>44 (1).tif</t>
        </is>
      </c>
      <c r="C89" t="n">
        <v>591</v>
      </c>
      <c r="D89" t="n">
        <v>381</v>
      </c>
      <c r="E89" t="inlineStr">
        <is>
          <t>519,321,664,442</t>
        </is>
      </c>
      <c r="F89" t="n">
        <v>321</v>
      </c>
      <c r="G89" t="inlineStr">
        <is>
          <t>primary</t>
        </is>
      </c>
      <c r="H89" t="inlineStr">
        <is>
          <t>AUTO_VESSEL</t>
        </is>
      </c>
      <c r="I89" t="inlineStr">
        <is>
          <t>是</t>
        </is>
      </c>
      <c r="J89" t="inlineStr">
        <is>
          <t>纳入</t>
        </is>
      </c>
      <c r="K89" t="n">
        <v>638.9886578449906</v>
      </c>
      <c r="L89">
        <f>导管母表_860!G89</f>
        <v/>
      </c>
      <c r="M89" t="inlineStr">
        <is>
          <t>视野内部</t>
        </is>
      </c>
      <c r="N89" t="inlineStr">
        <is>
          <t>纳入A/D/Dh；若有Pair_ID则纳入CWR</t>
        </is>
      </c>
      <c r="O89" t="inlineStr">
        <is>
          <t>自动管线检出的合格导管腔。</t>
        </is>
      </c>
      <c r="P89" t="inlineStr">
        <is>
          <t>auto_pipeline;review_png_green</t>
        </is>
      </c>
      <c r="R89" t="inlineStr">
        <is>
          <t>样品44</t>
        </is>
      </c>
    </row>
    <row r="90">
      <c r="A90" t="inlineStr">
        <is>
          <t>44(1)-V03</t>
        </is>
      </c>
      <c r="B90" t="inlineStr">
        <is>
          <t>44 (1).tif</t>
        </is>
      </c>
      <c r="C90" t="n">
        <v>351</v>
      </c>
      <c r="D90" t="n">
        <v>302</v>
      </c>
      <c r="E90" t="inlineStr">
        <is>
          <t>284,242,419,363</t>
        </is>
      </c>
      <c r="F90" t="n">
        <v>242</v>
      </c>
      <c r="G90" t="inlineStr">
        <is>
          <t>primary</t>
        </is>
      </c>
      <c r="H90" t="inlineStr">
        <is>
          <t>AUTO_VESSEL</t>
        </is>
      </c>
      <c r="I90" t="inlineStr">
        <is>
          <t>是</t>
        </is>
      </c>
      <c r="J90" t="inlineStr">
        <is>
          <t>纳入</t>
        </is>
      </c>
      <c r="K90" t="n">
        <v>577.3156899810964</v>
      </c>
      <c r="L90">
        <f>导管母表_860!G90</f>
        <v/>
      </c>
      <c r="M90" t="inlineStr">
        <is>
          <t>视野内部</t>
        </is>
      </c>
      <c r="N90" t="inlineStr">
        <is>
          <t>纳入A/D/Dh；若有Pair_ID则纳入CWR</t>
        </is>
      </c>
      <c r="O90" t="inlineStr">
        <is>
          <t>自动管线检出的合格导管腔。</t>
        </is>
      </c>
      <c r="P90" t="inlineStr">
        <is>
          <t>auto_pipeline;review_png_green</t>
        </is>
      </c>
      <c r="Q90" t="inlineStr">
        <is>
          <t>44(1)-P01</t>
        </is>
      </c>
      <c r="R90" t="inlineStr">
        <is>
          <t>样品44</t>
        </is>
      </c>
    </row>
    <row r="91">
      <c r="A91" t="inlineStr">
        <is>
          <t>44(1)-V04</t>
        </is>
      </c>
      <c r="B91" t="inlineStr">
        <is>
          <t>44 (1).tif</t>
        </is>
      </c>
      <c r="C91" t="n">
        <v>467</v>
      </c>
      <c r="D91" t="n">
        <v>332</v>
      </c>
      <c r="E91" t="inlineStr">
        <is>
          <t>417,276,518,389</t>
        </is>
      </c>
      <c r="F91" t="n">
        <v>276</v>
      </c>
      <c r="G91" t="inlineStr">
        <is>
          <t>primary</t>
        </is>
      </c>
      <c r="H91" t="inlineStr">
        <is>
          <t>AUTO_VESSEL</t>
        </is>
      </c>
      <c r="I91" t="inlineStr">
        <is>
          <t>是</t>
        </is>
      </c>
      <c r="J91" t="inlineStr">
        <is>
          <t>纳入</t>
        </is>
      </c>
      <c r="K91" t="n">
        <v>373.8185255198488</v>
      </c>
      <c r="L91">
        <f>导管母表_860!G91</f>
        <v/>
      </c>
      <c r="M91" t="inlineStr">
        <is>
          <t>视野内部</t>
        </is>
      </c>
      <c r="N91" t="inlineStr">
        <is>
          <t>纳入A/D/Dh；若有Pair_ID则纳入CWR</t>
        </is>
      </c>
      <c r="O91" t="inlineStr">
        <is>
          <t>自动管线检出的合格导管腔。</t>
        </is>
      </c>
      <c r="P91" t="inlineStr">
        <is>
          <t>auto_pipeline;review_png_green</t>
        </is>
      </c>
      <c r="R91" t="inlineStr">
        <is>
          <t>样品44</t>
        </is>
      </c>
    </row>
    <row r="92">
      <c r="A92" t="inlineStr">
        <is>
          <t>44(1)-V05</t>
        </is>
      </c>
      <c r="B92" t="inlineStr">
        <is>
          <t>44 (1).tif</t>
        </is>
      </c>
      <c r="C92" t="n">
        <v>167</v>
      </c>
      <c r="D92" t="n">
        <v>237</v>
      </c>
      <c r="E92" t="inlineStr">
        <is>
          <t>134,216,201,259</t>
        </is>
      </c>
      <c r="F92" t="n">
        <v>134</v>
      </c>
      <c r="G92" t="inlineStr">
        <is>
          <t>primary</t>
        </is>
      </c>
      <c r="H92" t="inlineStr">
        <is>
          <t>AUTO_VESSEL</t>
        </is>
      </c>
      <c r="I92" t="inlineStr">
        <is>
          <t>是</t>
        </is>
      </c>
      <c r="J92" t="inlineStr">
        <is>
          <t>纳入</t>
        </is>
      </c>
      <c r="K92" t="n">
        <v>102.6465028355388</v>
      </c>
      <c r="L92">
        <f>导管母表_860!G92</f>
        <v/>
      </c>
      <c r="M92" t="inlineStr">
        <is>
          <t>视野内部</t>
        </is>
      </c>
      <c r="N92" t="inlineStr">
        <is>
          <t>纳入A/D/Dh；若有Pair_ID则纳入CWR</t>
        </is>
      </c>
      <c r="O92" t="inlineStr">
        <is>
          <t>自动管线检出的合格导管腔。</t>
        </is>
      </c>
      <c r="P92" t="inlineStr">
        <is>
          <t>auto_pipeline;review_png_green</t>
        </is>
      </c>
      <c r="R92" t="inlineStr">
        <is>
          <t>样品44</t>
        </is>
      </c>
    </row>
    <row r="93">
      <c r="A93" t="inlineStr">
        <is>
          <t>44(1)-V06</t>
        </is>
      </c>
      <c r="B93" t="inlineStr">
        <is>
          <t>44 (1).tif</t>
        </is>
      </c>
      <c r="C93" t="n">
        <v>388</v>
      </c>
      <c r="D93" t="n">
        <v>336</v>
      </c>
      <c r="E93" t="inlineStr">
        <is>
          <t>370,320,407,353</t>
        </is>
      </c>
      <c r="F93" t="n">
        <v>320</v>
      </c>
      <c r="G93" t="inlineStr">
        <is>
          <t>primary</t>
        </is>
      </c>
      <c r="H93" t="inlineStr">
        <is>
          <t>AUTO_VESSEL</t>
        </is>
      </c>
      <c r="I93" t="inlineStr">
        <is>
          <t>是</t>
        </is>
      </c>
      <c r="J93" t="inlineStr">
        <is>
          <t>纳入</t>
        </is>
      </c>
      <c r="K93" t="n">
        <v>17.74574669187146</v>
      </c>
      <c r="L93">
        <f>导管母表_860!G93</f>
        <v/>
      </c>
      <c r="M93" t="inlineStr">
        <is>
          <t>视野内部</t>
        </is>
      </c>
      <c r="N93" t="inlineStr">
        <is>
          <t>纳入A/D/Dh；若有Pair_ID则纳入CWR</t>
        </is>
      </c>
      <c r="O93" t="inlineStr">
        <is>
          <t>自动管线检出的合格导管腔。</t>
        </is>
      </c>
      <c r="P93" t="inlineStr">
        <is>
          <t>auto_pipeline;review_png_green</t>
        </is>
      </c>
      <c r="Q93" t="inlineStr">
        <is>
          <t>44(1)-P01</t>
        </is>
      </c>
      <c r="R93" t="inlineStr">
        <is>
          <t>样品44</t>
        </is>
      </c>
    </row>
    <row r="94">
      <c r="A94" t="inlineStr">
        <is>
          <t>44(2)-V01</t>
        </is>
      </c>
      <c r="B94" t="inlineStr">
        <is>
          <t>44 (2).tif</t>
        </is>
      </c>
      <c r="C94" t="n">
        <v>598</v>
      </c>
      <c r="D94" t="n">
        <v>370</v>
      </c>
      <c r="E94" t="inlineStr">
        <is>
          <t>524,297,673,444</t>
        </is>
      </c>
      <c r="F94" t="n">
        <v>297</v>
      </c>
      <c r="G94" t="inlineStr">
        <is>
          <t>primary</t>
        </is>
      </c>
      <c r="H94" t="inlineStr">
        <is>
          <t>AUTO_VESSEL</t>
        </is>
      </c>
      <c r="I94" t="inlineStr">
        <is>
          <t>是</t>
        </is>
      </c>
      <c r="J94" t="inlineStr">
        <is>
          <t>纳入</t>
        </is>
      </c>
      <c r="K94" t="n">
        <v>797.3062381852552</v>
      </c>
      <c r="L94">
        <f>导管母表_860!G94</f>
        <v/>
      </c>
      <c r="M94" t="inlineStr">
        <is>
          <t>视野内部</t>
        </is>
      </c>
      <c r="N94" t="inlineStr">
        <is>
          <t>纳入A/D/Dh；若有Pair_ID则纳入CWR</t>
        </is>
      </c>
      <c r="O94" t="inlineStr">
        <is>
          <t>自动管线检出的合格导管腔。</t>
        </is>
      </c>
      <c r="P94" t="inlineStr">
        <is>
          <t>auto_pipeline;review_png_green</t>
        </is>
      </c>
      <c r="Q94" t="inlineStr">
        <is>
          <t>44(2)-P01</t>
        </is>
      </c>
      <c r="R94" t="inlineStr">
        <is>
          <t>样品44</t>
        </is>
      </c>
    </row>
    <row r="95">
      <c r="A95" t="inlineStr">
        <is>
          <t>44(2)-V02</t>
        </is>
      </c>
      <c r="B95" t="inlineStr">
        <is>
          <t>44 (2).tif</t>
        </is>
      </c>
      <c r="C95" t="n">
        <v>449</v>
      </c>
      <c r="D95" t="n">
        <v>329</v>
      </c>
      <c r="E95" t="inlineStr">
        <is>
          <t>377,252,522,407</t>
        </is>
      </c>
      <c r="F95" t="n">
        <v>252</v>
      </c>
      <c r="G95" t="inlineStr">
        <is>
          <t>primary</t>
        </is>
      </c>
      <c r="H95" t="inlineStr">
        <is>
          <t>AUTO_VESSEL</t>
        </is>
      </c>
      <c r="I95" t="inlineStr">
        <is>
          <t>是</t>
        </is>
      </c>
      <c r="J95" t="inlineStr">
        <is>
          <t>纳入</t>
        </is>
      </c>
      <c r="K95" t="n">
        <v>762.5236294896031</v>
      </c>
      <c r="L95">
        <f>导管母表_860!G95</f>
        <v/>
      </c>
      <c r="M95" t="inlineStr">
        <is>
          <t>视野内部</t>
        </is>
      </c>
      <c r="N95" t="inlineStr">
        <is>
          <t>纳入A/D/Dh；若有Pair_ID则纳入CWR</t>
        </is>
      </c>
      <c r="O95" t="inlineStr">
        <is>
          <t>自动管线检出的合格导管腔。</t>
        </is>
      </c>
      <c r="P95" t="inlineStr">
        <is>
          <t>auto_pipeline;review_png_green</t>
        </is>
      </c>
      <c r="Q95" t="inlineStr">
        <is>
          <t>44(2)-P01</t>
        </is>
      </c>
      <c r="R95" t="inlineStr">
        <is>
          <t>样品44</t>
        </is>
      </c>
    </row>
    <row r="96">
      <c r="A96" t="inlineStr">
        <is>
          <t>44(2)-V03</t>
        </is>
      </c>
      <c r="B96" t="inlineStr">
        <is>
          <t>44 (2).tif</t>
        </is>
      </c>
      <c r="C96" t="n">
        <v>483</v>
      </c>
      <c r="D96" t="n">
        <v>367</v>
      </c>
      <c r="E96" t="inlineStr">
        <is>
          <t>459,342,508,393</t>
        </is>
      </c>
      <c r="F96" t="n">
        <v>342</v>
      </c>
      <c r="G96" t="inlineStr">
        <is>
          <t>primary</t>
        </is>
      </c>
      <c r="H96" t="inlineStr">
        <is>
          <t>AUTO_VESSEL</t>
        </is>
      </c>
      <c r="I96" t="inlineStr">
        <is>
          <t>是</t>
        </is>
      </c>
      <c r="J96" t="inlineStr">
        <is>
          <t>纳入</t>
        </is>
      </c>
      <c r="K96" t="n">
        <v>40.64272211720227</v>
      </c>
      <c r="L96">
        <f>导管母表_860!G96</f>
        <v/>
      </c>
      <c r="M96" t="inlineStr">
        <is>
          <t>视野内部</t>
        </is>
      </c>
      <c r="N96" t="inlineStr">
        <is>
          <t>纳入A/D/Dh；若有Pair_ID则纳入CWR</t>
        </is>
      </c>
      <c r="O96" t="inlineStr">
        <is>
          <t>自动管线检出的合格导管腔。</t>
        </is>
      </c>
      <c r="P96" t="inlineStr">
        <is>
          <t>auto_pipeline;review_png_green</t>
        </is>
      </c>
      <c r="R96" t="inlineStr">
        <is>
          <t>样品44</t>
        </is>
      </c>
    </row>
    <row r="97">
      <c r="A97" t="inlineStr">
        <is>
          <t>44(3)-V01</t>
        </is>
      </c>
      <c r="B97" t="inlineStr">
        <is>
          <t>44 (3).tif</t>
        </is>
      </c>
      <c r="C97" t="n">
        <v>316</v>
      </c>
      <c r="D97" t="n">
        <v>291</v>
      </c>
      <c r="E97" t="inlineStr">
        <is>
          <t>123,155,510,428</t>
        </is>
      </c>
      <c r="F97" t="n">
        <v>123</v>
      </c>
      <c r="G97" t="inlineStr">
        <is>
          <t>primary</t>
        </is>
      </c>
      <c r="H97" t="inlineStr">
        <is>
          <t>AUTO_VESSEL</t>
        </is>
      </c>
      <c r="I97" t="inlineStr">
        <is>
          <t>是</t>
        </is>
      </c>
      <c r="J97" t="inlineStr">
        <is>
          <t>纳入</t>
        </is>
      </c>
      <c r="K97" t="n">
        <v>3192.084120982987</v>
      </c>
      <c r="L97">
        <f>导管母表_860!G97</f>
        <v/>
      </c>
      <c r="M97" t="inlineStr">
        <is>
          <t>视野内部</t>
        </is>
      </c>
      <c r="N97" t="inlineStr">
        <is>
          <t>纳入A/D/Dh；若有Pair_ID则纳入CWR</t>
        </is>
      </c>
      <c r="O97" t="inlineStr">
        <is>
          <t>自动管线检出的合格导管腔。</t>
        </is>
      </c>
      <c r="P97" t="inlineStr">
        <is>
          <t>auto_pipeline;review_png_green</t>
        </is>
      </c>
      <c r="R97" t="inlineStr">
        <is>
          <t>样品44</t>
        </is>
      </c>
    </row>
    <row r="98">
      <c r="A98" t="inlineStr">
        <is>
          <t>44(3)-V02</t>
        </is>
      </c>
      <c r="B98" t="inlineStr">
        <is>
          <t>44 (3).tif</t>
        </is>
      </c>
      <c r="C98" t="n">
        <v>439</v>
      </c>
      <c r="D98" t="n">
        <v>375</v>
      </c>
      <c r="E98" t="inlineStr">
        <is>
          <t>370,324,509,427</t>
        </is>
      </c>
      <c r="F98" t="n">
        <v>324</v>
      </c>
      <c r="G98" t="inlineStr">
        <is>
          <t>primary</t>
        </is>
      </c>
      <c r="H98" t="inlineStr">
        <is>
          <t>AUTO_VESSEL</t>
        </is>
      </c>
      <c r="I98" t="inlineStr">
        <is>
          <t>是</t>
        </is>
      </c>
      <c r="J98" t="inlineStr">
        <is>
          <t>纳入</t>
        </is>
      </c>
      <c r="K98" t="n">
        <v>522.0463137996219</v>
      </c>
      <c r="L98">
        <f>导管母表_860!G98</f>
        <v/>
      </c>
      <c r="M98" t="inlineStr">
        <is>
          <t>视野内部</t>
        </is>
      </c>
      <c r="N98" t="inlineStr">
        <is>
          <t>纳入A/D/Dh；若有Pair_ID则纳入CWR</t>
        </is>
      </c>
      <c r="O98" t="inlineStr">
        <is>
          <t>自动管线检出的合格导管腔。</t>
        </is>
      </c>
      <c r="P98" t="inlineStr">
        <is>
          <t>auto_pipeline;review_png_green</t>
        </is>
      </c>
      <c r="Q98" t="inlineStr">
        <is>
          <t>44(3)-P01</t>
        </is>
      </c>
      <c r="R98" t="inlineStr">
        <is>
          <t>样品44</t>
        </is>
      </c>
    </row>
    <row r="99">
      <c r="A99" t="inlineStr">
        <is>
          <t>44(3)-V03</t>
        </is>
      </c>
      <c r="B99" t="inlineStr">
        <is>
          <t>44 (3).tif</t>
        </is>
      </c>
      <c r="C99" t="n">
        <v>606</v>
      </c>
      <c r="D99" t="n">
        <v>336</v>
      </c>
      <c r="E99" t="inlineStr">
        <is>
          <t>533,291,680,382</t>
        </is>
      </c>
      <c r="F99" t="n">
        <v>291</v>
      </c>
      <c r="G99" t="inlineStr">
        <is>
          <t>primary</t>
        </is>
      </c>
      <c r="H99" t="inlineStr">
        <is>
          <t>AUTO_VESSEL</t>
        </is>
      </c>
      <c r="I99" t="inlineStr">
        <is>
          <t>是</t>
        </is>
      </c>
      <c r="J99" t="inlineStr">
        <is>
          <t>纳入</t>
        </is>
      </c>
      <c r="K99" t="n">
        <v>471.4083175803403</v>
      </c>
      <c r="L99">
        <f>导管母表_860!G99</f>
        <v/>
      </c>
      <c r="M99" t="inlineStr">
        <is>
          <t>视野内部</t>
        </is>
      </c>
      <c r="N99" t="inlineStr">
        <is>
          <t>纳入A/D/Dh；若有Pair_ID则纳入CWR</t>
        </is>
      </c>
      <c r="O99" t="inlineStr">
        <is>
          <t>自动管线检出的合格导管腔。</t>
        </is>
      </c>
      <c r="P99" t="inlineStr">
        <is>
          <t>auto_pipeline;review_png_green</t>
        </is>
      </c>
      <c r="Q99" t="inlineStr">
        <is>
          <t>44(3)-P01</t>
        </is>
      </c>
      <c r="R99" t="inlineStr">
        <is>
          <t>样品44</t>
        </is>
      </c>
    </row>
    <row r="100">
      <c r="A100" t="inlineStr">
        <is>
          <t>44(4)-V01</t>
        </is>
      </c>
      <c r="B100" t="inlineStr">
        <is>
          <t>44 (4).tif</t>
        </is>
      </c>
      <c r="C100" t="n">
        <v>743</v>
      </c>
      <c r="D100" t="n">
        <v>372</v>
      </c>
      <c r="E100" t="inlineStr">
        <is>
          <t>680,311,807,434</t>
        </is>
      </c>
      <c r="F100" t="n">
        <v>217</v>
      </c>
      <c r="G100" t="inlineStr">
        <is>
          <t>primary</t>
        </is>
      </c>
      <c r="H100" t="inlineStr">
        <is>
          <t>AUTO_VESSEL</t>
        </is>
      </c>
      <c r="I100" t="inlineStr">
        <is>
          <t>是</t>
        </is>
      </c>
      <c r="J100" t="inlineStr">
        <is>
          <t>纳入</t>
        </is>
      </c>
      <c r="K100" t="n">
        <v>569.8015122873346</v>
      </c>
      <c r="L100">
        <f>导管母表_860!G100</f>
        <v/>
      </c>
      <c r="M100" t="inlineStr">
        <is>
          <t>视野内部</t>
        </is>
      </c>
      <c r="N100" t="inlineStr">
        <is>
          <t>纳入A/D/Dh；若有Pair_ID则纳入CWR</t>
        </is>
      </c>
      <c r="O100" t="inlineStr">
        <is>
          <t>自动管线检出的合格导管腔。</t>
        </is>
      </c>
      <c r="P100" t="inlineStr">
        <is>
          <t>auto_pipeline;review_png_green</t>
        </is>
      </c>
      <c r="R100" t="inlineStr">
        <is>
          <t>样品44</t>
        </is>
      </c>
    </row>
    <row r="101">
      <c r="A101" t="inlineStr">
        <is>
          <t>44(4)-V02</t>
        </is>
      </c>
      <c r="B101" t="inlineStr">
        <is>
          <t>44 (4).tif</t>
        </is>
      </c>
      <c r="C101" t="n">
        <v>601</v>
      </c>
      <c r="D101" t="n">
        <v>322</v>
      </c>
      <c r="E101" t="inlineStr">
        <is>
          <t>536,264,667,381</t>
        </is>
      </c>
      <c r="F101" t="n">
        <v>264</v>
      </c>
      <c r="G101" t="inlineStr">
        <is>
          <t>primary</t>
        </is>
      </c>
      <c r="H101" t="inlineStr">
        <is>
          <t>AUTO_VESSEL</t>
        </is>
      </c>
      <c r="I101" t="inlineStr">
        <is>
          <t>是</t>
        </is>
      </c>
      <c r="J101" t="inlineStr">
        <is>
          <t>纳入</t>
        </is>
      </c>
      <c r="K101" t="n">
        <v>538.3270321361059</v>
      </c>
      <c r="L101">
        <f>导管母表_860!G101</f>
        <v/>
      </c>
      <c r="M101" t="inlineStr">
        <is>
          <t>视野内部</t>
        </is>
      </c>
      <c r="N101" t="inlineStr">
        <is>
          <t>纳入A/D/Dh；若有Pair_ID则纳入CWR</t>
        </is>
      </c>
      <c r="O101" t="inlineStr">
        <is>
          <t>自动管线检出的合格导管腔。</t>
        </is>
      </c>
      <c r="P101" t="inlineStr">
        <is>
          <t>auto_pipeline;review_png_green</t>
        </is>
      </c>
      <c r="Q101" t="inlineStr">
        <is>
          <t>44(4)-P01</t>
        </is>
      </c>
      <c r="R101" t="inlineStr">
        <is>
          <t>样品44</t>
        </is>
      </c>
    </row>
    <row r="102">
      <c r="A102" t="inlineStr">
        <is>
          <t>44(4)-V03</t>
        </is>
      </c>
      <c r="B102" t="inlineStr">
        <is>
          <t>44 (4).tif</t>
        </is>
      </c>
      <c r="C102" t="n">
        <v>459</v>
      </c>
      <c r="D102" t="n">
        <v>410</v>
      </c>
      <c r="E102" t="inlineStr">
        <is>
          <t>409,357,510,464</t>
        </is>
      </c>
      <c r="F102" t="n">
        <v>304</v>
      </c>
      <c r="G102" t="inlineStr">
        <is>
          <t>primary</t>
        </is>
      </c>
      <c r="H102" t="inlineStr">
        <is>
          <t>AUTO_VESSEL</t>
        </is>
      </c>
      <c r="I102" t="inlineStr">
        <is>
          <t>是</t>
        </is>
      </c>
      <c r="J102" t="inlineStr">
        <is>
          <t>纳入</t>
        </is>
      </c>
      <c r="K102" t="n">
        <v>391.0207939508506</v>
      </c>
      <c r="L102">
        <f>导管母表_860!G102</f>
        <v/>
      </c>
      <c r="M102" t="inlineStr">
        <is>
          <t>视野内部</t>
        </is>
      </c>
      <c r="N102" t="inlineStr">
        <is>
          <t>纳入A/D/Dh；若有Pair_ID则纳入CWR</t>
        </is>
      </c>
      <c r="O102" t="inlineStr">
        <is>
          <t>自动管线检出的合格导管腔。</t>
        </is>
      </c>
      <c r="P102" t="inlineStr">
        <is>
          <t>auto_pipeline;review_png_green</t>
        </is>
      </c>
      <c r="R102" t="inlineStr">
        <is>
          <t>样品44</t>
        </is>
      </c>
    </row>
    <row r="103">
      <c r="A103" t="inlineStr">
        <is>
          <t>44(4)-V04</t>
        </is>
      </c>
      <c r="B103" t="inlineStr">
        <is>
          <t>44 (4).tif</t>
        </is>
      </c>
      <c r="C103" t="n">
        <v>311</v>
      </c>
      <c r="D103" t="n">
        <v>499</v>
      </c>
      <c r="E103" t="inlineStr">
        <is>
          <t>274,454,349,545</t>
        </is>
      </c>
      <c r="F103" t="n">
        <v>223</v>
      </c>
      <c r="G103" t="inlineStr">
        <is>
          <t>primary</t>
        </is>
      </c>
      <c r="H103" t="inlineStr">
        <is>
          <t>AUTO_VESSEL</t>
        </is>
      </c>
      <c r="I103" t="inlineStr">
        <is>
          <t>是</t>
        </is>
      </c>
      <c r="J103" t="inlineStr">
        <is>
          <t>纳入</t>
        </is>
      </c>
      <c r="K103" t="n">
        <v>244.1398865784499</v>
      </c>
      <c r="L103">
        <f>导管母表_860!G103</f>
        <v/>
      </c>
      <c r="M103" t="inlineStr">
        <is>
          <t>视野内部</t>
        </is>
      </c>
      <c r="N103" t="inlineStr">
        <is>
          <t>纳入A/D/Dh；若有Pair_ID则纳入CWR</t>
        </is>
      </c>
      <c r="O103" t="inlineStr">
        <is>
          <t>自动管线检出的合格导管腔。</t>
        </is>
      </c>
      <c r="P103" t="inlineStr">
        <is>
          <t>auto_pipeline;review_png_green</t>
        </is>
      </c>
      <c r="R103" t="inlineStr">
        <is>
          <t>样品44</t>
        </is>
      </c>
    </row>
    <row r="104">
      <c r="A104" t="inlineStr">
        <is>
          <t>44(4)-V05</t>
        </is>
      </c>
      <c r="B104" t="inlineStr">
        <is>
          <t>44 (4).tif</t>
        </is>
      </c>
      <c r="C104" t="n">
        <v>643</v>
      </c>
      <c r="D104" t="n">
        <v>353</v>
      </c>
      <c r="E104" t="inlineStr">
        <is>
          <t>622,332,665,375</t>
        </is>
      </c>
      <c r="F104" t="n">
        <v>332</v>
      </c>
      <c r="G104" t="inlineStr">
        <is>
          <t>primary</t>
        </is>
      </c>
      <c r="H104" t="inlineStr">
        <is>
          <t>AUTO_VESSEL</t>
        </is>
      </c>
      <c r="I104" t="inlineStr">
        <is>
          <t>是</t>
        </is>
      </c>
      <c r="J104" t="inlineStr">
        <is>
          <t>纳入</t>
        </is>
      </c>
      <c r="K104" t="n">
        <v>62.09829867674858</v>
      </c>
      <c r="L104">
        <f>导管母表_860!G104</f>
        <v/>
      </c>
      <c r="M104" t="inlineStr">
        <is>
          <t>视野内部</t>
        </is>
      </c>
      <c r="N104" t="inlineStr">
        <is>
          <t>纳入A/D/Dh；若有Pair_ID则纳入CWR</t>
        </is>
      </c>
      <c r="O104" t="inlineStr">
        <is>
          <t>自动管线检出的合格导管腔。</t>
        </is>
      </c>
      <c r="P104" t="inlineStr">
        <is>
          <t>auto_pipeline;review_png_green</t>
        </is>
      </c>
      <c r="Q104" t="inlineStr">
        <is>
          <t>44(4)-P01</t>
        </is>
      </c>
      <c r="R104" t="inlineStr">
        <is>
          <t>样品44</t>
        </is>
      </c>
    </row>
    <row r="105">
      <c r="A105" t="inlineStr">
        <is>
          <t>44(5)-V01</t>
        </is>
      </c>
      <c r="B105" t="inlineStr">
        <is>
          <t>44 (5).tif</t>
        </is>
      </c>
      <c r="C105" t="n">
        <v>258</v>
      </c>
      <c r="D105" t="n">
        <v>394</v>
      </c>
      <c r="E105" t="inlineStr">
        <is>
          <t>185,326,332,463</t>
        </is>
      </c>
      <c r="F105" t="n">
        <v>185</v>
      </c>
      <c r="G105" t="inlineStr">
        <is>
          <t>primary</t>
        </is>
      </c>
      <c r="H105" t="inlineStr">
        <is>
          <t>AUTO_VESSEL</t>
        </is>
      </c>
      <c r="I105" t="inlineStr">
        <is>
          <t>是</t>
        </is>
      </c>
      <c r="J105" t="inlineStr">
        <is>
          <t>纳入</t>
        </is>
      </c>
      <c r="K105" t="n">
        <v>735.2315689981097</v>
      </c>
      <c r="L105">
        <f>导管母表_860!G105</f>
        <v/>
      </c>
      <c r="M105" t="inlineStr">
        <is>
          <t>视野内部</t>
        </is>
      </c>
      <c r="N105" t="inlineStr">
        <is>
          <t>纳入A/D/Dh；若有Pair_ID则纳入CWR</t>
        </is>
      </c>
      <c r="O105" t="inlineStr">
        <is>
          <t>自动管线检出的合格导管腔。</t>
        </is>
      </c>
      <c r="P105" t="inlineStr">
        <is>
          <t>auto_pipeline;review_png_green</t>
        </is>
      </c>
      <c r="R105" t="inlineStr">
        <is>
          <t>样品44</t>
        </is>
      </c>
    </row>
    <row r="106">
      <c r="A106" t="inlineStr">
        <is>
          <t>44(5)-V02</t>
        </is>
      </c>
      <c r="B106" t="inlineStr">
        <is>
          <t>44 (5).tif</t>
        </is>
      </c>
      <c r="C106" t="n">
        <v>591</v>
      </c>
      <c r="D106" t="n">
        <v>379</v>
      </c>
      <c r="E106" t="inlineStr">
        <is>
          <t>532,328,651,431</t>
        </is>
      </c>
      <c r="F106" t="n">
        <v>328</v>
      </c>
      <c r="G106" t="inlineStr">
        <is>
          <t>primary</t>
        </is>
      </c>
      <c r="H106" t="inlineStr">
        <is>
          <t>AUTO_VESSEL</t>
        </is>
      </c>
      <c r="I106" t="inlineStr">
        <is>
          <t>是</t>
        </is>
      </c>
      <c r="J106" t="inlineStr">
        <is>
          <t>纳入</t>
        </is>
      </c>
      <c r="K106" t="n">
        <v>441.8478260869565</v>
      </c>
      <c r="L106">
        <f>导管母表_860!G106</f>
        <v/>
      </c>
      <c r="M106" t="inlineStr">
        <is>
          <t>视野内部</t>
        </is>
      </c>
      <c r="N106" t="inlineStr">
        <is>
          <t>纳入A/D/Dh；若有Pair_ID则纳入CWR</t>
        </is>
      </c>
      <c r="O106" t="inlineStr">
        <is>
          <t>自动管线检出的合格导管腔。</t>
        </is>
      </c>
      <c r="P106" t="inlineStr">
        <is>
          <t>auto_pipeline;review_png_green</t>
        </is>
      </c>
      <c r="Q106" t="inlineStr">
        <is>
          <t>44(5)-P01</t>
        </is>
      </c>
      <c r="R106" t="inlineStr">
        <is>
          <t>样品44</t>
        </is>
      </c>
    </row>
    <row r="107">
      <c r="A107" t="inlineStr">
        <is>
          <t>44(5)-V03</t>
        </is>
      </c>
      <c r="B107" t="inlineStr">
        <is>
          <t>44 (5).tif</t>
        </is>
      </c>
      <c r="C107" t="n">
        <v>365</v>
      </c>
      <c r="D107" t="n">
        <v>67</v>
      </c>
      <c r="E107" t="inlineStr">
        <is>
          <t>297,26,434,109</t>
        </is>
      </c>
      <c r="F107" t="n">
        <v>26</v>
      </c>
      <c r="G107" t="inlineStr">
        <is>
          <t>primary</t>
        </is>
      </c>
      <c r="H107" t="inlineStr">
        <is>
          <t>AUTO_VESSEL</t>
        </is>
      </c>
      <c r="I107" t="inlineStr">
        <is>
          <t>是</t>
        </is>
      </c>
      <c r="J107" t="inlineStr">
        <is>
          <t>纳入</t>
        </is>
      </c>
      <c r="K107" t="n">
        <v>394.3761814744802</v>
      </c>
      <c r="L107">
        <f>导管母表_860!G107</f>
        <v/>
      </c>
      <c r="M107" t="inlineStr">
        <is>
          <t>视野内部</t>
        </is>
      </c>
      <c r="N107" t="inlineStr">
        <is>
          <t>纳入A/D/Dh；若有Pair_ID则纳入CWR</t>
        </is>
      </c>
      <c r="O107" t="inlineStr">
        <is>
          <t>自动管线检出的合格导管腔。</t>
        </is>
      </c>
      <c r="P107" t="inlineStr">
        <is>
          <t>auto_pipeline;review_png_green</t>
        </is>
      </c>
      <c r="R107" t="inlineStr">
        <is>
          <t>样品44</t>
        </is>
      </c>
    </row>
    <row r="108">
      <c r="A108" t="inlineStr">
        <is>
          <t>44(5)-V04</t>
        </is>
      </c>
      <c r="B108" t="inlineStr">
        <is>
          <t>44 (5).tif</t>
        </is>
      </c>
      <c r="C108" t="n">
        <v>454</v>
      </c>
      <c r="D108" t="n">
        <v>379</v>
      </c>
      <c r="E108" t="inlineStr">
        <is>
          <t>403,327,506,432</t>
        </is>
      </c>
      <c r="F108" t="n">
        <v>327</v>
      </c>
      <c r="G108" t="inlineStr">
        <is>
          <t>primary</t>
        </is>
      </c>
      <c r="H108" t="inlineStr">
        <is>
          <t>AUTO_VESSEL</t>
        </is>
      </c>
      <c r="I108" t="inlineStr">
        <is>
          <t>是</t>
        </is>
      </c>
      <c r="J108" t="inlineStr">
        <is>
          <t>纳入</t>
        </is>
      </c>
      <c r="K108" t="n">
        <v>392.6748582230624</v>
      </c>
      <c r="L108">
        <f>导管母表_860!G108</f>
        <v/>
      </c>
      <c r="M108" t="inlineStr">
        <is>
          <t>视野内部</t>
        </is>
      </c>
      <c r="N108" t="inlineStr">
        <is>
          <t>纳入A/D/Dh；若有Pair_ID则纳入CWR</t>
        </is>
      </c>
      <c r="O108" t="inlineStr">
        <is>
          <t>自动管线检出的合格导管腔。</t>
        </is>
      </c>
      <c r="P108" t="inlineStr">
        <is>
          <t>auto_pipeline;review_png_green</t>
        </is>
      </c>
      <c r="R108" t="inlineStr">
        <is>
          <t>样品44</t>
        </is>
      </c>
    </row>
    <row r="109">
      <c r="A109" t="inlineStr">
        <is>
          <t>44(5)-V05</t>
        </is>
      </c>
      <c r="B109" t="inlineStr">
        <is>
          <t>44 (5).tif</t>
        </is>
      </c>
      <c r="C109" t="n">
        <v>803</v>
      </c>
      <c r="D109" t="n">
        <v>284</v>
      </c>
      <c r="E109" t="inlineStr">
        <is>
          <t>738,259,869,310</t>
        </is>
      </c>
      <c r="F109" t="n">
        <v>155</v>
      </c>
      <c r="G109" t="inlineStr">
        <is>
          <t>primary</t>
        </is>
      </c>
      <c r="H109" t="inlineStr">
        <is>
          <t>AUTO_VESSEL</t>
        </is>
      </c>
      <c r="I109" t="inlineStr">
        <is>
          <t>是</t>
        </is>
      </c>
      <c r="J109" t="inlineStr">
        <is>
          <t>纳入</t>
        </is>
      </c>
      <c r="K109" t="n">
        <v>241.1625708884688</v>
      </c>
      <c r="L109">
        <f>导管母表_860!G109</f>
        <v/>
      </c>
      <c r="M109" t="inlineStr">
        <is>
          <t>视野内部</t>
        </is>
      </c>
      <c r="N109" t="inlineStr">
        <is>
          <t>纳入A/D/Dh；若有Pair_ID则纳入CWR</t>
        </is>
      </c>
      <c r="O109" t="inlineStr">
        <is>
          <t>自动管线检出的合格导管腔。</t>
        </is>
      </c>
      <c r="P109" t="inlineStr">
        <is>
          <t>auto_pipeline;review_png_green</t>
        </is>
      </c>
      <c r="R109" t="inlineStr">
        <is>
          <t>样品44</t>
        </is>
      </c>
    </row>
    <row r="110">
      <c r="A110" t="inlineStr">
        <is>
          <t>44(5)-V06</t>
        </is>
      </c>
      <c r="B110" t="inlineStr">
        <is>
          <t>44 (5).tif</t>
        </is>
      </c>
      <c r="C110" t="n">
        <v>627</v>
      </c>
      <c r="D110" t="n">
        <v>411</v>
      </c>
      <c r="E110" t="inlineStr">
        <is>
          <t>606,390,649,433</t>
        </is>
      </c>
      <c r="F110" t="n">
        <v>335</v>
      </c>
      <c r="G110" t="inlineStr">
        <is>
          <t>primary</t>
        </is>
      </c>
      <c r="H110" t="inlineStr">
        <is>
          <t>AUTO_VESSEL</t>
        </is>
      </c>
      <c r="I110" t="inlineStr">
        <is>
          <t>是</t>
        </is>
      </c>
      <c r="J110" t="inlineStr">
        <is>
          <t>纳入</t>
        </is>
      </c>
      <c r="K110" t="n">
        <v>62.09829867674858</v>
      </c>
      <c r="L110">
        <f>导管母表_860!G110</f>
        <v/>
      </c>
      <c r="M110" t="inlineStr">
        <is>
          <t>视野内部</t>
        </is>
      </c>
      <c r="N110" t="inlineStr">
        <is>
          <t>纳入A/D/Dh；若有Pair_ID则纳入CWR</t>
        </is>
      </c>
      <c r="O110" t="inlineStr">
        <is>
          <t>自动管线检出的合格导管腔。</t>
        </is>
      </c>
      <c r="P110" t="inlineStr">
        <is>
          <t>auto_pipeline;review_png_green</t>
        </is>
      </c>
      <c r="Q110" t="inlineStr">
        <is>
          <t>44(5)-P01</t>
        </is>
      </c>
      <c r="R110" t="inlineStr">
        <is>
          <t>样品44</t>
        </is>
      </c>
    </row>
    <row r="111">
      <c r="A111" t="inlineStr">
        <is>
          <t>44(6)-V01</t>
        </is>
      </c>
      <c r="B111" t="inlineStr">
        <is>
          <t>44 (6).tif</t>
        </is>
      </c>
      <c r="C111" t="n">
        <v>579</v>
      </c>
      <c r="D111" t="n">
        <v>264</v>
      </c>
      <c r="E111" t="inlineStr">
        <is>
          <t>495,184,664,345</t>
        </is>
      </c>
      <c r="F111" t="n">
        <v>184</v>
      </c>
      <c r="G111" t="inlineStr">
        <is>
          <t>primary</t>
        </is>
      </c>
      <c r="H111" t="inlineStr">
        <is>
          <t>AUTO_VESSEL</t>
        </is>
      </c>
      <c r="I111" t="inlineStr">
        <is>
          <t>是</t>
        </is>
      </c>
      <c r="J111" t="inlineStr">
        <is>
          <t>纳入</t>
        </is>
      </c>
      <c r="K111" t="n">
        <v>997.7788279773157</v>
      </c>
      <c r="L111">
        <f>导管母表_860!G111</f>
        <v/>
      </c>
      <c r="M111" t="inlineStr">
        <is>
          <t>视野内部</t>
        </is>
      </c>
      <c r="N111" t="inlineStr">
        <is>
          <t>纳入A/D/Dh；若有Pair_ID则纳入CWR</t>
        </is>
      </c>
      <c r="O111" t="inlineStr">
        <is>
          <t>自动管线检出的合格导管腔。</t>
        </is>
      </c>
      <c r="P111" t="inlineStr">
        <is>
          <t>auto_pipeline;review_png_green</t>
        </is>
      </c>
      <c r="R111" t="inlineStr">
        <is>
          <t>样品44</t>
        </is>
      </c>
    </row>
    <row r="112">
      <c r="A112" t="inlineStr">
        <is>
          <t>44(6)-V02</t>
        </is>
      </c>
      <c r="B112" t="inlineStr">
        <is>
          <t>44 (6).tif</t>
        </is>
      </c>
      <c r="C112" t="n">
        <v>474</v>
      </c>
      <c r="D112" t="n">
        <v>427</v>
      </c>
      <c r="E112" t="inlineStr">
        <is>
          <t>400,360,549,495</t>
        </is>
      </c>
      <c r="F112" t="n">
        <v>273</v>
      </c>
      <c r="G112" t="inlineStr">
        <is>
          <t>primary</t>
        </is>
      </c>
      <c r="H112" t="inlineStr">
        <is>
          <t>AUTO_VESSEL</t>
        </is>
      </c>
      <c r="I112" t="inlineStr">
        <is>
          <t>是</t>
        </is>
      </c>
      <c r="J112" t="inlineStr">
        <is>
          <t>纳入</t>
        </is>
      </c>
      <c r="K112" t="n">
        <v>733.648393194707</v>
      </c>
      <c r="L112">
        <f>导管母表_860!G112</f>
        <v/>
      </c>
      <c r="M112" t="inlineStr">
        <is>
          <t>视野内部</t>
        </is>
      </c>
      <c r="N112" t="inlineStr">
        <is>
          <t>纳入A/D/Dh；若有Pair_ID则纳入CWR</t>
        </is>
      </c>
      <c r="O112" t="inlineStr">
        <is>
          <t>自动管线检出的合格导管腔。</t>
        </is>
      </c>
      <c r="P112" t="inlineStr">
        <is>
          <t>auto_pipeline;review_png_green</t>
        </is>
      </c>
      <c r="Q112" t="inlineStr">
        <is>
          <t>44(6)-P01</t>
        </is>
      </c>
      <c r="R112" t="inlineStr">
        <is>
          <t>样品44</t>
        </is>
      </c>
    </row>
    <row r="113">
      <c r="A113" t="inlineStr">
        <is>
          <t>44(6)-V03</t>
        </is>
      </c>
      <c r="B113" t="inlineStr">
        <is>
          <t>44 (6).tif</t>
        </is>
      </c>
      <c r="C113" t="n">
        <v>347</v>
      </c>
      <c r="D113" t="n">
        <v>514</v>
      </c>
      <c r="E113" t="inlineStr">
        <is>
          <t>296,454,399,575</t>
        </is>
      </c>
      <c r="F113" t="n">
        <v>193</v>
      </c>
      <c r="G113" t="inlineStr">
        <is>
          <t>primary</t>
        </is>
      </c>
      <c r="H113" t="inlineStr">
        <is>
          <t>AUTO_VESSEL</t>
        </is>
      </c>
      <c r="I113" t="inlineStr">
        <is>
          <t>是</t>
        </is>
      </c>
      <c r="J113" t="inlineStr">
        <is>
          <t>纳入</t>
        </is>
      </c>
      <c r="K113" t="n">
        <v>453.2136105860113</v>
      </c>
      <c r="L113">
        <f>导管母表_860!G113</f>
        <v/>
      </c>
      <c r="M113" t="inlineStr">
        <is>
          <t>视野内部</t>
        </is>
      </c>
      <c r="N113" t="inlineStr">
        <is>
          <t>纳入A/D/Dh；若有Pair_ID则纳入CWR</t>
        </is>
      </c>
      <c r="O113" t="inlineStr">
        <is>
          <t>自动管线检出的合格导管腔。</t>
        </is>
      </c>
      <c r="P113" t="inlineStr">
        <is>
          <t>auto_pipeline;review_png_green</t>
        </is>
      </c>
      <c r="Q113" t="inlineStr">
        <is>
          <t>44(6)-P01</t>
        </is>
      </c>
      <c r="R113" t="inlineStr">
        <is>
          <t>样品44</t>
        </is>
      </c>
    </row>
    <row r="114">
      <c r="A114" t="inlineStr">
        <is>
          <t>44(7)-V01</t>
        </is>
      </c>
      <c r="B114" t="inlineStr">
        <is>
          <t>44 (7).tif</t>
        </is>
      </c>
      <c r="C114" t="n">
        <v>617</v>
      </c>
      <c r="D114" t="n">
        <v>331</v>
      </c>
      <c r="E114" t="inlineStr">
        <is>
          <t>541,258,694,405</t>
        </is>
      </c>
      <c r="F114" t="n">
        <v>258</v>
      </c>
      <c r="G114" t="inlineStr">
        <is>
          <t>primary</t>
        </is>
      </c>
      <c r="H114" t="inlineStr">
        <is>
          <t>AUTO_VESSEL</t>
        </is>
      </c>
      <c r="I114" t="inlineStr">
        <is>
          <t>是</t>
        </is>
      </c>
      <c r="J114" t="inlineStr">
        <is>
          <t>纳入</t>
        </is>
      </c>
      <c r="K114" t="n">
        <v>822.4007561436673</v>
      </c>
      <c r="L114">
        <f>导管母表_860!G114</f>
        <v/>
      </c>
      <c r="M114" t="inlineStr">
        <is>
          <t>视野内部</t>
        </is>
      </c>
      <c r="N114" t="inlineStr">
        <is>
          <t>纳入A/D/Dh；若有Pair_ID则纳入CWR</t>
        </is>
      </c>
      <c r="O114" t="inlineStr">
        <is>
          <t>自动管线检出的合格导管腔。</t>
        </is>
      </c>
      <c r="P114" t="inlineStr">
        <is>
          <t>auto_pipeline;review_png_green</t>
        </is>
      </c>
      <c r="Q114" t="inlineStr">
        <is>
          <t>44(7)-P01</t>
        </is>
      </c>
      <c r="R114" t="inlineStr">
        <is>
          <t>样品44</t>
        </is>
      </c>
    </row>
    <row r="115">
      <c r="A115" t="inlineStr">
        <is>
          <t>44(7)-V02</t>
        </is>
      </c>
      <c r="B115" t="inlineStr">
        <is>
          <t>44 (7).tif</t>
        </is>
      </c>
      <c r="C115" t="n">
        <v>470</v>
      </c>
      <c r="D115" t="n">
        <v>423</v>
      </c>
      <c r="E115" t="inlineStr">
        <is>
          <t>399,365,542,482</t>
        </is>
      </c>
      <c r="F115" t="n">
        <v>286</v>
      </c>
      <c r="G115" t="inlineStr">
        <is>
          <t>primary</t>
        </is>
      </c>
      <c r="H115" t="inlineStr">
        <is>
          <t>AUTO_VESSEL</t>
        </is>
      </c>
      <c r="I115" t="inlineStr">
        <is>
          <t>是</t>
        </is>
      </c>
      <c r="J115" t="inlineStr">
        <is>
          <t>纳入</t>
        </is>
      </c>
      <c r="K115" t="n">
        <v>610.8223062381852</v>
      </c>
      <c r="L115">
        <f>导管母表_860!G115</f>
        <v/>
      </c>
      <c r="M115" t="inlineStr">
        <is>
          <t>视野内部</t>
        </is>
      </c>
      <c r="N115" t="inlineStr">
        <is>
          <t>纳入A/D/Dh；若有Pair_ID则纳入CWR</t>
        </is>
      </c>
      <c r="O115" t="inlineStr">
        <is>
          <t>自动管线检出的合格导管腔。</t>
        </is>
      </c>
      <c r="P115" t="inlineStr">
        <is>
          <t>auto_pipeline;review_png_green</t>
        </is>
      </c>
      <c r="Q115" t="inlineStr">
        <is>
          <t>44(7)-P01</t>
        </is>
      </c>
      <c r="R115" t="inlineStr">
        <is>
          <t>样品44</t>
        </is>
      </c>
    </row>
    <row r="116">
      <c r="A116" t="inlineStr">
        <is>
          <t>44(8)-V01</t>
        </is>
      </c>
      <c r="B116" t="inlineStr">
        <is>
          <t>44 (8).tif</t>
        </is>
      </c>
      <c r="C116" t="n">
        <v>892</v>
      </c>
      <c r="D116" t="n">
        <v>220</v>
      </c>
      <c r="E116" t="inlineStr">
        <is>
          <t>824,135,961,306</t>
        </is>
      </c>
      <c r="F116" t="n">
        <v>63</v>
      </c>
      <c r="G116" t="inlineStr">
        <is>
          <t>primary</t>
        </is>
      </c>
      <c r="H116" t="inlineStr">
        <is>
          <t>AUTO_VESSEL</t>
        </is>
      </c>
      <c r="I116" t="inlineStr">
        <is>
          <t>是</t>
        </is>
      </c>
      <c r="J116" t="inlineStr">
        <is>
          <t>纳入</t>
        </is>
      </c>
      <c r="K116" t="n">
        <v>768.1710775047259</v>
      </c>
      <c r="L116">
        <f>导管母表_860!G116</f>
        <v/>
      </c>
      <c r="M116" t="inlineStr">
        <is>
          <t>视野内部</t>
        </is>
      </c>
      <c r="N116" t="inlineStr">
        <is>
          <t>纳入A/D/Dh；若有Pair_ID则纳入CWR</t>
        </is>
      </c>
      <c r="O116" t="inlineStr">
        <is>
          <t>自动管线检出的合格导管腔。</t>
        </is>
      </c>
      <c r="P116" t="inlineStr">
        <is>
          <t>auto_pipeline;review_png_green</t>
        </is>
      </c>
      <c r="R116" t="inlineStr">
        <is>
          <t>样品44</t>
        </is>
      </c>
    </row>
    <row r="117">
      <c r="A117" t="inlineStr">
        <is>
          <t>44(8)-V02</t>
        </is>
      </c>
      <c r="B117" t="inlineStr">
        <is>
          <t>44 (8).tif</t>
        </is>
      </c>
      <c r="C117" t="n">
        <v>503</v>
      </c>
      <c r="D117" t="n">
        <v>312</v>
      </c>
      <c r="E117" t="inlineStr">
        <is>
          <t>436,247,571,378</t>
        </is>
      </c>
      <c r="F117" t="n">
        <v>247</v>
      </c>
      <c r="G117" t="inlineStr">
        <is>
          <t>primary</t>
        </is>
      </c>
      <c r="H117" t="inlineStr">
        <is>
          <t>AUTO_VESSEL</t>
        </is>
      </c>
      <c r="I117" t="inlineStr">
        <is>
          <t>是</t>
        </is>
      </c>
      <c r="J117" t="inlineStr">
        <is>
          <t>纳入</t>
        </is>
      </c>
      <c r="K117" t="n">
        <v>631.4508506616257</v>
      </c>
      <c r="L117">
        <f>导管母表_860!G117</f>
        <v/>
      </c>
      <c r="M117" t="inlineStr">
        <is>
          <t>视野内部</t>
        </is>
      </c>
      <c r="N117" t="inlineStr">
        <is>
          <t>纳入A/D/Dh；若有Pair_ID则纳入CWR</t>
        </is>
      </c>
      <c r="O117" t="inlineStr">
        <is>
          <t>自动管线检出的合格导管腔。</t>
        </is>
      </c>
      <c r="P117" t="inlineStr">
        <is>
          <t>auto_pipeline;review_png_green</t>
        </is>
      </c>
      <c r="Q117" t="inlineStr">
        <is>
          <t>44(8)-P01</t>
        </is>
      </c>
      <c r="R117" t="inlineStr">
        <is>
          <t>样品44</t>
        </is>
      </c>
    </row>
    <row r="118">
      <c r="A118" t="inlineStr">
        <is>
          <t>44(8)-V03</t>
        </is>
      </c>
      <c r="B118" t="inlineStr">
        <is>
          <t>44 (8).tif</t>
        </is>
      </c>
      <c r="C118" t="n">
        <v>96</v>
      </c>
      <c r="D118" t="n">
        <v>546</v>
      </c>
      <c r="E118" t="inlineStr">
        <is>
          <t>39,475,154,618</t>
        </is>
      </c>
      <c r="F118" t="n">
        <v>39</v>
      </c>
      <c r="G118" t="inlineStr">
        <is>
          <t>primary</t>
        </is>
      </c>
      <c r="H118" t="inlineStr">
        <is>
          <t>AUTO_VESSEL</t>
        </is>
      </c>
      <c r="I118" t="inlineStr">
        <is>
          <t>是</t>
        </is>
      </c>
      <c r="J118" t="inlineStr">
        <is>
          <t>纳入</t>
        </is>
      </c>
      <c r="K118" t="n">
        <v>585.2079395085066</v>
      </c>
      <c r="L118">
        <f>导管母表_860!G118</f>
        <v/>
      </c>
      <c r="M118" t="inlineStr">
        <is>
          <t>视野内部</t>
        </is>
      </c>
      <c r="N118" t="inlineStr">
        <is>
          <t>纳入A/D/Dh；若有Pair_ID则纳入CWR</t>
        </is>
      </c>
      <c r="O118" t="inlineStr">
        <is>
          <t>自动管线检出的合格导管腔。</t>
        </is>
      </c>
      <c r="P118" t="inlineStr">
        <is>
          <t>auto_pipeline;review_png_green</t>
        </is>
      </c>
      <c r="R118" t="inlineStr">
        <is>
          <t>样品44</t>
        </is>
      </c>
    </row>
    <row r="119">
      <c r="A119" t="inlineStr">
        <is>
          <t>44(8)-V04</t>
        </is>
      </c>
      <c r="B119" t="inlineStr">
        <is>
          <t>44 (8).tif</t>
        </is>
      </c>
      <c r="C119" t="n">
        <v>456</v>
      </c>
      <c r="D119" t="n">
        <v>471</v>
      </c>
      <c r="E119" t="inlineStr">
        <is>
          <t>401,411,512,532</t>
        </is>
      </c>
      <c r="F119" t="n">
        <v>236</v>
      </c>
      <c r="G119" t="inlineStr">
        <is>
          <t>primary</t>
        </is>
      </c>
      <c r="H119" t="inlineStr">
        <is>
          <t>AUTO_VESSEL</t>
        </is>
      </c>
      <c r="I119" t="inlineStr">
        <is>
          <t>是</t>
        </is>
      </c>
      <c r="J119" t="inlineStr">
        <is>
          <t>纳入</t>
        </is>
      </c>
      <c r="K119" t="n">
        <v>475.0945179584121</v>
      </c>
      <c r="L119">
        <f>导管母表_860!G119</f>
        <v/>
      </c>
      <c r="M119" t="inlineStr">
        <is>
          <t>视野内部</t>
        </is>
      </c>
      <c r="N119" t="inlineStr">
        <is>
          <t>纳入A/D/Dh；若有Pair_ID则纳入CWR</t>
        </is>
      </c>
      <c r="O119" t="inlineStr">
        <is>
          <t>自动管线检出的合格导管腔。</t>
        </is>
      </c>
      <c r="P119" t="inlineStr">
        <is>
          <t>auto_pipeline;review_png_green</t>
        </is>
      </c>
      <c r="Q119" t="inlineStr">
        <is>
          <t>44(8)-P01</t>
        </is>
      </c>
      <c r="R119" t="inlineStr">
        <is>
          <t>样品44</t>
        </is>
      </c>
    </row>
    <row r="120">
      <c r="A120" t="inlineStr">
        <is>
          <t>44(8)-V05</t>
        </is>
      </c>
      <c r="B120" t="inlineStr">
        <is>
          <t>44 (8).tif</t>
        </is>
      </c>
      <c r="C120" t="n">
        <v>698</v>
      </c>
      <c r="D120" t="n">
        <v>98</v>
      </c>
      <c r="E120" t="inlineStr">
        <is>
          <t>650,63,747,134</t>
        </is>
      </c>
      <c r="F120" t="n">
        <v>63</v>
      </c>
      <c r="G120" t="inlineStr">
        <is>
          <t>primary</t>
        </is>
      </c>
      <c r="H120" t="inlineStr">
        <is>
          <t>AUTO_VESSEL</t>
        </is>
      </c>
      <c r="I120" t="inlineStr">
        <is>
          <t>是</t>
        </is>
      </c>
      <c r="J120" t="inlineStr">
        <is>
          <t>纳入</t>
        </is>
      </c>
      <c r="K120" t="n">
        <v>227.9773156899811</v>
      </c>
      <c r="L120">
        <f>导管母表_860!G120</f>
        <v/>
      </c>
      <c r="M120" t="inlineStr">
        <is>
          <t>视野内部</t>
        </is>
      </c>
      <c r="N120" t="inlineStr">
        <is>
          <t>纳入A/D/Dh；若有Pair_ID则纳入CWR</t>
        </is>
      </c>
      <c r="O120" t="inlineStr">
        <is>
          <t>自动管线检出的合格导管腔。</t>
        </is>
      </c>
      <c r="P120" t="inlineStr">
        <is>
          <t>auto_pipeline;review_png_green</t>
        </is>
      </c>
      <c r="R120" t="inlineStr">
        <is>
          <t>样品44</t>
        </is>
      </c>
    </row>
    <row r="121">
      <c r="A121" t="inlineStr">
        <is>
          <t>44(8)-V06</t>
        </is>
      </c>
      <c r="B121" t="inlineStr">
        <is>
          <t>44 (8).tif</t>
        </is>
      </c>
      <c r="C121" t="n">
        <v>544</v>
      </c>
      <c r="D121" t="n">
        <v>347</v>
      </c>
      <c r="E121" t="inlineStr">
        <is>
          <t>527,329,562,366</t>
        </is>
      </c>
      <c r="F121" t="n">
        <v>329</v>
      </c>
      <c r="G121" t="inlineStr">
        <is>
          <t>primary</t>
        </is>
      </c>
      <c r="H121" t="inlineStr">
        <is>
          <t>AUTO_VESSEL</t>
        </is>
      </c>
      <c r="I121" t="inlineStr">
        <is>
          <t>是</t>
        </is>
      </c>
      <c r="J121" t="inlineStr">
        <is>
          <t>纳入</t>
        </is>
      </c>
      <c r="K121" t="n">
        <v>18.12381852551985</v>
      </c>
      <c r="L121">
        <f>导管母表_860!G121</f>
        <v/>
      </c>
      <c r="M121" t="inlineStr">
        <is>
          <t>视野内部</t>
        </is>
      </c>
      <c r="N121" t="inlineStr">
        <is>
          <t>纳入A/D/Dh；若有Pair_ID则纳入CWR</t>
        </is>
      </c>
      <c r="O121" t="inlineStr">
        <is>
          <t>自动管线检出的合格导管腔。</t>
        </is>
      </c>
      <c r="P121" t="inlineStr">
        <is>
          <t>auto_pipeline;review_png_green</t>
        </is>
      </c>
      <c r="R121" t="inlineStr">
        <is>
          <t>样品44</t>
        </is>
      </c>
    </row>
    <row r="122">
      <c r="A122" t="inlineStr">
        <is>
          <t>45(1)-V01</t>
        </is>
      </c>
      <c r="B122" t="inlineStr">
        <is>
          <t>45 (1).tif</t>
        </is>
      </c>
      <c r="C122" t="n">
        <v>795</v>
      </c>
      <c r="D122" t="n">
        <v>165</v>
      </c>
      <c r="E122" t="inlineStr">
        <is>
          <t>732,109,859,222</t>
        </is>
      </c>
      <c r="F122" t="n">
        <v>109</v>
      </c>
      <c r="G122" t="inlineStr">
        <is>
          <t>primary</t>
        </is>
      </c>
      <c r="H122" t="inlineStr">
        <is>
          <t>AUTO_VESSEL</t>
        </is>
      </c>
      <c r="I122" t="inlineStr">
        <is>
          <t>是</t>
        </is>
      </c>
      <c r="J122" t="inlineStr">
        <is>
          <t>纳入</t>
        </is>
      </c>
      <c r="K122" t="n">
        <v>523.0387523629489</v>
      </c>
      <c r="L122">
        <f>导管母表_860!G122</f>
        <v/>
      </c>
      <c r="M122" t="inlineStr">
        <is>
          <t>视野内部</t>
        </is>
      </c>
      <c r="N122" t="inlineStr">
        <is>
          <t>纳入A/D/Dh；若有Pair_ID则纳入CWR</t>
        </is>
      </c>
      <c r="O122" t="inlineStr">
        <is>
          <t>自动管线检出的合格导管腔。</t>
        </is>
      </c>
      <c r="P122" t="inlineStr">
        <is>
          <t>auto_pipeline;review_png_green</t>
        </is>
      </c>
      <c r="R122" t="inlineStr">
        <is>
          <t>样品45</t>
        </is>
      </c>
    </row>
    <row r="123">
      <c r="A123" t="inlineStr">
        <is>
          <t>45(1)-V02</t>
        </is>
      </c>
      <c r="B123" t="inlineStr">
        <is>
          <t>45 (1).tif</t>
        </is>
      </c>
      <c r="C123" t="n">
        <v>578</v>
      </c>
      <c r="D123" t="n">
        <v>405</v>
      </c>
      <c r="E123" t="inlineStr">
        <is>
          <t>518,350,639,461</t>
        </is>
      </c>
      <c r="F123" t="n">
        <v>307</v>
      </c>
      <c r="G123" t="inlineStr">
        <is>
          <t>primary</t>
        </is>
      </c>
      <c r="H123" t="inlineStr">
        <is>
          <t>AUTO_VESSEL</t>
        </is>
      </c>
      <c r="I123" t="inlineStr">
        <is>
          <t>是</t>
        </is>
      </c>
      <c r="J123" t="inlineStr">
        <is>
          <t>纳入</t>
        </is>
      </c>
      <c r="K123" t="n">
        <v>489.3667296786389</v>
      </c>
      <c r="L123">
        <f>导管母表_860!G123</f>
        <v/>
      </c>
      <c r="M123" t="inlineStr">
        <is>
          <t>视野内部</t>
        </is>
      </c>
      <c r="N123" t="inlineStr">
        <is>
          <t>纳入A/D/Dh；若有Pair_ID则纳入CWR</t>
        </is>
      </c>
      <c r="O123" t="inlineStr">
        <is>
          <t>自动管线检出的合格导管腔。</t>
        </is>
      </c>
      <c r="P123" t="inlineStr">
        <is>
          <t>auto_pipeline;review_png_green</t>
        </is>
      </c>
      <c r="Q123" t="inlineStr">
        <is>
          <t>45(1)-P01</t>
        </is>
      </c>
      <c r="R123" t="inlineStr">
        <is>
          <t>样品45</t>
        </is>
      </c>
    </row>
    <row r="124">
      <c r="A124" t="inlineStr">
        <is>
          <t>45(1)-V03</t>
        </is>
      </c>
      <c r="B124" t="inlineStr">
        <is>
          <t>45 (1).tif</t>
        </is>
      </c>
      <c r="C124" t="n">
        <v>945</v>
      </c>
      <c r="D124" t="n">
        <v>188</v>
      </c>
      <c r="E124" t="inlineStr">
        <is>
          <t>887,143,1004,234</t>
        </is>
      </c>
      <c r="F124" t="n">
        <v>20</v>
      </c>
      <c r="G124" t="inlineStr">
        <is>
          <t>primary</t>
        </is>
      </c>
      <c r="H124" t="inlineStr">
        <is>
          <t>AUTO_VESSEL</t>
        </is>
      </c>
      <c r="I124" t="inlineStr">
        <is>
          <t>是</t>
        </is>
      </c>
      <c r="J124" t="inlineStr">
        <is>
          <t>纳入</t>
        </is>
      </c>
      <c r="K124" t="n">
        <v>385.0661625708885</v>
      </c>
      <c r="L124">
        <f>导管母表_860!G124</f>
        <v/>
      </c>
      <c r="M124" t="inlineStr">
        <is>
          <t>近边缘（&lt;25 px）</t>
        </is>
      </c>
      <c r="N124" t="inlineStr">
        <is>
          <t>纳入A/D/Dh；若有Pair_ID则纳入CWR</t>
        </is>
      </c>
      <c r="O124" t="inlineStr">
        <is>
          <t>自动管线检出的合格导管腔。</t>
        </is>
      </c>
      <c r="P124" t="inlineStr">
        <is>
          <t>auto_pipeline;review_png_green</t>
        </is>
      </c>
      <c r="Q124" t="inlineStr">
        <is>
          <t>45(1)-P02</t>
        </is>
      </c>
      <c r="R124" t="inlineStr">
        <is>
          <t>样品45</t>
        </is>
      </c>
    </row>
    <row r="125">
      <c r="A125" t="inlineStr">
        <is>
          <t>45(1)-V04</t>
        </is>
      </c>
      <c r="B125" t="inlineStr">
        <is>
          <t>45 (1).tif</t>
        </is>
      </c>
      <c r="C125" t="n">
        <v>959</v>
      </c>
      <c r="D125" t="n">
        <v>594</v>
      </c>
      <c r="E125" t="inlineStr">
        <is>
          <t>907,550,1012,639</t>
        </is>
      </c>
      <c r="F125" t="n">
        <v>12</v>
      </c>
      <c r="G125" t="inlineStr">
        <is>
          <t>primary</t>
        </is>
      </c>
      <c r="H125" t="inlineStr">
        <is>
          <t>AUTO_VESSEL</t>
        </is>
      </c>
      <c r="I125" t="inlineStr">
        <is>
          <t>是</t>
        </is>
      </c>
      <c r="J125" t="inlineStr">
        <is>
          <t>纳入</t>
        </is>
      </c>
      <c r="K125" t="n">
        <v>339.9338374291115</v>
      </c>
      <c r="L125">
        <f>导管母表_860!G125</f>
        <v/>
      </c>
      <c r="M125" t="inlineStr">
        <is>
          <t>近边缘（&lt;25 px）</t>
        </is>
      </c>
      <c r="N125" t="inlineStr">
        <is>
          <t>纳入A/D/Dh；若有Pair_ID则纳入CWR</t>
        </is>
      </c>
      <c r="O125" t="inlineStr">
        <is>
          <t>自动管线检出的合格导管腔。</t>
        </is>
      </c>
      <c r="P125" t="inlineStr">
        <is>
          <t>auto_pipeline;review_png_green</t>
        </is>
      </c>
      <c r="R125" t="inlineStr">
        <is>
          <t>样品45</t>
        </is>
      </c>
    </row>
    <row r="126">
      <c r="A126" t="inlineStr">
        <is>
          <t>45(1)-V05</t>
        </is>
      </c>
      <c r="B126" t="inlineStr">
        <is>
          <t>45 (1).tif</t>
        </is>
      </c>
      <c r="C126" t="n">
        <v>465</v>
      </c>
      <c r="D126" t="n">
        <v>351</v>
      </c>
      <c r="E126" t="inlineStr">
        <is>
          <t>423,306,508,397</t>
        </is>
      </c>
      <c r="F126" t="n">
        <v>306</v>
      </c>
      <c r="G126" t="inlineStr">
        <is>
          <t>primary</t>
        </is>
      </c>
      <c r="H126" t="inlineStr">
        <is>
          <t>AUTO_VESSEL</t>
        </is>
      </c>
      <c r="I126" t="inlineStr">
        <is>
          <t>是</t>
        </is>
      </c>
      <c r="J126" t="inlineStr">
        <is>
          <t>纳入</t>
        </is>
      </c>
      <c r="K126" t="n">
        <v>279.7258979206049</v>
      </c>
      <c r="L126">
        <f>导管母表_860!G126</f>
        <v/>
      </c>
      <c r="M126" t="inlineStr">
        <is>
          <t>视野内部</t>
        </is>
      </c>
      <c r="N126" t="inlineStr">
        <is>
          <t>纳入A/D/Dh；若有Pair_ID则纳入CWR</t>
        </is>
      </c>
      <c r="O126" t="inlineStr">
        <is>
          <t>自动管线检出的合格导管腔。</t>
        </is>
      </c>
      <c r="P126" t="inlineStr">
        <is>
          <t>auto_pipeline;review_png_green</t>
        </is>
      </c>
      <c r="Q126" t="inlineStr">
        <is>
          <t>45(1)-P01</t>
        </is>
      </c>
      <c r="R126" t="inlineStr">
        <is>
          <t>样品45</t>
        </is>
      </c>
    </row>
    <row r="127">
      <c r="A127" t="inlineStr">
        <is>
          <t>45(1)-V06</t>
        </is>
      </c>
      <c r="B127" t="inlineStr">
        <is>
          <t>45 (1).tif</t>
        </is>
      </c>
      <c r="C127" t="n">
        <v>833</v>
      </c>
      <c r="D127" t="n">
        <v>552</v>
      </c>
      <c r="E127" t="inlineStr">
        <is>
          <t>789,520,878,585</t>
        </is>
      </c>
      <c r="F127" t="n">
        <v>146</v>
      </c>
      <c r="G127" t="inlineStr">
        <is>
          <t>primary</t>
        </is>
      </c>
      <c r="H127" t="inlineStr">
        <is>
          <t>AUTO_VESSEL</t>
        </is>
      </c>
      <c r="I127" t="inlineStr">
        <is>
          <t>是</t>
        </is>
      </c>
      <c r="J127" t="inlineStr">
        <is>
          <t>纳入</t>
        </is>
      </c>
      <c r="K127" t="n">
        <v>208.648393194707</v>
      </c>
      <c r="L127">
        <f>导管母表_860!G127</f>
        <v/>
      </c>
      <c r="M127" t="inlineStr">
        <is>
          <t>视野内部</t>
        </is>
      </c>
      <c r="N127" t="inlineStr">
        <is>
          <t>纳入A/D/Dh；若有Pair_ID则纳入CWR</t>
        </is>
      </c>
      <c r="O127" t="inlineStr">
        <is>
          <t>自动管线检出的合格导管腔。</t>
        </is>
      </c>
      <c r="P127" t="inlineStr">
        <is>
          <t>auto_pipeline;review_png_green</t>
        </is>
      </c>
      <c r="R127" t="inlineStr">
        <is>
          <t>样品45</t>
        </is>
      </c>
    </row>
    <row r="128">
      <c r="A128" t="inlineStr">
        <is>
          <t>45(1)-V07</t>
        </is>
      </c>
      <c r="B128" t="inlineStr">
        <is>
          <t>45 (1).tif</t>
        </is>
      </c>
      <c r="C128" t="n">
        <v>566</v>
      </c>
      <c r="D128" t="n">
        <v>252</v>
      </c>
      <c r="E128" t="inlineStr">
        <is>
          <t>528,226,605,279</t>
        </is>
      </c>
      <c r="F128" t="n">
        <v>226</v>
      </c>
      <c r="G128" t="inlineStr">
        <is>
          <t>primary</t>
        </is>
      </c>
      <c r="H128" t="inlineStr">
        <is>
          <t>AUTO_VESSEL</t>
        </is>
      </c>
      <c r="I128" t="inlineStr">
        <is>
          <t>是</t>
        </is>
      </c>
      <c r="J128" t="inlineStr">
        <is>
          <t>纳入</t>
        </is>
      </c>
      <c r="K128" t="n">
        <v>136.507561436673</v>
      </c>
      <c r="L128">
        <f>导管母表_860!G128</f>
        <v/>
      </c>
      <c r="M128" t="inlineStr">
        <is>
          <t>视野内部</t>
        </is>
      </c>
      <c r="N128" t="inlineStr">
        <is>
          <t>纳入A/D/Dh；若有Pair_ID则纳入CWR</t>
        </is>
      </c>
      <c r="O128" t="inlineStr">
        <is>
          <t>自动管线检出的合格导管腔。</t>
        </is>
      </c>
      <c r="P128" t="inlineStr">
        <is>
          <t>auto_pipeline;review_png_green</t>
        </is>
      </c>
      <c r="R128" t="inlineStr">
        <is>
          <t>样品45</t>
        </is>
      </c>
    </row>
    <row r="129">
      <c r="A129" t="inlineStr">
        <is>
          <t>45(1)-V08</t>
        </is>
      </c>
      <c r="B129" t="inlineStr">
        <is>
          <t>45 (1).tif</t>
        </is>
      </c>
      <c r="C129" t="n">
        <v>981</v>
      </c>
      <c r="D129" t="n">
        <v>161</v>
      </c>
      <c r="E129" t="inlineStr">
        <is>
          <t>952,132,1011,191</t>
        </is>
      </c>
      <c r="F129" t="n">
        <v>13</v>
      </c>
      <c r="G129" t="inlineStr">
        <is>
          <t>primary</t>
        </is>
      </c>
      <c r="H129" t="inlineStr">
        <is>
          <t>AUTO_VESSEL</t>
        </is>
      </c>
      <c r="I129" t="inlineStr">
        <is>
          <t>是</t>
        </is>
      </c>
      <c r="J129" t="inlineStr">
        <is>
          <t>纳入</t>
        </is>
      </c>
      <c r="K129" t="n">
        <v>120.3213610586011</v>
      </c>
      <c r="L129">
        <f>导管母表_860!G129</f>
        <v/>
      </c>
      <c r="M129" t="inlineStr">
        <is>
          <t>近边缘（&lt;25 px）</t>
        </is>
      </c>
      <c r="N129" t="inlineStr">
        <is>
          <t>纳入A/D/Dh；若有Pair_ID则纳入CWR</t>
        </is>
      </c>
      <c r="O129" t="inlineStr">
        <is>
          <t>自动管线检出的合格导管腔。</t>
        </is>
      </c>
      <c r="P129" t="inlineStr">
        <is>
          <t>auto_pipeline;review_png_green</t>
        </is>
      </c>
      <c r="Q129" t="inlineStr">
        <is>
          <t>45(1)-P02</t>
        </is>
      </c>
      <c r="R129" t="inlineStr">
        <is>
          <t>样品45</t>
        </is>
      </c>
    </row>
    <row r="130">
      <c r="A130" t="inlineStr">
        <is>
          <t>45(2)-V01</t>
        </is>
      </c>
      <c r="B130" t="inlineStr">
        <is>
          <t>45 (2).tif</t>
        </is>
      </c>
      <c r="C130" t="n">
        <v>551</v>
      </c>
      <c r="D130" t="n">
        <v>390</v>
      </c>
      <c r="E130" t="inlineStr">
        <is>
          <t>467,314,636,467</t>
        </is>
      </c>
      <c r="F130" t="n">
        <v>301</v>
      </c>
      <c r="G130" t="inlineStr">
        <is>
          <t>primary</t>
        </is>
      </c>
      <c r="H130" t="inlineStr">
        <is>
          <t>AUTO_VESSEL</t>
        </is>
      </c>
      <c r="I130" t="inlineStr">
        <is>
          <t>是</t>
        </is>
      </c>
      <c r="J130" t="inlineStr">
        <is>
          <t>纳入</t>
        </is>
      </c>
      <c r="K130" t="n">
        <v>947.18809073724</v>
      </c>
      <c r="L130">
        <f>导管母表_860!G130</f>
        <v/>
      </c>
      <c r="M130" t="inlineStr">
        <is>
          <t>视野内部</t>
        </is>
      </c>
      <c r="N130" t="inlineStr">
        <is>
          <t>纳入A/D/Dh；若有Pair_ID则纳入CWR</t>
        </is>
      </c>
      <c r="O130" t="inlineStr">
        <is>
          <t>自动管线检出的合格导管腔。</t>
        </is>
      </c>
      <c r="P130" t="inlineStr">
        <is>
          <t>auto_pipeline;review_png_green</t>
        </is>
      </c>
      <c r="R130" t="inlineStr">
        <is>
          <t>样品45</t>
        </is>
      </c>
    </row>
    <row r="131">
      <c r="A131" t="inlineStr">
        <is>
          <t>45(2)-V02</t>
        </is>
      </c>
      <c r="B131" t="inlineStr">
        <is>
          <t>45 (2).tif</t>
        </is>
      </c>
      <c r="C131" t="n">
        <v>895</v>
      </c>
      <c r="D131" t="n">
        <v>497</v>
      </c>
      <c r="E131" t="inlineStr">
        <is>
          <t>826,437,965,558</t>
        </is>
      </c>
      <c r="F131" t="n">
        <v>59</v>
      </c>
      <c r="G131" t="inlineStr">
        <is>
          <t>primary</t>
        </is>
      </c>
      <c r="H131" t="inlineStr">
        <is>
          <t>AUTO_VESSEL</t>
        </is>
      </c>
      <c r="I131" t="inlineStr">
        <is>
          <t>是</t>
        </is>
      </c>
      <c r="J131" t="inlineStr">
        <is>
          <t>纳入</t>
        </is>
      </c>
      <c r="K131" t="n">
        <v>614.1776937618148</v>
      </c>
      <c r="L131">
        <f>导管母表_860!G131</f>
        <v/>
      </c>
      <c r="M131" t="inlineStr">
        <is>
          <t>视野内部</t>
        </is>
      </c>
      <c r="N131" t="inlineStr">
        <is>
          <t>纳入A/D/Dh；若有Pair_ID则纳入CWR</t>
        </is>
      </c>
      <c r="O131" t="inlineStr">
        <is>
          <t>自动管线检出的合格导管腔。</t>
        </is>
      </c>
      <c r="P131" t="inlineStr">
        <is>
          <t>auto_pipeline;review_png_green</t>
        </is>
      </c>
      <c r="R131" t="inlineStr">
        <is>
          <t>样品45</t>
        </is>
      </c>
    </row>
    <row r="132">
      <c r="A132" t="inlineStr">
        <is>
          <t>45(2)-V03</t>
        </is>
      </c>
      <c r="B132" t="inlineStr">
        <is>
          <t>45 (2).tif</t>
        </is>
      </c>
      <c r="C132" t="n">
        <v>391</v>
      </c>
      <c r="D132" t="n">
        <v>340</v>
      </c>
      <c r="E132" t="inlineStr">
        <is>
          <t>328,284,455,397</t>
        </is>
      </c>
      <c r="F132" t="n">
        <v>284</v>
      </c>
      <c r="G132" t="inlineStr">
        <is>
          <t>primary</t>
        </is>
      </c>
      <c r="H132" t="inlineStr">
        <is>
          <t>AUTO_VESSEL</t>
        </is>
      </c>
      <c r="I132" t="inlineStr">
        <is>
          <t>是</t>
        </is>
      </c>
      <c r="J132" t="inlineStr">
        <is>
          <t>纳入</t>
        </is>
      </c>
      <c r="K132" t="n">
        <v>523.3931947069943</v>
      </c>
      <c r="L132">
        <f>导管母表_860!G132</f>
        <v/>
      </c>
      <c r="M132" t="inlineStr">
        <is>
          <t>视野内部</t>
        </is>
      </c>
      <c r="N132" t="inlineStr">
        <is>
          <t>纳入A/D/Dh；若有Pair_ID则纳入CWR</t>
        </is>
      </c>
      <c r="O132" t="inlineStr">
        <is>
          <t>自动管线检出的合格导管腔。</t>
        </is>
      </c>
      <c r="P132" t="inlineStr">
        <is>
          <t>auto_pipeline;review_png_green</t>
        </is>
      </c>
      <c r="Q132" t="inlineStr">
        <is>
          <t>45(2)-P01</t>
        </is>
      </c>
      <c r="R132" t="inlineStr">
        <is>
          <t>样品45</t>
        </is>
      </c>
    </row>
    <row r="133">
      <c r="A133" t="inlineStr">
        <is>
          <t>45(2)-V04</t>
        </is>
      </c>
      <c r="B133" t="inlineStr">
        <is>
          <t>45 (2).tif</t>
        </is>
      </c>
      <c r="C133" t="n">
        <v>175</v>
      </c>
      <c r="D133" t="n">
        <v>579</v>
      </c>
      <c r="E133" t="inlineStr">
        <is>
          <t>115,524,236,635</t>
        </is>
      </c>
      <c r="F133" t="n">
        <v>115</v>
      </c>
      <c r="G133" t="inlineStr">
        <is>
          <t>primary</t>
        </is>
      </c>
      <c r="H133" t="inlineStr">
        <is>
          <t>AUTO_VESSEL</t>
        </is>
      </c>
      <c r="I133" t="inlineStr">
        <is>
          <t>是</t>
        </is>
      </c>
      <c r="J133" t="inlineStr">
        <is>
          <t>纳入</t>
        </is>
      </c>
      <c r="K133" t="n">
        <v>489.390359168242</v>
      </c>
      <c r="L133">
        <f>导管母表_860!G133</f>
        <v/>
      </c>
      <c r="M133" t="inlineStr">
        <is>
          <t>视野内部</t>
        </is>
      </c>
      <c r="N133" t="inlineStr">
        <is>
          <t>纳入A/D/Dh；若有Pair_ID则纳入CWR</t>
        </is>
      </c>
      <c r="O133" t="inlineStr">
        <is>
          <t>自动管线检出的合格导管腔。</t>
        </is>
      </c>
      <c r="P133" t="inlineStr">
        <is>
          <t>auto_pipeline;review_png_green</t>
        </is>
      </c>
      <c r="R133" t="inlineStr">
        <is>
          <t>样品45</t>
        </is>
      </c>
    </row>
    <row r="134">
      <c r="A134" t="inlineStr">
        <is>
          <t>45(2)-V05</t>
        </is>
      </c>
      <c r="B134" t="inlineStr">
        <is>
          <t>45 (2).tif</t>
        </is>
      </c>
      <c r="C134" t="n">
        <v>64</v>
      </c>
      <c r="D134" t="n">
        <v>522</v>
      </c>
      <c r="E134" t="inlineStr">
        <is>
          <t>27,487,102,558</t>
        </is>
      </c>
      <c r="F134" t="n">
        <v>27</v>
      </c>
      <c r="G134" t="inlineStr">
        <is>
          <t>primary</t>
        </is>
      </c>
      <c r="H134" t="inlineStr">
        <is>
          <t>AUTO_VESSEL</t>
        </is>
      </c>
      <c r="I134" t="inlineStr">
        <is>
          <t>是</t>
        </is>
      </c>
      <c r="J134" t="inlineStr">
        <is>
          <t>纳入</t>
        </is>
      </c>
      <c r="K134" t="n">
        <v>192.5330812854442</v>
      </c>
      <c r="L134">
        <f>导管母表_860!G134</f>
        <v/>
      </c>
      <c r="M134" t="inlineStr">
        <is>
          <t>视野内部</t>
        </is>
      </c>
      <c r="N134" t="inlineStr">
        <is>
          <t>纳入A/D/Dh；若有Pair_ID则纳入CWR</t>
        </is>
      </c>
      <c r="O134" t="inlineStr">
        <is>
          <t>自动管线检出的合格导管腔。</t>
        </is>
      </c>
      <c r="P134" t="inlineStr">
        <is>
          <t>auto_pipeline;review_png_green</t>
        </is>
      </c>
      <c r="R134" t="inlineStr">
        <is>
          <t>样品45</t>
        </is>
      </c>
    </row>
    <row r="135">
      <c r="A135" t="inlineStr">
        <is>
          <t>45(2)-V06</t>
        </is>
      </c>
      <c r="B135" t="inlineStr">
        <is>
          <t>45 (2).tif</t>
        </is>
      </c>
      <c r="C135" t="n">
        <v>165</v>
      </c>
      <c r="D135" t="n">
        <v>427</v>
      </c>
      <c r="E135" t="inlineStr">
        <is>
          <t>126,401,205,454</t>
        </is>
      </c>
      <c r="F135" t="n">
        <v>126</v>
      </c>
      <c r="G135" t="inlineStr">
        <is>
          <t>primary</t>
        </is>
      </c>
      <c r="H135" t="inlineStr">
        <is>
          <t>AUTO_VESSEL</t>
        </is>
      </c>
      <c r="I135" t="inlineStr">
        <is>
          <t>是</t>
        </is>
      </c>
      <c r="J135" t="inlineStr">
        <is>
          <t>纳入</t>
        </is>
      </c>
      <c r="K135" t="n">
        <v>143.4073724007561</v>
      </c>
      <c r="L135">
        <f>导管母表_860!G135</f>
        <v/>
      </c>
      <c r="M135" t="inlineStr">
        <is>
          <t>视野内部</t>
        </is>
      </c>
      <c r="N135" t="inlineStr">
        <is>
          <t>纳入A/D/Dh；若有Pair_ID则纳入CWR</t>
        </is>
      </c>
      <c r="O135" t="inlineStr">
        <is>
          <t>自动管线检出的合格导管腔。</t>
        </is>
      </c>
      <c r="P135" t="inlineStr">
        <is>
          <t>auto_pipeline;review_png_green</t>
        </is>
      </c>
      <c r="R135" t="inlineStr">
        <is>
          <t>样品45</t>
        </is>
      </c>
    </row>
    <row r="136">
      <c r="A136" t="inlineStr">
        <is>
          <t>45(2)-V07</t>
        </is>
      </c>
      <c r="B136" t="inlineStr">
        <is>
          <t>45 (2).tif</t>
        </is>
      </c>
      <c r="C136" t="n">
        <v>421</v>
      </c>
      <c r="D136" t="n">
        <v>372</v>
      </c>
      <c r="E136" t="inlineStr">
        <is>
          <t>394,350,449,395</t>
        </is>
      </c>
      <c r="F136" t="n">
        <v>350</v>
      </c>
      <c r="G136" t="inlineStr">
        <is>
          <t>primary</t>
        </is>
      </c>
      <c r="H136" t="inlineStr">
        <is>
          <t>AUTO_VESSEL</t>
        </is>
      </c>
      <c r="I136" t="inlineStr">
        <is>
          <t>是</t>
        </is>
      </c>
      <c r="J136" t="inlineStr">
        <is>
          <t>纳入</t>
        </is>
      </c>
      <c r="K136" t="n">
        <v>67.01323251417769</v>
      </c>
      <c r="L136">
        <f>导管母表_860!G136</f>
        <v/>
      </c>
      <c r="M136" t="inlineStr">
        <is>
          <t>视野内部</t>
        </is>
      </c>
      <c r="N136" t="inlineStr">
        <is>
          <t>纳入A/D/Dh；若有Pair_ID则纳入CWR</t>
        </is>
      </c>
      <c r="O136" t="inlineStr">
        <is>
          <t>自动管线检出的合格导管腔。</t>
        </is>
      </c>
      <c r="P136" t="inlineStr">
        <is>
          <t>auto_pipeline;review_png_green</t>
        </is>
      </c>
      <c r="Q136" t="inlineStr">
        <is>
          <t>45(2)-P01</t>
        </is>
      </c>
      <c r="R136" t="inlineStr">
        <is>
          <t>样品45</t>
        </is>
      </c>
    </row>
    <row r="137">
      <c r="A137" t="inlineStr">
        <is>
          <t>45(3)-V01</t>
        </is>
      </c>
      <c r="B137" t="inlineStr">
        <is>
          <t>45 (3).tif</t>
        </is>
      </c>
      <c r="C137" t="n">
        <v>612</v>
      </c>
      <c r="D137" t="n">
        <v>400</v>
      </c>
      <c r="E137" t="inlineStr">
        <is>
          <t>552,346,673,455</t>
        </is>
      </c>
      <c r="F137" t="n">
        <v>313</v>
      </c>
      <c r="G137" t="inlineStr">
        <is>
          <t>primary</t>
        </is>
      </c>
      <c r="H137" t="inlineStr">
        <is>
          <t>AUTO_VESSEL</t>
        </is>
      </c>
      <c r="I137" t="inlineStr">
        <is>
          <t>是</t>
        </is>
      </c>
      <c r="J137" t="inlineStr">
        <is>
          <t>纳入</t>
        </is>
      </c>
      <c r="K137" t="n">
        <v>480.9782608695652</v>
      </c>
      <c r="L137">
        <f>导管母表_860!G137</f>
        <v/>
      </c>
      <c r="M137" t="inlineStr">
        <is>
          <t>视野内部</t>
        </is>
      </c>
      <c r="N137" t="inlineStr">
        <is>
          <t>纳入A/D/Dh；若有Pair_ID则纳入CWR</t>
        </is>
      </c>
      <c r="O137" t="inlineStr">
        <is>
          <t>自动管线检出的合格导管腔。</t>
        </is>
      </c>
      <c r="P137" t="inlineStr">
        <is>
          <t>auto_pipeline;review_png_green</t>
        </is>
      </c>
      <c r="R137" t="inlineStr">
        <is>
          <t>样品45</t>
        </is>
      </c>
    </row>
    <row r="138">
      <c r="A138" t="inlineStr">
        <is>
          <t>45(3)-V02</t>
        </is>
      </c>
      <c r="B138" t="inlineStr">
        <is>
          <t>45 (3).tif</t>
        </is>
      </c>
      <c r="C138" t="n">
        <v>900</v>
      </c>
      <c r="D138" t="n">
        <v>147</v>
      </c>
      <c r="E138" t="inlineStr">
        <is>
          <t>837,96,964,199</t>
        </is>
      </c>
      <c r="F138" t="n">
        <v>60</v>
      </c>
      <c r="G138" t="inlineStr">
        <is>
          <t>primary</t>
        </is>
      </c>
      <c r="H138" t="inlineStr">
        <is>
          <t>AUTO_VESSEL</t>
        </is>
      </c>
      <c r="I138" t="inlineStr">
        <is>
          <t>是</t>
        </is>
      </c>
      <c r="J138" t="inlineStr">
        <is>
          <t>纳入</t>
        </is>
      </c>
      <c r="K138" t="n">
        <v>465.0283553875236</v>
      </c>
      <c r="L138">
        <f>导管母表_860!G138</f>
        <v/>
      </c>
      <c r="M138" t="inlineStr">
        <is>
          <t>视野内部</t>
        </is>
      </c>
      <c r="N138" t="inlineStr">
        <is>
          <t>纳入A/D/Dh；若有Pair_ID则纳入CWR</t>
        </is>
      </c>
      <c r="O138" t="inlineStr">
        <is>
          <t>自动管线检出的合格导管腔。</t>
        </is>
      </c>
      <c r="P138" t="inlineStr">
        <is>
          <t>auto_pipeline;review_png_green</t>
        </is>
      </c>
      <c r="R138" t="inlineStr">
        <is>
          <t>样品45</t>
        </is>
      </c>
    </row>
    <row r="139">
      <c r="A139" t="inlineStr">
        <is>
          <t>45(3)-V03</t>
        </is>
      </c>
      <c r="B139" t="inlineStr">
        <is>
          <t>45 (3).tif</t>
        </is>
      </c>
      <c r="C139" t="n">
        <v>467</v>
      </c>
      <c r="D139" t="n">
        <v>379</v>
      </c>
      <c r="E139" t="inlineStr">
        <is>
          <t>407,328,528,431</t>
        </is>
      </c>
      <c r="F139" t="n">
        <v>328</v>
      </c>
      <c r="G139" t="inlineStr">
        <is>
          <t>primary</t>
        </is>
      </c>
      <c r="H139" t="inlineStr">
        <is>
          <t>AUTO_VESSEL</t>
        </is>
      </c>
      <c r="I139" t="inlineStr">
        <is>
          <t>是</t>
        </is>
      </c>
      <c r="J139" t="inlineStr">
        <is>
          <t>纳入</t>
        </is>
      </c>
      <c r="K139" t="n">
        <v>441.9896030245746</v>
      </c>
      <c r="L139">
        <f>导管母表_860!G139</f>
        <v/>
      </c>
      <c r="M139" t="inlineStr">
        <is>
          <t>视野内部</t>
        </is>
      </c>
      <c r="N139" t="inlineStr">
        <is>
          <t>纳入A/D/Dh；若有Pair_ID则纳入CWR</t>
        </is>
      </c>
      <c r="O139" t="inlineStr">
        <is>
          <t>自动管线检出的合格导管腔。</t>
        </is>
      </c>
      <c r="P139" t="inlineStr">
        <is>
          <t>auto_pipeline;review_png_green</t>
        </is>
      </c>
      <c r="R139" t="inlineStr">
        <is>
          <t>样品45</t>
        </is>
      </c>
    </row>
    <row r="140">
      <c r="A140" t="inlineStr">
        <is>
          <t>45(3)-V04</t>
        </is>
      </c>
      <c r="B140" t="inlineStr">
        <is>
          <t>45 (3).tif</t>
        </is>
      </c>
      <c r="C140" t="n">
        <v>120</v>
      </c>
      <c r="D140" t="n">
        <v>556</v>
      </c>
      <c r="E140" t="inlineStr">
        <is>
          <t>67,516,174,597</t>
        </is>
      </c>
      <c r="F140" t="n">
        <v>67</v>
      </c>
      <c r="G140" t="inlineStr">
        <is>
          <t>primary</t>
        </is>
      </c>
      <c r="H140" t="inlineStr">
        <is>
          <t>AUTO_VESSEL</t>
        </is>
      </c>
      <c r="I140" t="inlineStr">
        <is>
          <t>是</t>
        </is>
      </c>
      <c r="J140" t="inlineStr">
        <is>
          <t>纳入</t>
        </is>
      </c>
      <c r="K140" t="n">
        <v>296.3137996219282</v>
      </c>
      <c r="L140">
        <f>导管母表_860!G140</f>
        <v/>
      </c>
      <c r="M140" t="inlineStr">
        <is>
          <t>视野内部</t>
        </is>
      </c>
      <c r="N140" t="inlineStr">
        <is>
          <t>纳入A/D/Dh；若有Pair_ID则纳入CWR</t>
        </is>
      </c>
      <c r="O140" t="inlineStr">
        <is>
          <t>自动管线检出的合格导管腔。</t>
        </is>
      </c>
      <c r="P140" t="inlineStr">
        <is>
          <t>auto_pipeline;review_png_green</t>
        </is>
      </c>
      <c r="R140" t="inlineStr">
        <is>
          <t>样品45</t>
        </is>
      </c>
    </row>
    <row r="141">
      <c r="A141" t="inlineStr">
        <is>
          <t>45(4)-V01</t>
        </is>
      </c>
      <c r="B141" t="inlineStr">
        <is>
          <t>45 (4).tif</t>
        </is>
      </c>
      <c r="C141" t="n">
        <v>254</v>
      </c>
      <c r="D141" t="n">
        <v>234</v>
      </c>
      <c r="E141" t="inlineStr">
        <is>
          <t>182,177,327,292</t>
        </is>
      </c>
      <c r="F141" t="n">
        <v>177</v>
      </c>
      <c r="G141" t="inlineStr">
        <is>
          <t>primary</t>
        </is>
      </c>
      <c r="H141" t="inlineStr">
        <is>
          <t>AUTO_VESSEL</t>
        </is>
      </c>
      <c r="I141" t="inlineStr">
        <is>
          <t>是</t>
        </is>
      </c>
      <c r="J141" t="inlineStr">
        <is>
          <t>纳入</t>
        </is>
      </c>
      <c r="K141" t="n">
        <v>595.9829867674858</v>
      </c>
      <c r="L141">
        <f>导管母表_860!G141</f>
        <v/>
      </c>
      <c r="M141" t="inlineStr">
        <is>
          <t>视野内部</t>
        </is>
      </c>
      <c r="N141" t="inlineStr">
        <is>
          <t>纳入A/D/Dh；若有Pair_ID则纳入CWR</t>
        </is>
      </c>
      <c r="O141" t="inlineStr">
        <is>
          <t>自动管线检出的合格导管腔。</t>
        </is>
      </c>
      <c r="P141" t="inlineStr">
        <is>
          <t>auto_pipeline;review_png_green</t>
        </is>
      </c>
      <c r="R141" t="inlineStr">
        <is>
          <t>样品45</t>
        </is>
      </c>
    </row>
    <row r="142">
      <c r="A142" t="inlineStr">
        <is>
          <t>45(4)-V02</t>
        </is>
      </c>
      <c r="B142" t="inlineStr">
        <is>
          <t>45 (4).tif</t>
        </is>
      </c>
      <c r="C142" t="n">
        <v>475</v>
      </c>
      <c r="D142" t="n">
        <v>389</v>
      </c>
      <c r="E142" t="inlineStr">
        <is>
          <t>406,338,545,441</t>
        </is>
      </c>
      <c r="F142" t="n">
        <v>327</v>
      </c>
      <c r="G142" t="inlineStr">
        <is>
          <t>primary</t>
        </is>
      </c>
      <c r="H142" t="inlineStr">
        <is>
          <t>AUTO_VESSEL</t>
        </is>
      </c>
      <c r="I142" t="inlineStr">
        <is>
          <t>是</t>
        </is>
      </c>
      <c r="J142" t="inlineStr">
        <is>
          <t>纳入</t>
        </is>
      </c>
      <c r="K142" t="n">
        <v>522.5425330812855</v>
      </c>
      <c r="L142">
        <f>导管母表_860!G142</f>
        <v/>
      </c>
      <c r="M142" t="inlineStr">
        <is>
          <t>视野内部</t>
        </is>
      </c>
      <c r="N142" t="inlineStr">
        <is>
          <t>纳入A/D/Dh；若有Pair_ID则纳入CWR</t>
        </is>
      </c>
      <c r="O142" t="inlineStr">
        <is>
          <t>自动管线检出的合格导管腔。</t>
        </is>
      </c>
      <c r="P142" t="inlineStr">
        <is>
          <t>auto_pipeline;review_png_green</t>
        </is>
      </c>
      <c r="Q142" t="inlineStr">
        <is>
          <t>45(4)-P01</t>
        </is>
      </c>
      <c r="R142" t="inlineStr">
        <is>
          <t>样品45</t>
        </is>
      </c>
    </row>
    <row r="143">
      <c r="A143" t="inlineStr">
        <is>
          <t>45(4)-V03</t>
        </is>
      </c>
      <c r="B143" t="inlineStr">
        <is>
          <t>45 (4).tif</t>
        </is>
      </c>
      <c r="C143" t="n">
        <v>225</v>
      </c>
      <c r="D143" t="n">
        <v>402</v>
      </c>
      <c r="E143" t="inlineStr">
        <is>
          <t>166,356,285,449</t>
        </is>
      </c>
      <c r="F143" t="n">
        <v>166</v>
      </c>
      <c r="G143" t="inlineStr">
        <is>
          <t>primary</t>
        </is>
      </c>
      <c r="H143" t="inlineStr">
        <is>
          <t>AUTO_VESSEL</t>
        </is>
      </c>
      <c r="I143" t="inlineStr">
        <is>
          <t>是</t>
        </is>
      </c>
      <c r="J143" t="inlineStr">
        <is>
          <t>纳入</t>
        </is>
      </c>
      <c r="K143" t="n">
        <v>400.8979206049149</v>
      </c>
      <c r="L143">
        <f>导管母表_860!G143</f>
        <v/>
      </c>
      <c r="M143" t="inlineStr">
        <is>
          <t>视野内部</t>
        </is>
      </c>
      <c r="N143" t="inlineStr">
        <is>
          <t>纳入A/D/Dh；若有Pair_ID则纳入CWR</t>
        </is>
      </c>
      <c r="O143" t="inlineStr">
        <is>
          <t>自动管线检出的合格导管腔。</t>
        </is>
      </c>
      <c r="P143" t="inlineStr">
        <is>
          <t>auto_pipeline;review_png_green</t>
        </is>
      </c>
      <c r="R143" t="inlineStr">
        <is>
          <t>样品45</t>
        </is>
      </c>
    </row>
    <row r="144">
      <c r="A144" t="inlineStr">
        <is>
          <t>45(4)-V04</t>
        </is>
      </c>
      <c r="B144" t="inlineStr">
        <is>
          <t>45 (4).tif</t>
        </is>
      </c>
      <c r="C144" t="n">
        <v>626</v>
      </c>
      <c r="D144" t="n">
        <v>390</v>
      </c>
      <c r="E144" t="inlineStr">
        <is>
          <t>571,346,682,435</t>
        </is>
      </c>
      <c r="F144" t="n">
        <v>333</v>
      </c>
      <c r="G144" t="inlineStr">
        <is>
          <t>primary</t>
        </is>
      </c>
      <c r="H144" t="inlineStr">
        <is>
          <t>AUTO_VESSEL</t>
        </is>
      </c>
      <c r="I144" t="inlineStr">
        <is>
          <t>是</t>
        </is>
      </c>
      <c r="J144" t="inlineStr">
        <is>
          <t>纳入</t>
        </is>
      </c>
      <c r="K144" t="n">
        <v>357.2778827977316</v>
      </c>
      <c r="L144">
        <f>导管母表_860!G144</f>
        <v/>
      </c>
      <c r="M144" t="inlineStr">
        <is>
          <t>视野内部</t>
        </is>
      </c>
      <c r="N144" t="inlineStr">
        <is>
          <t>纳入A/D/Dh；若有Pair_ID则纳入CWR</t>
        </is>
      </c>
      <c r="O144" t="inlineStr">
        <is>
          <t>自动管线检出的合格导管腔。</t>
        </is>
      </c>
      <c r="P144" t="inlineStr">
        <is>
          <t>auto_pipeline;review_png_green</t>
        </is>
      </c>
      <c r="R144" t="inlineStr">
        <is>
          <t>样品45</t>
        </is>
      </c>
    </row>
    <row r="145">
      <c r="A145" t="inlineStr">
        <is>
          <t>45(4)-V05</t>
        </is>
      </c>
      <c r="B145" t="inlineStr">
        <is>
          <t>45 (4).tif</t>
        </is>
      </c>
      <c r="C145" t="n">
        <v>106</v>
      </c>
      <c r="D145" t="n">
        <v>486</v>
      </c>
      <c r="E145" t="inlineStr">
        <is>
          <t>54,450,159,523</t>
        </is>
      </c>
      <c r="F145" t="n">
        <v>54</v>
      </c>
      <c r="G145" t="inlineStr">
        <is>
          <t>primary</t>
        </is>
      </c>
      <c r="H145" t="inlineStr">
        <is>
          <t>AUTO_VESSEL</t>
        </is>
      </c>
      <c r="I145" t="inlineStr">
        <is>
          <t>是</t>
        </is>
      </c>
      <c r="J145" t="inlineStr">
        <is>
          <t>纳入</t>
        </is>
      </c>
      <c r="K145" t="n">
        <v>278.3553875236295</v>
      </c>
      <c r="L145">
        <f>导管母表_860!G145</f>
        <v/>
      </c>
      <c r="M145" t="inlineStr">
        <is>
          <t>视野内部</t>
        </is>
      </c>
      <c r="N145" t="inlineStr">
        <is>
          <t>纳入A/D/Dh；若有Pair_ID则纳入CWR</t>
        </is>
      </c>
      <c r="O145" t="inlineStr">
        <is>
          <t>自动管线检出的合格导管腔。</t>
        </is>
      </c>
      <c r="P145" t="inlineStr">
        <is>
          <t>auto_pipeline;review_png_green</t>
        </is>
      </c>
      <c r="R145" t="inlineStr">
        <is>
          <t>样品45</t>
        </is>
      </c>
    </row>
    <row r="146">
      <c r="A146" t="inlineStr">
        <is>
          <t>45(4)-V06</t>
        </is>
      </c>
      <c r="B146" t="inlineStr">
        <is>
          <t>45 (4).tif</t>
        </is>
      </c>
      <c r="C146" t="n">
        <v>547</v>
      </c>
      <c r="D146" t="n">
        <v>444</v>
      </c>
      <c r="E146" t="inlineStr">
        <is>
          <t>514,412,581,477</t>
        </is>
      </c>
      <c r="F146" t="n">
        <v>291</v>
      </c>
      <c r="G146" t="inlineStr">
        <is>
          <t>primary</t>
        </is>
      </c>
      <c r="H146" t="inlineStr">
        <is>
          <t>AUTO_VESSEL</t>
        </is>
      </c>
      <c r="I146" t="inlineStr">
        <is>
          <t>是</t>
        </is>
      </c>
      <c r="J146" t="inlineStr">
        <is>
          <t>纳入</t>
        </is>
      </c>
      <c r="K146" t="n">
        <v>148.5822306238185</v>
      </c>
      <c r="L146">
        <f>导管母表_860!G146</f>
        <v/>
      </c>
      <c r="M146" t="inlineStr">
        <is>
          <t>视野内部</t>
        </is>
      </c>
      <c r="N146" t="inlineStr">
        <is>
          <t>纳入A/D/Dh；若有Pair_ID则纳入CWR</t>
        </is>
      </c>
      <c r="O146" t="inlineStr">
        <is>
          <t>自动管线检出的合格导管腔。</t>
        </is>
      </c>
      <c r="P146" t="inlineStr">
        <is>
          <t>auto_pipeline;review_png_green</t>
        </is>
      </c>
      <c r="Q146" t="inlineStr">
        <is>
          <t>45(4)-P01</t>
        </is>
      </c>
      <c r="R146" t="inlineStr">
        <is>
          <t>样品45</t>
        </is>
      </c>
    </row>
    <row r="147">
      <c r="A147" t="inlineStr">
        <is>
          <t>45(4)-V07</t>
        </is>
      </c>
      <c r="B147" t="inlineStr">
        <is>
          <t>45 (4).tif</t>
        </is>
      </c>
      <c r="C147" t="n">
        <v>902</v>
      </c>
      <c r="D147" t="n">
        <v>388</v>
      </c>
      <c r="E147" t="inlineStr">
        <is>
          <t>873,349,932,428</t>
        </is>
      </c>
      <c r="F147" t="n">
        <v>92</v>
      </c>
      <c r="G147" t="inlineStr">
        <is>
          <t>primary</t>
        </is>
      </c>
      <c r="H147" t="inlineStr">
        <is>
          <t>AUTO_VESSEL</t>
        </is>
      </c>
      <c r="I147" t="inlineStr">
        <is>
          <t>是</t>
        </is>
      </c>
      <c r="J147" t="inlineStr">
        <is>
          <t>纳入</t>
        </is>
      </c>
      <c r="K147" t="n">
        <v>137.4291115311909</v>
      </c>
      <c r="L147">
        <f>导管母表_860!G147</f>
        <v/>
      </c>
      <c r="M147" t="inlineStr">
        <is>
          <t>视野内部</t>
        </is>
      </c>
      <c r="N147" t="inlineStr">
        <is>
          <t>纳入A/D/Dh；若有Pair_ID则纳入CWR</t>
        </is>
      </c>
      <c r="O147" t="inlineStr">
        <is>
          <t>自动管线检出的合格导管腔。</t>
        </is>
      </c>
      <c r="P147" t="inlineStr">
        <is>
          <t>auto_pipeline;review_png_green</t>
        </is>
      </c>
      <c r="R147" t="inlineStr">
        <is>
          <t>样品45</t>
        </is>
      </c>
    </row>
    <row r="148">
      <c r="A148" t="inlineStr">
        <is>
          <t>45(4)-V08</t>
        </is>
      </c>
      <c r="B148" t="inlineStr">
        <is>
          <t>45 (4).tif</t>
        </is>
      </c>
      <c r="C148" t="n">
        <v>105</v>
      </c>
      <c r="D148" t="n">
        <v>417</v>
      </c>
      <c r="E148" t="inlineStr">
        <is>
          <t>61,395,150,440</t>
        </is>
      </c>
      <c r="F148" t="n">
        <v>61</v>
      </c>
      <c r="G148" t="inlineStr">
        <is>
          <t>primary</t>
        </is>
      </c>
      <c r="H148" t="inlineStr">
        <is>
          <t>AUTO_VESSEL</t>
        </is>
      </c>
      <c r="I148" t="inlineStr">
        <is>
          <t>是</t>
        </is>
      </c>
      <c r="J148" t="inlineStr">
        <is>
          <t>纳入</t>
        </is>
      </c>
      <c r="K148" t="n">
        <v>116.5406427221172</v>
      </c>
      <c r="L148">
        <f>导管母表_860!G148</f>
        <v/>
      </c>
      <c r="M148" t="inlineStr">
        <is>
          <t>视野内部</t>
        </is>
      </c>
      <c r="N148" t="inlineStr">
        <is>
          <t>纳入A/D/Dh；若有Pair_ID则纳入CWR</t>
        </is>
      </c>
      <c r="O148" t="inlineStr">
        <is>
          <t>自动管线检出的合格导管腔。</t>
        </is>
      </c>
      <c r="P148" t="inlineStr">
        <is>
          <t>auto_pipeline;review_png_green</t>
        </is>
      </c>
      <c r="R148" t="inlineStr">
        <is>
          <t>样品45</t>
        </is>
      </c>
    </row>
    <row r="149">
      <c r="A149" t="inlineStr">
        <is>
          <t>45(5)-V01</t>
        </is>
      </c>
      <c r="B149" t="inlineStr">
        <is>
          <t>45 (5).tif</t>
        </is>
      </c>
      <c r="C149" t="n">
        <v>560</v>
      </c>
      <c r="D149" t="n">
        <v>432</v>
      </c>
      <c r="E149" t="inlineStr">
        <is>
          <t>496,343,625,522</t>
        </is>
      </c>
      <c r="F149" t="n">
        <v>246</v>
      </c>
      <c r="G149" t="inlineStr">
        <is>
          <t>primary</t>
        </is>
      </c>
      <c r="H149" t="inlineStr">
        <is>
          <t>AUTO_VESSEL</t>
        </is>
      </c>
      <c r="I149" t="inlineStr">
        <is>
          <t>是</t>
        </is>
      </c>
      <c r="J149" t="inlineStr">
        <is>
          <t>纳入</t>
        </is>
      </c>
      <c r="K149" t="n">
        <v>845.9357277882798</v>
      </c>
      <c r="L149">
        <f>导管母表_860!G149</f>
        <v/>
      </c>
      <c r="M149" t="inlineStr">
        <is>
          <t>视野内部</t>
        </is>
      </c>
      <c r="N149" t="inlineStr">
        <is>
          <t>纳入A/D/Dh；若有Pair_ID则纳入CWR</t>
        </is>
      </c>
      <c r="O149" t="inlineStr">
        <is>
          <t>自动管线检出的合格导管腔。</t>
        </is>
      </c>
      <c r="P149" t="inlineStr">
        <is>
          <t>auto_pipeline;review_png_green</t>
        </is>
      </c>
      <c r="Q149" t="inlineStr">
        <is>
          <t>45(5)-P01</t>
        </is>
      </c>
      <c r="R149" t="inlineStr">
        <is>
          <t>样品45</t>
        </is>
      </c>
    </row>
    <row r="150">
      <c r="A150" t="inlineStr">
        <is>
          <t>45(5)-V02</t>
        </is>
      </c>
      <c r="B150" t="inlineStr">
        <is>
          <t>45 (5).tif</t>
        </is>
      </c>
      <c r="C150" t="n">
        <v>594</v>
      </c>
      <c r="D150" t="n">
        <v>388</v>
      </c>
      <c r="E150" t="inlineStr">
        <is>
          <t>522,323,667,454</t>
        </is>
      </c>
      <c r="F150" t="n">
        <v>314</v>
      </c>
      <c r="G150" t="inlineStr">
        <is>
          <t>primary</t>
        </is>
      </c>
      <c r="H150" t="inlineStr">
        <is>
          <t>AUTO_VESSEL</t>
        </is>
      </c>
      <c r="I150" t="inlineStr">
        <is>
          <t>是</t>
        </is>
      </c>
      <c r="J150" t="inlineStr">
        <is>
          <t>纳入</t>
        </is>
      </c>
      <c r="K150" t="n">
        <v>695.0378071833649</v>
      </c>
      <c r="L150">
        <f>导管母表_860!G150</f>
        <v/>
      </c>
      <c r="M150" t="inlineStr">
        <is>
          <t>视野内部</t>
        </is>
      </c>
      <c r="N150" t="inlineStr">
        <is>
          <t>纳入A/D/Dh；若有Pair_ID则纳入CWR</t>
        </is>
      </c>
      <c r="O150" t="inlineStr">
        <is>
          <t>自动管线检出的合格导管腔。</t>
        </is>
      </c>
      <c r="P150" t="inlineStr">
        <is>
          <t>auto_pipeline;review_png_green</t>
        </is>
      </c>
      <c r="Q150" t="inlineStr">
        <is>
          <t>45(5)-P01</t>
        </is>
      </c>
      <c r="R150" t="inlineStr">
        <is>
          <t>样品45</t>
        </is>
      </c>
    </row>
    <row r="151">
      <c r="A151" t="inlineStr">
        <is>
          <t>45(5)-V03</t>
        </is>
      </c>
      <c r="B151" t="inlineStr">
        <is>
          <t>45 (5).tif</t>
        </is>
      </c>
      <c r="C151" t="n">
        <v>433</v>
      </c>
      <c r="D151" t="n">
        <v>336</v>
      </c>
      <c r="E151" t="inlineStr">
        <is>
          <t>367,274,500,399</t>
        </is>
      </c>
      <c r="F151" t="n">
        <v>274</v>
      </c>
      <c r="G151" t="inlineStr">
        <is>
          <t>primary</t>
        </is>
      </c>
      <c r="H151" t="inlineStr">
        <is>
          <t>AUTO_VESSEL</t>
        </is>
      </c>
      <c r="I151" t="inlineStr">
        <is>
          <t>是</t>
        </is>
      </c>
      <c r="J151" t="inlineStr">
        <is>
          <t>纳入</t>
        </is>
      </c>
      <c r="K151" t="n">
        <v>604.796786389414</v>
      </c>
      <c r="L151">
        <f>导管母表_860!G151</f>
        <v/>
      </c>
      <c r="M151" t="inlineStr">
        <is>
          <t>视野内部</t>
        </is>
      </c>
      <c r="N151" t="inlineStr">
        <is>
          <t>纳入A/D/Dh；若有Pair_ID则纳入CWR</t>
        </is>
      </c>
      <c r="O151" t="inlineStr">
        <is>
          <t>自动管线检出的合格导管腔。</t>
        </is>
      </c>
      <c r="P151" t="inlineStr">
        <is>
          <t>auto_pipeline;review_png_green</t>
        </is>
      </c>
      <c r="R151" t="inlineStr">
        <is>
          <t>样品45</t>
        </is>
      </c>
    </row>
    <row r="152">
      <c r="A152" t="inlineStr">
        <is>
          <t>45(5)-V04</t>
        </is>
      </c>
      <c r="B152" t="inlineStr">
        <is>
          <t>45 (5).tif</t>
        </is>
      </c>
      <c r="C152" t="n">
        <v>978</v>
      </c>
      <c r="D152" t="n">
        <v>495</v>
      </c>
      <c r="E152" t="inlineStr">
        <is>
          <t>954,453,1003,538</t>
        </is>
      </c>
      <c r="F152" t="n">
        <v>21</v>
      </c>
      <c r="G152" t="inlineStr">
        <is>
          <t>primary</t>
        </is>
      </c>
      <c r="H152" t="inlineStr">
        <is>
          <t>AUTO_VESSEL</t>
        </is>
      </c>
      <c r="I152" t="inlineStr">
        <is>
          <t>是</t>
        </is>
      </c>
      <c r="J152" t="inlineStr">
        <is>
          <t>纳入</t>
        </is>
      </c>
      <c r="K152" t="n">
        <v>148.9603024574669</v>
      </c>
      <c r="L152">
        <f>导管母表_860!G152</f>
        <v/>
      </c>
      <c r="M152" t="inlineStr">
        <is>
          <t>近边缘（&lt;25 px）</t>
        </is>
      </c>
      <c r="N152" t="inlineStr">
        <is>
          <t>纳入A/D/Dh；若有Pair_ID则纳入CWR</t>
        </is>
      </c>
      <c r="O152" t="inlineStr">
        <is>
          <t>自动管线检出的合格导管腔。</t>
        </is>
      </c>
      <c r="P152" t="inlineStr">
        <is>
          <t>auto_pipeline;review_png_green</t>
        </is>
      </c>
      <c r="R152" t="inlineStr">
        <is>
          <t>样品45</t>
        </is>
      </c>
    </row>
    <row r="153">
      <c r="A153" t="inlineStr">
        <is>
          <t>45(6)-V01</t>
        </is>
      </c>
      <c r="B153" t="inlineStr">
        <is>
          <t>45 (6).tif</t>
        </is>
      </c>
      <c r="C153" t="n">
        <v>415</v>
      </c>
      <c r="D153" t="n">
        <v>346</v>
      </c>
      <c r="E153" t="inlineStr">
        <is>
          <t>346,298,485,395</t>
        </is>
      </c>
      <c r="F153" t="n">
        <v>298</v>
      </c>
      <c r="G153" t="inlineStr">
        <is>
          <t>primary</t>
        </is>
      </c>
      <c r="H153" t="inlineStr">
        <is>
          <t>AUTO_VESSEL</t>
        </is>
      </c>
      <c r="I153" t="inlineStr">
        <is>
          <t>是</t>
        </is>
      </c>
      <c r="J153" t="inlineStr">
        <is>
          <t>纳入</t>
        </is>
      </c>
      <c r="K153" t="n">
        <v>488.8705103969754</v>
      </c>
      <c r="L153">
        <f>导管母表_860!G153</f>
        <v/>
      </c>
      <c r="M153" t="inlineStr">
        <is>
          <t>视野内部</t>
        </is>
      </c>
      <c r="N153" t="inlineStr">
        <is>
          <t>纳入A/D/Dh；若有Pair_ID则纳入CWR</t>
        </is>
      </c>
      <c r="O153" t="inlineStr">
        <is>
          <t>自动管线检出的合格导管腔。</t>
        </is>
      </c>
      <c r="P153" t="inlineStr">
        <is>
          <t>auto_pipeline;review_png_green</t>
        </is>
      </c>
      <c r="Q153" t="inlineStr">
        <is>
          <t>45(6)-P01</t>
        </is>
      </c>
      <c r="R153" t="inlineStr">
        <is>
          <t>样品45</t>
        </is>
      </c>
    </row>
    <row r="154">
      <c r="A154" t="inlineStr">
        <is>
          <t>45(6)-V02</t>
        </is>
      </c>
      <c r="B154" t="inlineStr">
        <is>
          <t>45 (6).tif</t>
        </is>
      </c>
      <c r="C154" t="n">
        <v>574</v>
      </c>
      <c r="D154" t="n">
        <v>366</v>
      </c>
      <c r="E154" t="inlineStr">
        <is>
          <t>507,328,642,405</t>
        </is>
      </c>
      <c r="F154" t="n">
        <v>328</v>
      </c>
      <c r="G154" t="inlineStr">
        <is>
          <t>primary</t>
        </is>
      </c>
      <c r="H154" t="inlineStr">
        <is>
          <t>AUTO_VESSEL</t>
        </is>
      </c>
      <c r="I154" t="inlineStr">
        <is>
          <t>是</t>
        </is>
      </c>
      <c r="J154" t="inlineStr">
        <is>
          <t>纳入</t>
        </is>
      </c>
      <c r="K154" t="n">
        <v>363.6578449905482</v>
      </c>
      <c r="L154">
        <f>导管母表_860!G154</f>
        <v/>
      </c>
      <c r="M154" t="inlineStr">
        <is>
          <t>视野内部</t>
        </is>
      </c>
      <c r="N154" t="inlineStr">
        <is>
          <t>纳入A/D/Dh；若有Pair_ID则纳入CWR</t>
        </is>
      </c>
      <c r="O154" t="inlineStr">
        <is>
          <t>自动管线检出的合格导管腔。</t>
        </is>
      </c>
      <c r="P154" t="inlineStr">
        <is>
          <t>auto_pipeline;review_png_green</t>
        </is>
      </c>
      <c r="Q154" t="inlineStr">
        <is>
          <t>45(6)-P01</t>
        </is>
      </c>
      <c r="R154" t="inlineStr">
        <is>
          <t>样品45</t>
        </is>
      </c>
    </row>
    <row r="155">
      <c r="A155" t="inlineStr">
        <is>
          <t>45(7)-V01</t>
        </is>
      </c>
      <c r="B155" t="inlineStr">
        <is>
          <t>45 (7).tif</t>
        </is>
      </c>
      <c r="C155" t="n">
        <v>507</v>
      </c>
      <c r="D155" t="n">
        <v>468</v>
      </c>
      <c r="E155" t="inlineStr">
        <is>
          <t>447,395,568,542</t>
        </is>
      </c>
      <c r="F155" t="n">
        <v>226</v>
      </c>
      <c r="G155" t="inlineStr">
        <is>
          <t>primary</t>
        </is>
      </c>
      <c r="H155" t="inlineStr">
        <is>
          <t>AUTO_VESSEL</t>
        </is>
      </c>
      <c r="I155" t="inlineStr">
        <is>
          <t>是</t>
        </is>
      </c>
      <c r="J155" t="inlineStr">
        <is>
          <t>纳入</t>
        </is>
      </c>
      <c r="K155" t="n">
        <v>650.2835538752363</v>
      </c>
      <c r="L155">
        <f>导管母表_860!G155</f>
        <v/>
      </c>
      <c r="M155" t="inlineStr">
        <is>
          <t>视野内部</t>
        </is>
      </c>
      <c r="N155" t="inlineStr">
        <is>
          <t>纳入A/D/Dh；若有Pair_ID则纳入CWR</t>
        </is>
      </c>
      <c r="O155" t="inlineStr">
        <is>
          <t>自动管线检出的合格导管腔。</t>
        </is>
      </c>
      <c r="P155" t="inlineStr">
        <is>
          <t>auto_pipeline;review_png_green</t>
        </is>
      </c>
      <c r="Q155" t="inlineStr">
        <is>
          <t>45(7)-P01</t>
        </is>
      </c>
      <c r="R155" t="inlineStr">
        <is>
          <t>样品45</t>
        </is>
      </c>
    </row>
    <row r="156">
      <c r="A156" t="inlineStr">
        <is>
          <t>45(7)-V02</t>
        </is>
      </c>
      <c r="B156" t="inlineStr">
        <is>
          <t>45 (7).tif</t>
        </is>
      </c>
      <c r="C156" t="n">
        <v>529</v>
      </c>
      <c r="D156" t="n">
        <v>319</v>
      </c>
      <c r="E156" t="inlineStr">
        <is>
          <t>483,274,576,365</t>
        </is>
      </c>
      <c r="F156" t="n">
        <v>274</v>
      </c>
      <c r="G156" t="inlineStr">
        <is>
          <t>primary</t>
        </is>
      </c>
      <c r="H156" t="inlineStr">
        <is>
          <t>AUTO_VESSEL</t>
        </is>
      </c>
      <c r="I156" t="inlineStr">
        <is>
          <t>是</t>
        </is>
      </c>
      <c r="J156" t="inlineStr">
        <is>
          <t>纳入</t>
        </is>
      </c>
      <c r="K156" t="n">
        <v>306.8289224952741</v>
      </c>
      <c r="L156">
        <f>导管母表_860!G156</f>
        <v/>
      </c>
      <c r="M156" t="inlineStr">
        <is>
          <t>视野内部</t>
        </is>
      </c>
      <c r="N156" t="inlineStr">
        <is>
          <t>纳入A/D/Dh；若有Pair_ID则纳入CWR</t>
        </is>
      </c>
      <c r="O156" t="inlineStr">
        <is>
          <t>自动管线检出的合格导管腔。</t>
        </is>
      </c>
      <c r="P156" t="inlineStr">
        <is>
          <t>auto_pipeline;review_png_green</t>
        </is>
      </c>
      <c r="Q156" t="inlineStr">
        <is>
          <t>45(7)-P01</t>
        </is>
      </c>
      <c r="R156" t="inlineStr">
        <is>
          <t>样品45</t>
        </is>
      </c>
    </row>
    <row r="157">
      <c r="A157" t="inlineStr">
        <is>
          <t>45(8)-V01</t>
        </is>
      </c>
      <c r="B157" t="inlineStr">
        <is>
          <t>45 (8).tif</t>
        </is>
      </c>
      <c r="C157" t="n">
        <v>427</v>
      </c>
      <c r="D157" t="n">
        <v>459</v>
      </c>
      <c r="E157" t="inlineStr">
        <is>
          <t>351,383,504,536</t>
        </is>
      </c>
      <c r="F157" t="n">
        <v>232</v>
      </c>
      <c r="G157" t="inlineStr">
        <is>
          <t>primary</t>
        </is>
      </c>
      <c r="H157" t="inlineStr">
        <is>
          <t>AUTO_VESSEL</t>
        </is>
      </c>
      <c r="I157" t="inlineStr">
        <is>
          <t>是</t>
        </is>
      </c>
      <c r="J157" t="inlineStr">
        <is>
          <t>纳入</t>
        </is>
      </c>
      <c r="K157" t="n">
        <v>853.2372400756144</v>
      </c>
      <c r="L157">
        <f>导管母表_860!G157</f>
        <v/>
      </c>
      <c r="M157" t="inlineStr">
        <is>
          <t>视野内部</t>
        </is>
      </c>
      <c r="N157" t="inlineStr">
        <is>
          <t>纳入A/D/Dh；若有Pair_ID则纳入CWR</t>
        </is>
      </c>
      <c r="O157" t="inlineStr">
        <is>
          <t>自动管线检出的合格导管腔。</t>
        </is>
      </c>
      <c r="P157" t="inlineStr">
        <is>
          <t>auto_pipeline;review_png_green</t>
        </is>
      </c>
      <c r="R157" t="inlineStr">
        <is>
          <t>样品45</t>
        </is>
      </c>
    </row>
    <row r="158">
      <c r="A158" t="inlineStr">
        <is>
          <t>45(8)-V02</t>
        </is>
      </c>
      <c r="B158" t="inlineStr">
        <is>
          <t>45 (8).tif</t>
        </is>
      </c>
      <c r="C158" t="n">
        <v>519</v>
      </c>
      <c r="D158" t="n">
        <v>303</v>
      </c>
      <c r="E158" t="inlineStr">
        <is>
          <t>446,228,593,379</t>
        </is>
      </c>
      <c r="F158" t="n">
        <v>228</v>
      </c>
      <c r="G158" t="inlineStr">
        <is>
          <t>primary</t>
        </is>
      </c>
      <c r="H158" t="inlineStr">
        <is>
          <t>AUTO_VESSEL</t>
        </is>
      </c>
      <c r="I158" t="inlineStr">
        <is>
          <t>是</t>
        </is>
      </c>
      <c r="J158" t="inlineStr">
        <is>
          <t>纳入</t>
        </is>
      </c>
      <c r="K158" t="n">
        <v>793.4310018903592</v>
      </c>
      <c r="L158">
        <f>导管母表_860!G158</f>
        <v/>
      </c>
      <c r="M158" t="inlineStr">
        <is>
          <t>视野内部</t>
        </is>
      </c>
      <c r="N158" t="inlineStr">
        <is>
          <t>纳入A/D/Dh；若有Pair_ID则纳入CWR</t>
        </is>
      </c>
      <c r="O158" t="inlineStr">
        <is>
          <t>自动管线检出的合格导管腔。</t>
        </is>
      </c>
      <c r="P158" t="inlineStr">
        <is>
          <t>auto_pipeline;review_png_green</t>
        </is>
      </c>
      <c r="R158" t="inlineStr">
        <is>
          <t>样品45</t>
        </is>
      </c>
    </row>
    <row r="159">
      <c r="A159" t="inlineStr">
        <is>
          <t>45(8)-V03</t>
        </is>
      </c>
      <c r="B159" t="inlineStr">
        <is>
          <t>45 (8).tif</t>
        </is>
      </c>
      <c r="C159" t="n">
        <v>129</v>
      </c>
      <c r="D159" t="n">
        <v>542</v>
      </c>
      <c r="E159" t="inlineStr">
        <is>
          <t>77,498,182,587</t>
        </is>
      </c>
      <c r="F159" t="n">
        <v>77</v>
      </c>
      <c r="G159" t="inlineStr">
        <is>
          <t>primary</t>
        </is>
      </c>
      <c r="H159" t="inlineStr">
        <is>
          <t>AUTO_VESSEL</t>
        </is>
      </c>
      <c r="I159" t="inlineStr">
        <is>
          <t>是</t>
        </is>
      </c>
      <c r="J159" t="inlineStr">
        <is>
          <t>纳入</t>
        </is>
      </c>
      <c r="K159" t="n">
        <v>297.8024574669187</v>
      </c>
      <c r="L159">
        <f>导管母表_860!G159</f>
        <v/>
      </c>
      <c r="M159" t="inlineStr">
        <is>
          <t>视野内部</t>
        </is>
      </c>
      <c r="N159" t="inlineStr">
        <is>
          <t>纳入A/D/Dh；若有Pair_ID则纳入CWR</t>
        </is>
      </c>
      <c r="O159" t="inlineStr">
        <is>
          <t>自动管线检出的合格导管腔。</t>
        </is>
      </c>
      <c r="P159" t="inlineStr">
        <is>
          <t>auto_pipeline;review_png_green</t>
        </is>
      </c>
      <c r="R159" t="inlineStr">
        <is>
          <t>样品45</t>
        </is>
      </c>
    </row>
    <row r="160">
      <c r="A160" t="inlineStr">
        <is>
          <t>45(8)-V04</t>
        </is>
      </c>
      <c r="B160" t="inlineStr">
        <is>
          <t>45 (8).tif</t>
        </is>
      </c>
      <c r="C160" t="n">
        <v>317</v>
      </c>
      <c r="D160" t="n">
        <v>327</v>
      </c>
      <c r="E160" t="inlineStr">
        <is>
          <t>280,285,355,370</t>
        </is>
      </c>
      <c r="F160" t="n">
        <v>280</v>
      </c>
      <c r="G160" t="inlineStr">
        <is>
          <t>primary</t>
        </is>
      </c>
      <c r="H160" t="inlineStr">
        <is>
          <t>AUTO_VESSEL</t>
        </is>
      </c>
      <c r="I160" t="inlineStr">
        <is>
          <t>是</t>
        </is>
      </c>
      <c r="J160" t="inlineStr">
        <is>
          <t>纳入</t>
        </is>
      </c>
      <c r="K160" t="n">
        <v>230.1512287334594</v>
      </c>
      <c r="L160">
        <f>导管母表_860!G160</f>
        <v/>
      </c>
      <c r="M160" t="inlineStr">
        <is>
          <t>视野内部</t>
        </is>
      </c>
      <c r="N160" t="inlineStr">
        <is>
          <t>纳入A/D/Dh；若有Pair_ID则纳入CWR</t>
        </is>
      </c>
      <c r="O160" t="inlineStr">
        <is>
          <t>自动管线检出的合格导管腔。</t>
        </is>
      </c>
      <c r="P160" t="inlineStr">
        <is>
          <t>auto_pipeline;review_png_green</t>
        </is>
      </c>
      <c r="R160" t="inlineStr">
        <is>
          <t>样品45</t>
        </is>
      </c>
    </row>
    <row r="161">
      <c r="A161" t="inlineStr">
        <is>
          <t>46(1)-V01</t>
        </is>
      </c>
      <c r="B161" t="inlineStr">
        <is>
          <t>46 (1).tif</t>
        </is>
      </c>
      <c r="C161" t="n">
        <v>89</v>
      </c>
      <c r="D161" t="n">
        <v>277</v>
      </c>
      <c r="E161" t="inlineStr">
        <is>
          <t>20,223,159,332</t>
        </is>
      </c>
      <c r="F161" t="n">
        <v>20</v>
      </c>
      <c r="G161" t="inlineStr">
        <is>
          <t>primary</t>
        </is>
      </c>
      <c r="H161" t="inlineStr">
        <is>
          <t>AUTO_VESSEL</t>
        </is>
      </c>
      <c r="I161" t="inlineStr">
        <is>
          <t>是</t>
        </is>
      </c>
      <c r="J161" t="inlineStr">
        <is>
          <t>纳入</t>
        </is>
      </c>
      <c r="K161" t="n">
        <v>537.476370510397</v>
      </c>
      <c r="L161">
        <f>导管母表_860!G161</f>
        <v/>
      </c>
      <c r="M161" t="inlineStr">
        <is>
          <t>近边缘（&lt;25 px）</t>
        </is>
      </c>
      <c r="N161" t="inlineStr">
        <is>
          <t>纳入A/D/Dh；若有Pair_ID则纳入CWR</t>
        </is>
      </c>
      <c r="O161" t="inlineStr">
        <is>
          <t>自动管线检出的合格导管腔。</t>
        </is>
      </c>
      <c r="P161" t="inlineStr">
        <is>
          <t>auto_pipeline;review_png_green</t>
        </is>
      </c>
      <c r="R161" t="inlineStr">
        <is>
          <t>样品46</t>
        </is>
      </c>
    </row>
    <row r="162">
      <c r="A162" t="inlineStr">
        <is>
          <t>46(1)-V02</t>
        </is>
      </c>
      <c r="B162" t="inlineStr">
        <is>
          <t>46 (1).tif</t>
        </is>
      </c>
      <c r="C162" t="n">
        <v>602</v>
      </c>
      <c r="D162" t="n">
        <v>415</v>
      </c>
      <c r="E162" t="inlineStr">
        <is>
          <t>536,361,669,470</t>
        </is>
      </c>
      <c r="F162" t="n">
        <v>298</v>
      </c>
      <c r="G162" t="inlineStr">
        <is>
          <t>primary</t>
        </is>
      </c>
      <c r="H162" t="inlineStr">
        <is>
          <t>AUTO_VESSEL</t>
        </is>
      </c>
      <c r="I162" t="inlineStr">
        <is>
          <t>是</t>
        </is>
      </c>
      <c r="J162" t="inlineStr">
        <is>
          <t>纳入</t>
        </is>
      </c>
      <c r="K162" t="n">
        <v>527.5047258979206</v>
      </c>
      <c r="L162">
        <f>导管母表_860!G162</f>
        <v/>
      </c>
      <c r="M162" t="inlineStr">
        <is>
          <t>视野内部</t>
        </is>
      </c>
      <c r="N162" t="inlineStr">
        <is>
          <t>纳入A/D/Dh；若有Pair_ID则纳入CWR</t>
        </is>
      </c>
      <c r="O162" t="inlineStr">
        <is>
          <t>自动管线检出的合格导管腔。</t>
        </is>
      </c>
      <c r="P162" t="inlineStr">
        <is>
          <t>auto_pipeline;review_png_green</t>
        </is>
      </c>
      <c r="Q162" t="inlineStr">
        <is>
          <t>46(1)-P01</t>
        </is>
      </c>
      <c r="R162" t="inlineStr">
        <is>
          <t>样品46</t>
        </is>
      </c>
    </row>
    <row r="163">
      <c r="A163" t="inlineStr">
        <is>
          <t>46(1)-V03</t>
        </is>
      </c>
      <c r="B163" t="inlineStr">
        <is>
          <t>46 (1).tif</t>
        </is>
      </c>
      <c r="C163" t="n">
        <v>463</v>
      </c>
      <c r="D163" t="n">
        <v>370</v>
      </c>
      <c r="E163" t="inlineStr">
        <is>
          <t>404,323,523,418</t>
        </is>
      </c>
      <c r="F163" t="n">
        <v>323</v>
      </c>
      <c r="G163" t="inlineStr">
        <is>
          <t>primary</t>
        </is>
      </c>
      <c r="H163" t="inlineStr">
        <is>
          <t>AUTO_VESSEL</t>
        </is>
      </c>
      <c r="I163" t="inlineStr">
        <is>
          <t>是</t>
        </is>
      </c>
      <c r="J163" t="inlineStr">
        <is>
          <t>纳入</t>
        </is>
      </c>
      <c r="K163" t="n">
        <v>411.507561436673</v>
      </c>
      <c r="L163">
        <f>导管母表_860!G163</f>
        <v/>
      </c>
      <c r="M163" t="inlineStr">
        <is>
          <t>视野内部</t>
        </is>
      </c>
      <c r="N163" t="inlineStr">
        <is>
          <t>纳入A/D/Dh；若有Pair_ID则纳入CWR</t>
        </is>
      </c>
      <c r="O163" t="inlineStr">
        <is>
          <t>自动管线检出的合格导管腔。</t>
        </is>
      </c>
      <c r="P163" t="inlineStr">
        <is>
          <t>auto_pipeline;review_png_green</t>
        </is>
      </c>
      <c r="Q163" t="inlineStr">
        <is>
          <t>46(1)-P01</t>
        </is>
      </c>
      <c r="R163" t="inlineStr">
        <is>
          <t>样品46</t>
        </is>
      </c>
    </row>
    <row r="164">
      <c r="A164" t="inlineStr">
        <is>
          <t>46(1)-V04</t>
        </is>
      </c>
      <c r="B164" t="inlineStr">
        <is>
          <t>46 (1).tif</t>
        </is>
      </c>
      <c r="C164" t="n">
        <v>813</v>
      </c>
      <c r="D164" t="n">
        <v>450</v>
      </c>
      <c r="E164" t="inlineStr">
        <is>
          <t>766,406,861,495</t>
        </is>
      </c>
      <c r="F164" t="n">
        <v>163</v>
      </c>
      <c r="G164" t="inlineStr">
        <is>
          <t>primary</t>
        </is>
      </c>
      <c r="H164" t="inlineStr">
        <is>
          <t>AUTO_VESSEL</t>
        </is>
      </c>
      <c r="I164" t="inlineStr">
        <is>
          <t>是</t>
        </is>
      </c>
      <c r="J164" t="inlineStr">
        <is>
          <t>纳入</t>
        </is>
      </c>
      <c r="K164" t="n">
        <v>307.1361058601134</v>
      </c>
      <c r="L164">
        <f>导管母表_860!G164</f>
        <v/>
      </c>
      <c r="M164" t="inlineStr">
        <is>
          <t>视野内部</t>
        </is>
      </c>
      <c r="N164" t="inlineStr">
        <is>
          <t>纳入A/D/Dh；若有Pair_ID则纳入CWR</t>
        </is>
      </c>
      <c r="O164" t="inlineStr">
        <is>
          <t>自动管线检出的合格导管腔。</t>
        </is>
      </c>
      <c r="P164" t="inlineStr">
        <is>
          <t>auto_pipeline;review_png_green</t>
        </is>
      </c>
      <c r="R164" t="inlineStr">
        <is>
          <t>样品46</t>
        </is>
      </c>
    </row>
    <row r="165">
      <c r="A165" t="inlineStr">
        <is>
          <t>46(1)-V05</t>
        </is>
      </c>
      <c r="B165" t="inlineStr">
        <is>
          <t>46 (1).tif</t>
        </is>
      </c>
      <c r="C165" t="n">
        <v>923</v>
      </c>
      <c r="D165" t="n">
        <v>437</v>
      </c>
      <c r="E165" t="inlineStr">
        <is>
          <t>885,390,962,485</t>
        </is>
      </c>
      <c r="F165" t="n">
        <v>62</v>
      </c>
      <c r="G165" t="inlineStr">
        <is>
          <t>primary</t>
        </is>
      </c>
      <c r="H165" t="inlineStr">
        <is>
          <t>AUTO_VESSEL</t>
        </is>
      </c>
      <c r="I165" t="inlineStr">
        <is>
          <t>是</t>
        </is>
      </c>
      <c r="J165" t="inlineStr">
        <is>
          <t>纳入</t>
        </is>
      </c>
      <c r="K165" t="n">
        <v>262.0510396975425</v>
      </c>
      <c r="L165">
        <f>导管母表_860!G165</f>
        <v/>
      </c>
      <c r="M165" t="inlineStr">
        <is>
          <t>视野内部</t>
        </is>
      </c>
      <c r="N165" t="inlineStr">
        <is>
          <t>纳入A/D/Dh；若有Pair_ID则纳入CWR</t>
        </is>
      </c>
      <c r="O165" t="inlineStr">
        <is>
          <t>自动管线检出的合格导管腔。</t>
        </is>
      </c>
      <c r="P165" t="inlineStr">
        <is>
          <t>auto_pipeline;review_png_green</t>
        </is>
      </c>
      <c r="R165" t="inlineStr">
        <is>
          <t>样品46</t>
        </is>
      </c>
    </row>
    <row r="166">
      <c r="A166" t="inlineStr">
        <is>
          <t>46(1)-V06</t>
        </is>
      </c>
      <c r="B166" t="inlineStr">
        <is>
          <t>46 (1).tif</t>
        </is>
      </c>
      <c r="C166" t="n">
        <v>255</v>
      </c>
      <c r="D166" t="n">
        <v>328</v>
      </c>
      <c r="E166" t="inlineStr">
        <is>
          <t>220,294,291,363</t>
        </is>
      </c>
      <c r="F166" t="n">
        <v>220</v>
      </c>
      <c r="G166" t="inlineStr">
        <is>
          <t>primary</t>
        </is>
      </c>
      <c r="H166" t="inlineStr">
        <is>
          <t>AUTO_VESSEL</t>
        </is>
      </c>
      <c r="I166" t="inlineStr">
        <is>
          <t>是</t>
        </is>
      </c>
      <c r="J166" t="inlineStr">
        <is>
          <t>纳入</t>
        </is>
      </c>
      <c r="K166" t="n">
        <v>176.5359168241966</v>
      </c>
      <c r="L166">
        <f>导管母表_860!G166</f>
        <v/>
      </c>
      <c r="M166" t="inlineStr">
        <is>
          <t>视野内部</t>
        </is>
      </c>
      <c r="N166" t="inlineStr">
        <is>
          <t>纳入A/D/Dh；若有Pair_ID则纳入CWR</t>
        </is>
      </c>
      <c r="O166" t="inlineStr">
        <is>
          <t>自动管线检出的合格导管腔。</t>
        </is>
      </c>
      <c r="P166" t="inlineStr">
        <is>
          <t>auto_pipeline;review_png_green</t>
        </is>
      </c>
      <c r="R166" t="inlineStr">
        <is>
          <t>样品46</t>
        </is>
      </c>
    </row>
    <row r="167">
      <c r="A167" t="inlineStr">
        <is>
          <t>46(2)-V01</t>
        </is>
      </c>
      <c r="B167" t="inlineStr">
        <is>
          <t>46 (2).tif</t>
        </is>
      </c>
      <c r="C167" t="n">
        <v>516</v>
      </c>
      <c r="D167" t="n">
        <v>427</v>
      </c>
      <c r="E167" t="inlineStr">
        <is>
          <t>438,362,595,493</t>
        </is>
      </c>
      <c r="F167" t="n">
        <v>275</v>
      </c>
      <c r="G167" t="inlineStr">
        <is>
          <t>primary</t>
        </is>
      </c>
      <c r="H167" t="inlineStr">
        <is>
          <t>AUTO_VESSEL</t>
        </is>
      </c>
      <c r="I167" t="inlineStr">
        <is>
          <t>是</t>
        </is>
      </c>
      <c r="J167" t="inlineStr">
        <is>
          <t>纳入</t>
        </is>
      </c>
      <c r="K167" t="n">
        <v>750.0945179584121</v>
      </c>
      <c r="L167">
        <f>导管母表_860!G167</f>
        <v/>
      </c>
      <c r="M167" t="inlineStr">
        <is>
          <t>视野内部</t>
        </is>
      </c>
      <c r="N167" t="inlineStr">
        <is>
          <t>纳入A/D/Dh；若有Pair_ID则纳入CWR</t>
        </is>
      </c>
      <c r="O167" t="inlineStr">
        <is>
          <t>自动管线检出的合格导管腔。</t>
        </is>
      </c>
      <c r="P167" t="inlineStr">
        <is>
          <t>auto_pipeline;review_png_green</t>
        </is>
      </c>
      <c r="R167" t="inlineStr">
        <is>
          <t>样品46</t>
        </is>
      </c>
    </row>
    <row r="168">
      <c r="A168" t="inlineStr">
        <is>
          <t>46(3)-V01</t>
        </is>
      </c>
      <c r="B168" t="inlineStr">
        <is>
          <t>46 (3).tif</t>
        </is>
      </c>
      <c r="C168" t="n">
        <v>543</v>
      </c>
      <c r="D168" t="n">
        <v>312</v>
      </c>
      <c r="E168" t="inlineStr">
        <is>
          <t>473,229,614,396</t>
        </is>
      </c>
      <c r="F168" t="n">
        <v>229</v>
      </c>
      <c r="G168" t="inlineStr">
        <is>
          <t>primary</t>
        </is>
      </c>
      <c r="H168" t="inlineStr">
        <is>
          <t>AUTO_VESSEL</t>
        </is>
      </c>
      <c r="I168" t="inlineStr">
        <is>
          <t>是</t>
        </is>
      </c>
      <c r="J168" t="inlineStr">
        <is>
          <t>纳入</t>
        </is>
      </c>
      <c r="K168" t="n">
        <v>861.7202268431002</v>
      </c>
      <c r="L168">
        <f>导管母表_860!G168</f>
        <v/>
      </c>
      <c r="M168" t="inlineStr">
        <is>
          <t>视野内部</t>
        </is>
      </c>
      <c r="N168" t="inlineStr">
        <is>
          <t>纳入A/D/Dh；若有Pair_ID则纳入CWR</t>
        </is>
      </c>
      <c r="O168" t="inlineStr">
        <is>
          <t>自动管线检出的合格导管腔。</t>
        </is>
      </c>
      <c r="P168" t="inlineStr">
        <is>
          <t>auto_pipeline;review_png_green</t>
        </is>
      </c>
      <c r="Q168" t="inlineStr">
        <is>
          <t>46(3)-P01</t>
        </is>
      </c>
      <c r="R168" t="inlineStr">
        <is>
          <t>样品46</t>
        </is>
      </c>
    </row>
    <row r="169">
      <c r="A169" t="inlineStr">
        <is>
          <t>46(3)-V02</t>
        </is>
      </c>
      <c r="B169" t="inlineStr">
        <is>
          <t>46 (3).tif</t>
        </is>
      </c>
      <c r="C169" t="n">
        <v>484</v>
      </c>
      <c r="D169" t="n">
        <v>458</v>
      </c>
      <c r="E169" t="inlineStr">
        <is>
          <t>413,391,556,526</t>
        </is>
      </c>
      <c r="F169" t="n">
        <v>242</v>
      </c>
      <c r="G169" t="inlineStr">
        <is>
          <t>primary</t>
        </is>
      </c>
      <c r="H169" t="inlineStr">
        <is>
          <t>AUTO_VESSEL</t>
        </is>
      </c>
      <c r="I169" t="inlineStr">
        <is>
          <t>是</t>
        </is>
      </c>
      <c r="J169" t="inlineStr">
        <is>
          <t>纳入</t>
        </is>
      </c>
      <c r="K169" t="n">
        <v>705.2457466918714</v>
      </c>
      <c r="L169">
        <f>导管母表_860!G169</f>
        <v/>
      </c>
      <c r="M169" t="inlineStr">
        <is>
          <t>视野内部</t>
        </is>
      </c>
      <c r="N169" t="inlineStr">
        <is>
          <t>纳入A/D/Dh；若有Pair_ID则纳入CWR</t>
        </is>
      </c>
      <c r="O169" t="inlineStr">
        <is>
          <t>自动管线检出的合格导管腔。</t>
        </is>
      </c>
      <c r="P169" t="inlineStr">
        <is>
          <t>auto_pipeline;review_png_green</t>
        </is>
      </c>
      <c r="Q169" t="inlineStr">
        <is>
          <t>46(3)-P01</t>
        </is>
      </c>
      <c r="R169" t="inlineStr">
        <is>
          <t>样品46</t>
        </is>
      </c>
    </row>
    <row r="170">
      <c r="A170" t="inlineStr">
        <is>
          <t>46(3)-V03</t>
        </is>
      </c>
      <c r="B170" t="inlineStr">
        <is>
          <t>46 (3).tif</t>
        </is>
      </c>
      <c r="C170" t="n">
        <v>147</v>
      </c>
      <c r="D170" t="n">
        <v>112</v>
      </c>
      <c r="E170" t="inlineStr">
        <is>
          <t>105,90,190,135</t>
        </is>
      </c>
      <c r="F170" t="n">
        <v>90</v>
      </c>
      <c r="G170" t="inlineStr">
        <is>
          <t>primary</t>
        </is>
      </c>
      <c r="H170" t="inlineStr">
        <is>
          <t>AUTO_VESSEL</t>
        </is>
      </c>
      <c r="I170" t="inlineStr">
        <is>
          <t>是</t>
        </is>
      </c>
      <c r="J170" t="inlineStr">
        <is>
          <t>纳入</t>
        </is>
      </c>
      <c r="K170" t="n">
        <v>124.1729678638941</v>
      </c>
      <c r="L170">
        <f>导管母表_860!G170</f>
        <v/>
      </c>
      <c r="M170" t="inlineStr">
        <is>
          <t>视野内部</t>
        </is>
      </c>
      <c r="N170" t="inlineStr">
        <is>
          <t>纳入A/D/Dh；若有Pair_ID则纳入CWR</t>
        </is>
      </c>
      <c r="O170" t="inlineStr">
        <is>
          <t>自动管线检出的合格导管腔。</t>
        </is>
      </c>
      <c r="P170" t="inlineStr">
        <is>
          <t>auto_pipeline;review_png_green</t>
        </is>
      </c>
      <c r="R170" t="inlineStr">
        <is>
          <t>样品46</t>
        </is>
      </c>
    </row>
    <row r="171">
      <c r="A171" t="inlineStr">
        <is>
          <t>46(4)-V01</t>
        </is>
      </c>
      <c r="B171" t="inlineStr">
        <is>
          <t>46 (4).tif</t>
        </is>
      </c>
      <c r="C171" t="n">
        <v>551</v>
      </c>
      <c r="D171" t="n">
        <v>321</v>
      </c>
      <c r="E171" t="inlineStr">
        <is>
          <t>478,279,625,364</t>
        </is>
      </c>
      <c r="F171" t="n">
        <v>279</v>
      </c>
      <c r="G171" t="inlineStr">
        <is>
          <t>primary</t>
        </is>
      </c>
      <c r="H171" t="inlineStr">
        <is>
          <t>AUTO_VESSEL</t>
        </is>
      </c>
      <c r="I171" t="inlineStr">
        <is>
          <t>是</t>
        </is>
      </c>
      <c r="J171" t="inlineStr">
        <is>
          <t>纳入</t>
        </is>
      </c>
      <c r="K171" t="n">
        <v>455.2457466918714</v>
      </c>
      <c r="L171">
        <f>导管母表_860!G171</f>
        <v/>
      </c>
      <c r="M171" t="inlineStr">
        <is>
          <t>视野内部</t>
        </is>
      </c>
      <c r="N171" t="inlineStr">
        <is>
          <t>纳入A/D/Dh；若有Pair_ID则纳入CWR</t>
        </is>
      </c>
      <c r="O171" t="inlineStr">
        <is>
          <t>自动管线检出的合格导管腔。</t>
        </is>
      </c>
      <c r="P171" t="inlineStr">
        <is>
          <t>auto_pipeline;review_png_green</t>
        </is>
      </c>
      <c r="R171" t="inlineStr">
        <is>
          <t>样品46</t>
        </is>
      </c>
    </row>
    <row r="172">
      <c r="A172" t="inlineStr">
        <is>
          <t>46(4)-V02</t>
        </is>
      </c>
      <c r="B172" t="inlineStr">
        <is>
          <t>46 (4).tif</t>
        </is>
      </c>
      <c r="C172" t="n">
        <v>563</v>
      </c>
      <c r="D172" t="n">
        <v>636</v>
      </c>
      <c r="E172" t="inlineStr">
        <is>
          <t>497,594,630,679</t>
        </is>
      </c>
      <c r="F172" t="n">
        <v>89</v>
      </c>
      <c r="G172" t="inlineStr">
        <is>
          <t>primary</t>
        </is>
      </c>
      <c r="H172" t="inlineStr">
        <is>
          <t>AUTO_VESSEL</t>
        </is>
      </c>
      <c r="I172" t="inlineStr">
        <is>
          <t>是</t>
        </is>
      </c>
      <c r="J172" t="inlineStr">
        <is>
          <t>纳入</t>
        </is>
      </c>
      <c r="K172" t="n">
        <v>378.5207939508506</v>
      </c>
      <c r="L172">
        <f>导管母表_860!G172</f>
        <v/>
      </c>
      <c r="M172" t="inlineStr">
        <is>
          <t>视野内部</t>
        </is>
      </c>
      <c r="N172" t="inlineStr">
        <is>
          <t>纳入A/D/Dh；若有Pair_ID则纳入CWR</t>
        </is>
      </c>
      <c r="O172" t="inlineStr">
        <is>
          <t>自动管线检出的合格导管腔。</t>
        </is>
      </c>
      <c r="P172" t="inlineStr">
        <is>
          <t>auto_pipeline;review_png_green</t>
        </is>
      </c>
      <c r="R172" t="inlineStr">
        <is>
          <t>样品46</t>
        </is>
      </c>
    </row>
    <row r="173">
      <c r="A173" t="inlineStr">
        <is>
          <t>46(4)-V03</t>
        </is>
      </c>
      <c r="B173" t="inlineStr">
        <is>
          <t>46 (4).tif</t>
        </is>
      </c>
      <c r="C173" t="n">
        <v>559</v>
      </c>
      <c r="D173" t="n">
        <v>99</v>
      </c>
      <c r="E173" t="inlineStr">
        <is>
          <t>523,77,596,122</t>
        </is>
      </c>
      <c r="F173" t="n">
        <v>77</v>
      </c>
      <c r="G173" t="inlineStr">
        <is>
          <t>primary</t>
        </is>
      </c>
      <c r="H173" t="inlineStr">
        <is>
          <t>AUTO_VESSEL</t>
        </is>
      </c>
      <c r="I173" t="inlineStr">
        <is>
          <t>是</t>
        </is>
      </c>
      <c r="J173" t="inlineStr">
        <is>
          <t>纳入</t>
        </is>
      </c>
      <c r="K173" t="n">
        <v>117.6984877126654</v>
      </c>
      <c r="L173">
        <f>导管母表_860!G173</f>
        <v/>
      </c>
      <c r="M173" t="inlineStr">
        <is>
          <t>视野内部</t>
        </is>
      </c>
      <c r="N173" t="inlineStr">
        <is>
          <t>纳入A/D/Dh；若有Pair_ID则纳入CWR</t>
        </is>
      </c>
      <c r="O173" t="inlineStr">
        <is>
          <t>自动管线检出的合格导管腔。</t>
        </is>
      </c>
      <c r="P173" t="inlineStr">
        <is>
          <t>auto_pipeline;review_png_green</t>
        </is>
      </c>
      <c r="R173" t="inlineStr">
        <is>
          <t>样品46</t>
        </is>
      </c>
    </row>
    <row r="174">
      <c r="A174" t="inlineStr">
        <is>
          <t>46(5)-V01</t>
        </is>
      </c>
      <c r="B174" t="inlineStr">
        <is>
          <t>46 (5).tif</t>
        </is>
      </c>
      <c r="C174" t="n">
        <v>545</v>
      </c>
      <c r="D174" t="n">
        <v>301</v>
      </c>
      <c r="E174" t="inlineStr">
        <is>
          <t>467,234,624,369</t>
        </is>
      </c>
      <c r="F174" t="n">
        <v>234</v>
      </c>
      <c r="G174" t="inlineStr">
        <is>
          <t>primary</t>
        </is>
      </c>
      <c r="H174" t="inlineStr">
        <is>
          <t>AUTO_VESSEL</t>
        </is>
      </c>
      <c r="I174" t="inlineStr">
        <is>
          <t>是</t>
        </is>
      </c>
      <c r="J174" t="inlineStr">
        <is>
          <t>纳入</t>
        </is>
      </c>
      <c r="K174" t="n">
        <v>775.4962192816636</v>
      </c>
      <c r="L174">
        <f>导管母表_860!G174</f>
        <v/>
      </c>
      <c r="M174" t="inlineStr">
        <is>
          <t>视野内部</t>
        </is>
      </c>
      <c r="N174" t="inlineStr">
        <is>
          <t>纳入A/D/Dh；若有Pair_ID则纳入CWR</t>
        </is>
      </c>
      <c r="O174" t="inlineStr">
        <is>
          <t>自动管线检出的合格导管腔。</t>
        </is>
      </c>
      <c r="P174" t="inlineStr">
        <is>
          <t>auto_pipeline;review_png_green</t>
        </is>
      </c>
      <c r="R174" t="inlineStr">
        <is>
          <t>样品46</t>
        </is>
      </c>
    </row>
    <row r="175">
      <c r="A175" t="inlineStr">
        <is>
          <t>46(5)-V02</t>
        </is>
      </c>
      <c r="B175" t="inlineStr">
        <is>
          <t>46 (5).tif</t>
        </is>
      </c>
      <c r="C175" t="n">
        <v>402</v>
      </c>
      <c r="D175" t="n">
        <v>381</v>
      </c>
      <c r="E175" t="inlineStr">
        <is>
          <t>323,318,482,445</t>
        </is>
      </c>
      <c r="F175" t="n">
        <v>318</v>
      </c>
      <c r="G175" t="inlineStr">
        <is>
          <t>primary</t>
        </is>
      </c>
      <c r="H175" t="inlineStr">
        <is>
          <t>AUTO_VESSEL</t>
        </is>
      </c>
      <c r="I175" t="inlineStr">
        <is>
          <t>是</t>
        </is>
      </c>
      <c r="J175" t="inlineStr">
        <is>
          <t>纳入</t>
        </is>
      </c>
      <c r="K175" t="n">
        <v>717.7930056710775</v>
      </c>
      <c r="L175">
        <f>导管母表_860!G175</f>
        <v/>
      </c>
      <c r="M175" t="inlineStr">
        <is>
          <t>视野内部</t>
        </is>
      </c>
      <c r="N175" t="inlineStr">
        <is>
          <t>纳入A/D/Dh；若有Pair_ID则纳入CWR</t>
        </is>
      </c>
      <c r="O175" t="inlineStr">
        <is>
          <t>自动管线检出的合格导管腔。</t>
        </is>
      </c>
      <c r="P175" t="inlineStr">
        <is>
          <t>auto_pipeline;review_png_green</t>
        </is>
      </c>
      <c r="Q175" t="inlineStr">
        <is>
          <t>46(5)-P01</t>
        </is>
      </c>
      <c r="R175" t="inlineStr">
        <is>
          <t>样品46</t>
        </is>
      </c>
    </row>
    <row r="176">
      <c r="A176" t="inlineStr">
        <is>
          <t>46(5)-V03</t>
        </is>
      </c>
      <c r="B176" t="inlineStr">
        <is>
          <t>46 (5).tif</t>
        </is>
      </c>
      <c r="C176" t="n">
        <v>228</v>
      </c>
      <c r="D176" t="n">
        <v>577</v>
      </c>
      <c r="E176" t="inlineStr">
        <is>
          <t>155,516,302,639</t>
        </is>
      </c>
      <c r="F176" t="n">
        <v>129</v>
      </c>
      <c r="G176" t="inlineStr">
        <is>
          <t>primary</t>
        </is>
      </c>
      <c r="H176" t="inlineStr">
        <is>
          <t>AUTO_VESSEL</t>
        </is>
      </c>
      <c r="I176" t="inlineStr">
        <is>
          <t>是</t>
        </is>
      </c>
      <c r="J176" t="inlineStr">
        <is>
          <t>纳入</t>
        </is>
      </c>
      <c r="K176" t="n">
        <v>656.2854442344045</v>
      </c>
      <c r="L176">
        <f>导管母表_860!G176</f>
        <v/>
      </c>
      <c r="M176" t="inlineStr">
        <is>
          <t>视野内部</t>
        </is>
      </c>
      <c r="N176" t="inlineStr">
        <is>
          <t>纳入A/D/Dh；若有Pair_ID则纳入CWR</t>
        </is>
      </c>
      <c r="O176" t="inlineStr">
        <is>
          <t>自动管线检出的合格导管腔。</t>
        </is>
      </c>
      <c r="P176" t="inlineStr">
        <is>
          <t>auto_pipeline;review_png_green</t>
        </is>
      </c>
      <c r="R176" t="inlineStr">
        <is>
          <t>样品46</t>
        </is>
      </c>
    </row>
    <row r="177">
      <c r="A177" t="inlineStr">
        <is>
          <t>46(5)-V04</t>
        </is>
      </c>
      <c r="B177" t="inlineStr">
        <is>
          <t>46 (5).tif</t>
        </is>
      </c>
      <c r="C177" t="n">
        <v>893</v>
      </c>
      <c r="D177" t="n">
        <v>325</v>
      </c>
      <c r="E177" t="inlineStr">
        <is>
          <t>830,290,957,361</t>
        </is>
      </c>
      <c r="F177" t="n">
        <v>67</v>
      </c>
      <c r="G177" t="inlineStr">
        <is>
          <t>primary</t>
        </is>
      </c>
      <c r="H177" t="inlineStr">
        <is>
          <t>AUTO_VESSEL</t>
        </is>
      </c>
      <c r="I177" t="inlineStr">
        <is>
          <t>是</t>
        </is>
      </c>
      <c r="J177" t="inlineStr">
        <is>
          <t>纳入</t>
        </is>
      </c>
      <c r="K177" t="n">
        <v>176.890359168242</v>
      </c>
      <c r="L177">
        <f>导管母表_860!G177</f>
        <v/>
      </c>
      <c r="M177" t="inlineStr">
        <is>
          <t>视野内部</t>
        </is>
      </c>
      <c r="N177" t="inlineStr">
        <is>
          <t>纳入A/D/Dh；若有Pair_ID则纳入CWR</t>
        </is>
      </c>
      <c r="O177" t="inlineStr">
        <is>
          <t>自动管线检出的合格导管腔。</t>
        </is>
      </c>
      <c r="P177" t="inlineStr">
        <is>
          <t>auto_pipeline;review_png_green</t>
        </is>
      </c>
      <c r="R177" t="inlineStr">
        <is>
          <t>样品46</t>
        </is>
      </c>
    </row>
    <row r="178">
      <c r="A178" t="inlineStr">
        <is>
          <t>46(5)-V05</t>
        </is>
      </c>
      <c r="B178" t="inlineStr">
        <is>
          <t>46 (5).tif</t>
        </is>
      </c>
      <c r="C178" t="n">
        <v>702</v>
      </c>
      <c r="D178" t="n">
        <v>451</v>
      </c>
      <c r="E178" t="inlineStr">
        <is>
          <t>631,402,774,501</t>
        </is>
      </c>
      <c r="F178" t="n">
        <v>250</v>
      </c>
      <c r="G178" t="inlineStr">
        <is>
          <t>primary</t>
        </is>
      </c>
      <c r="H178" t="inlineStr">
        <is>
          <t>AUTO_VESSEL</t>
        </is>
      </c>
      <c r="I178" t="inlineStr">
        <is>
          <t>是</t>
        </is>
      </c>
      <c r="J178" t="inlineStr">
        <is>
          <t>纳入</t>
        </is>
      </c>
      <c r="K178" t="n">
        <v>152.1030245746692</v>
      </c>
      <c r="L178">
        <f>导管母表_860!G178</f>
        <v/>
      </c>
      <c r="M178" t="inlineStr">
        <is>
          <t>视野内部</t>
        </is>
      </c>
      <c r="N178" t="inlineStr">
        <is>
          <t>纳入A/D/Dh；若有Pair_ID则纳入CWR</t>
        </is>
      </c>
      <c r="O178" t="inlineStr">
        <is>
          <t>自动管线检出的合格导管腔。</t>
        </is>
      </c>
      <c r="P178" t="inlineStr">
        <is>
          <t>auto_pipeline;review_png_green</t>
        </is>
      </c>
      <c r="R178" t="inlineStr">
        <is>
          <t>样品46</t>
        </is>
      </c>
    </row>
    <row r="179">
      <c r="A179" t="inlineStr">
        <is>
          <t>46(5)-V06</t>
        </is>
      </c>
      <c r="B179" t="inlineStr">
        <is>
          <t>46 (5).tif</t>
        </is>
      </c>
      <c r="C179" t="n">
        <v>518</v>
      </c>
      <c r="D179" t="n">
        <v>349</v>
      </c>
      <c r="E179" t="inlineStr">
        <is>
          <t>483,329,554,370</t>
        </is>
      </c>
      <c r="F179" t="n">
        <v>329</v>
      </c>
      <c r="G179" t="inlineStr">
        <is>
          <t>primary</t>
        </is>
      </c>
      <c r="H179" t="inlineStr">
        <is>
          <t>AUTO_VESSEL</t>
        </is>
      </c>
      <c r="I179" t="inlineStr">
        <is>
          <t>是</t>
        </is>
      </c>
      <c r="J179" t="inlineStr">
        <is>
          <t>纳入</t>
        </is>
      </c>
      <c r="K179" t="n">
        <v>82.60869565217391</v>
      </c>
      <c r="L179">
        <f>导管母表_860!G179</f>
        <v/>
      </c>
      <c r="M179" t="inlineStr">
        <is>
          <t>视野内部</t>
        </is>
      </c>
      <c r="N179" t="inlineStr">
        <is>
          <t>纳入A/D/Dh；若有Pair_ID则纳入CWR</t>
        </is>
      </c>
      <c r="O179" t="inlineStr">
        <is>
          <t>自动管线检出的合格导管腔。</t>
        </is>
      </c>
      <c r="P179" t="inlineStr">
        <is>
          <t>auto_pipeline;review_png_green</t>
        </is>
      </c>
      <c r="Q179" t="inlineStr">
        <is>
          <t>46(5)-P01</t>
        </is>
      </c>
      <c r="R179" t="inlineStr">
        <is>
          <t>样品46</t>
        </is>
      </c>
    </row>
    <row r="180">
      <c r="A180" t="inlineStr">
        <is>
          <t>46(6)-V01</t>
        </is>
      </c>
      <c r="B180" t="inlineStr">
        <is>
          <t>46 (6).tif</t>
        </is>
      </c>
      <c r="C180" t="n">
        <v>149</v>
      </c>
      <c r="D180" t="n">
        <v>96</v>
      </c>
      <c r="E180" t="inlineStr">
        <is>
          <t>75,18,224,175</t>
        </is>
      </c>
      <c r="F180" t="n">
        <v>18</v>
      </c>
      <c r="G180" t="inlineStr">
        <is>
          <t>primary</t>
        </is>
      </c>
      <c r="H180" t="inlineStr">
        <is>
          <t>AUTO_VESSEL</t>
        </is>
      </c>
      <c r="I180" t="inlineStr">
        <is>
          <t>是</t>
        </is>
      </c>
      <c r="J180" t="inlineStr">
        <is>
          <t>纳入</t>
        </is>
      </c>
      <c r="K180" t="n">
        <v>838.1379962192817</v>
      </c>
      <c r="L180">
        <f>导管母表_860!G180</f>
        <v/>
      </c>
      <c r="M180" t="inlineStr">
        <is>
          <t>近边缘（&lt;25 px）</t>
        </is>
      </c>
      <c r="N180" t="inlineStr">
        <is>
          <t>纳入A/D/Dh；若有Pair_ID则纳入CWR</t>
        </is>
      </c>
      <c r="O180" t="inlineStr">
        <is>
          <t>自动管线检出的合格导管腔。</t>
        </is>
      </c>
      <c r="P180" t="inlineStr">
        <is>
          <t>auto_pipeline;review_png_green</t>
        </is>
      </c>
      <c r="R180" t="inlineStr">
        <is>
          <t>样品46</t>
        </is>
      </c>
    </row>
    <row r="181">
      <c r="A181" t="inlineStr">
        <is>
          <t>46(6)-V02</t>
        </is>
      </c>
      <c r="B181" t="inlineStr">
        <is>
          <t>46 (6).tif</t>
        </is>
      </c>
      <c r="C181" t="n">
        <v>535</v>
      </c>
      <c r="D181" t="n">
        <v>377</v>
      </c>
      <c r="E181" t="inlineStr">
        <is>
          <t>496,323,575,432</t>
        </is>
      </c>
      <c r="F181" t="n">
        <v>323</v>
      </c>
      <c r="G181" t="inlineStr">
        <is>
          <t>primary</t>
        </is>
      </c>
      <c r="H181" t="inlineStr">
        <is>
          <t>AUTO_VESSEL</t>
        </is>
      </c>
      <c r="I181" t="inlineStr">
        <is>
          <t>是</t>
        </is>
      </c>
      <c r="J181" t="inlineStr">
        <is>
          <t>纳入</t>
        </is>
      </c>
      <c r="K181" t="n">
        <v>312.476370510397</v>
      </c>
      <c r="L181">
        <f>导管母表_860!G181</f>
        <v/>
      </c>
      <c r="M181" t="inlineStr">
        <is>
          <t>视野内部</t>
        </is>
      </c>
      <c r="N181" t="inlineStr">
        <is>
          <t>纳入A/D/Dh；若有Pair_ID则纳入CWR</t>
        </is>
      </c>
      <c r="O181" t="inlineStr">
        <is>
          <t>自动管线检出的合格导管腔。</t>
        </is>
      </c>
      <c r="P181" t="inlineStr">
        <is>
          <t>auto_pipeline;review_png_green</t>
        </is>
      </c>
      <c r="R181" t="inlineStr">
        <is>
          <t>样品46</t>
        </is>
      </c>
    </row>
    <row r="182">
      <c r="A182" t="inlineStr">
        <is>
          <t>46(6)-V03</t>
        </is>
      </c>
      <c r="B182" t="inlineStr">
        <is>
          <t>46 (6).tif</t>
        </is>
      </c>
      <c r="C182" t="n">
        <v>706</v>
      </c>
      <c r="D182" t="n">
        <v>616</v>
      </c>
      <c r="E182" t="inlineStr">
        <is>
          <t>664,576,749,657</t>
        </is>
      </c>
      <c r="F182" t="n">
        <v>111</v>
      </c>
      <c r="G182" t="inlineStr">
        <is>
          <t>primary</t>
        </is>
      </c>
      <c r="H182" t="inlineStr">
        <is>
          <t>AUTO_VESSEL</t>
        </is>
      </c>
      <c r="I182" t="inlineStr">
        <is>
          <t>是</t>
        </is>
      </c>
      <c r="J182" t="inlineStr">
        <is>
          <t>纳入</t>
        </is>
      </c>
      <c r="K182" t="n">
        <v>249.6928166351607</v>
      </c>
      <c r="L182">
        <f>导管母表_860!G182</f>
        <v/>
      </c>
      <c r="M182" t="inlineStr">
        <is>
          <t>视野内部</t>
        </is>
      </c>
      <c r="N182" t="inlineStr">
        <is>
          <t>纳入A/D/Dh；若有Pair_ID则纳入CWR</t>
        </is>
      </c>
      <c r="O182" t="inlineStr">
        <is>
          <t>自动管线检出的合格导管腔。</t>
        </is>
      </c>
      <c r="P182" t="inlineStr">
        <is>
          <t>auto_pipeline;review_png_green</t>
        </is>
      </c>
      <c r="R182" t="inlineStr">
        <is>
          <t>样品46</t>
        </is>
      </c>
    </row>
    <row r="183">
      <c r="A183" t="inlineStr">
        <is>
          <t>46(7)-V01</t>
        </is>
      </c>
      <c r="B183" t="inlineStr">
        <is>
          <t>46 (7).tif</t>
        </is>
      </c>
      <c r="C183" t="n">
        <v>461</v>
      </c>
      <c r="D183" t="n">
        <v>376</v>
      </c>
      <c r="E183" t="inlineStr">
        <is>
          <t>401,284,522,469</t>
        </is>
      </c>
      <c r="F183" t="n">
        <v>284</v>
      </c>
      <c r="G183" t="inlineStr">
        <is>
          <t>primary</t>
        </is>
      </c>
      <c r="H183" t="inlineStr">
        <is>
          <t>AUTO_VESSEL</t>
        </is>
      </c>
      <c r="I183" t="inlineStr">
        <is>
          <t>是</t>
        </is>
      </c>
      <c r="J183" t="inlineStr">
        <is>
          <t>纳入</t>
        </is>
      </c>
      <c r="K183" t="n">
        <v>799.9054820415879</v>
      </c>
      <c r="L183">
        <f>导管母表_860!G183</f>
        <v/>
      </c>
      <c r="M183" t="inlineStr">
        <is>
          <t>视野内部</t>
        </is>
      </c>
      <c r="N183" t="inlineStr">
        <is>
          <t>纳入A/D/Dh；若有Pair_ID则纳入CWR</t>
        </is>
      </c>
      <c r="O183" t="inlineStr">
        <is>
          <t>自动管线检出的合格导管腔。</t>
        </is>
      </c>
      <c r="P183" t="inlineStr">
        <is>
          <t>auto_pipeline;review_png_green</t>
        </is>
      </c>
      <c r="Q183" t="inlineStr">
        <is>
          <t>46(7)-P01</t>
        </is>
      </c>
      <c r="R183" t="inlineStr">
        <is>
          <t>样品46</t>
        </is>
      </c>
    </row>
    <row r="184">
      <c r="A184" t="inlineStr">
        <is>
          <t>46(7)-V02</t>
        </is>
      </c>
      <c r="B184" t="inlineStr">
        <is>
          <t>46 (7).tif</t>
        </is>
      </c>
      <c r="C184" t="n">
        <v>573</v>
      </c>
      <c r="D184" t="n">
        <v>266</v>
      </c>
      <c r="E184" t="inlineStr">
        <is>
          <t>509,182,638,351</t>
        </is>
      </c>
      <c r="F184" t="n">
        <v>182</v>
      </c>
      <c r="G184" t="inlineStr">
        <is>
          <t>primary</t>
        </is>
      </c>
      <c r="H184" t="inlineStr">
        <is>
          <t>AUTO_VESSEL</t>
        </is>
      </c>
      <c r="I184" t="inlineStr">
        <is>
          <t>是</t>
        </is>
      </c>
      <c r="J184" t="inlineStr">
        <is>
          <t>纳入</t>
        </is>
      </c>
      <c r="K184" t="n">
        <v>794.7069943289225</v>
      </c>
      <c r="L184">
        <f>导管母表_860!G184</f>
        <v/>
      </c>
      <c r="M184" t="inlineStr">
        <is>
          <t>视野内部</t>
        </is>
      </c>
      <c r="N184" t="inlineStr">
        <is>
          <t>纳入A/D/Dh；若有Pair_ID则纳入CWR</t>
        </is>
      </c>
      <c r="O184" t="inlineStr">
        <is>
          <t>自动管线检出的合格导管腔。</t>
        </is>
      </c>
      <c r="P184" t="inlineStr">
        <is>
          <t>auto_pipeline;review_png_green</t>
        </is>
      </c>
      <c r="Q184" t="inlineStr">
        <is>
          <t>46(7)-P01</t>
        </is>
      </c>
      <c r="R184" t="inlineStr">
        <is>
          <t>样品46</t>
        </is>
      </c>
    </row>
    <row r="185">
      <c r="A185" t="inlineStr">
        <is>
          <t>46(7)-V03</t>
        </is>
      </c>
      <c r="B185" t="inlineStr">
        <is>
          <t>46 (7).tif</t>
        </is>
      </c>
      <c r="C185" t="n">
        <v>606</v>
      </c>
      <c r="D185" t="n">
        <v>310</v>
      </c>
      <c r="E185" t="inlineStr">
        <is>
          <t>580,276,633,345</t>
        </is>
      </c>
      <c r="F185" t="n">
        <v>276</v>
      </c>
      <c r="G185" t="inlineStr">
        <is>
          <t>primary</t>
        </is>
      </c>
      <c r="H185" t="inlineStr">
        <is>
          <t>AUTO_VESSEL</t>
        </is>
      </c>
      <c r="I185" t="inlineStr">
        <is>
          <t>是</t>
        </is>
      </c>
      <c r="J185" t="inlineStr">
        <is>
          <t>纳入</t>
        </is>
      </c>
      <c r="K185" t="n">
        <v>89.2249527410208</v>
      </c>
      <c r="L185">
        <f>导管母表_860!G185</f>
        <v/>
      </c>
      <c r="M185" t="inlineStr">
        <is>
          <t>视野内部</t>
        </is>
      </c>
      <c r="N185" t="inlineStr">
        <is>
          <t>纳入A/D/Dh；若有Pair_ID则纳入CWR</t>
        </is>
      </c>
      <c r="O185" t="inlineStr">
        <is>
          <t>自动管线检出的合格导管腔。</t>
        </is>
      </c>
      <c r="P185" t="inlineStr">
        <is>
          <t>auto_pipeline;review_png_green</t>
        </is>
      </c>
      <c r="R185" t="inlineStr">
        <is>
          <t>样品46</t>
        </is>
      </c>
    </row>
    <row r="186">
      <c r="A186" t="inlineStr">
        <is>
          <t>46(8)-V01</t>
        </is>
      </c>
      <c r="B186" t="inlineStr">
        <is>
          <t>46 (8).tif</t>
        </is>
      </c>
      <c r="C186" t="n">
        <v>587</v>
      </c>
      <c r="D186" t="n">
        <v>332</v>
      </c>
      <c r="E186" t="inlineStr">
        <is>
          <t>517,267,658,398</t>
        </is>
      </c>
      <c r="F186" t="n">
        <v>267</v>
      </c>
      <c r="G186" t="inlineStr">
        <is>
          <t>primary</t>
        </is>
      </c>
      <c r="H186" t="inlineStr">
        <is>
          <t>AUTO_VESSEL</t>
        </is>
      </c>
      <c r="I186" t="inlineStr">
        <is>
          <t>是</t>
        </is>
      </c>
      <c r="J186" t="inlineStr">
        <is>
          <t>纳入</t>
        </is>
      </c>
      <c r="K186" t="n">
        <v>662.6654064272212</v>
      </c>
      <c r="L186">
        <f>导管母表_860!G186</f>
        <v/>
      </c>
      <c r="M186" t="inlineStr">
        <is>
          <t>视野内部</t>
        </is>
      </c>
      <c r="N186" t="inlineStr">
        <is>
          <t>纳入A/D/Dh；若有Pair_ID则纳入CWR</t>
        </is>
      </c>
      <c r="O186" t="inlineStr">
        <is>
          <t>自动管线检出的合格导管腔。</t>
        </is>
      </c>
      <c r="P186" t="inlineStr">
        <is>
          <t>auto_pipeline;review_png_green</t>
        </is>
      </c>
      <c r="R186" t="inlineStr">
        <is>
          <t>样品46</t>
        </is>
      </c>
    </row>
    <row r="187">
      <c r="A187" t="inlineStr">
        <is>
          <t>46(8)-V02</t>
        </is>
      </c>
      <c r="B187" t="inlineStr">
        <is>
          <t>46 (8).tif</t>
        </is>
      </c>
      <c r="C187" t="n">
        <v>450</v>
      </c>
      <c r="D187" t="n">
        <v>380</v>
      </c>
      <c r="E187" t="inlineStr">
        <is>
          <t>404,322,497,439</t>
        </is>
      </c>
      <c r="F187" t="n">
        <v>322</v>
      </c>
      <c r="G187" t="inlineStr">
        <is>
          <t>primary</t>
        </is>
      </c>
      <c r="H187" t="inlineStr">
        <is>
          <t>AUTO_VESSEL</t>
        </is>
      </c>
      <c r="I187" t="inlineStr">
        <is>
          <t>是</t>
        </is>
      </c>
      <c r="J187" t="inlineStr">
        <is>
          <t>纳入</t>
        </is>
      </c>
      <c r="K187" t="n">
        <v>396.2901701323252</v>
      </c>
      <c r="L187">
        <f>导管母表_860!G187</f>
        <v/>
      </c>
      <c r="M187" t="inlineStr">
        <is>
          <t>视野内部</t>
        </is>
      </c>
      <c r="N187" t="inlineStr">
        <is>
          <t>纳入A/D/Dh；若有Pair_ID则纳入CWR</t>
        </is>
      </c>
      <c r="O187" t="inlineStr">
        <is>
          <t>自动管线检出的合格导管腔。</t>
        </is>
      </c>
      <c r="P187" t="inlineStr">
        <is>
          <t>auto_pipeline;review_png_green</t>
        </is>
      </c>
      <c r="R187" t="inlineStr">
        <is>
          <t>样品46</t>
        </is>
      </c>
    </row>
    <row r="188">
      <c r="A188" t="inlineStr">
        <is>
          <t>46(8)-V03</t>
        </is>
      </c>
      <c r="B188" t="inlineStr">
        <is>
          <t>46 (8).tif</t>
        </is>
      </c>
      <c r="C188" t="n">
        <v>936</v>
      </c>
      <c r="D188" t="n">
        <v>623</v>
      </c>
      <c r="E188" t="inlineStr">
        <is>
          <t>872,582,1001,665</t>
        </is>
      </c>
      <c r="F188" t="n">
        <v>23</v>
      </c>
      <c r="G188" t="inlineStr">
        <is>
          <t>primary</t>
        </is>
      </c>
      <c r="H188" t="inlineStr">
        <is>
          <t>AUTO_VESSEL</t>
        </is>
      </c>
      <c r="I188" t="inlineStr">
        <is>
          <t>是</t>
        </is>
      </c>
      <c r="J188" t="inlineStr">
        <is>
          <t>纳入</t>
        </is>
      </c>
      <c r="K188" t="n">
        <v>267.7221172022684</v>
      </c>
      <c r="L188">
        <f>导管母表_860!G188</f>
        <v/>
      </c>
      <c r="M188" t="inlineStr">
        <is>
          <t>近边缘（&lt;25 px）</t>
        </is>
      </c>
      <c r="N188" t="inlineStr">
        <is>
          <t>纳入A/D/Dh；若有Pair_ID则纳入CWR</t>
        </is>
      </c>
      <c r="O188" t="inlineStr">
        <is>
          <t>自动管线检出的合格导管腔。</t>
        </is>
      </c>
      <c r="P188" t="inlineStr">
        <is>
          <t>auto_pipeline;review_png_green</t>
        </is>
      </c>
      <c r="R188" t="inlineStr">
        <is>
          <t>样品46</t>
        </is>
      </c>
    </row>
    <row r="189">
      <c r="A189" t="inlineStr">
        <is>
          <t>46(8)-V04</t>
        </is>
      </c>
      <c r="B189" t="inlineStr">
        <is>
          <t>46 (8).tif</t>
        </is>
      </c>
      <c r="C189" t="n">
        <v>855</v>
      </c>
      <c r="D189" t="n">
        <v>555</v>
      </c>
      <c r="E189" t="inlineStr">
        <is>
          <t>813,515,898,596</t>
        </is>
      </c>
      <c r="F189" t="n">
        <v>126</v>
      </c>
      <c r="G189" t="inlineStr">
        <is>
          <t>primary</t>
        </is>
      </c>
      <c r="H189" t="inlineStr">
        <is>
          <t>AUTO_VESSEL</t>
        </is>
      </c>
      <c r="I189" t="inlineStr">
        <is>
          <t>是</t>
        </is>
      </c>
      <c r="J189" t="inlineStr">
        <is>
          <t>纳入</t>
        </is>
      </c>
      <c r="K189" t="n">
        <v>196.1011342155009</v>
      </c>
      <c r="L189">
        <f>导管母表_860!G189</f>
        <v/>
      </c>
      <c r="M189" t="inlineStr">
        <is>
          <t>视野内部</t>
        </is>
      </c>
      <c r="N189" t="inlineStr">
        <is>
          <t>纳入A/D/Dh；若有Pair_ID则纳入CWR</t>
        </is>
      </c>
      <c r="O189" t="inlineStr">
        <is>
          <t>自动管线检出的合格导管腔。</t>
        </is>
      </c>
      <c r="P189" t="inlineStr">
        <is>
          <t>auto_pipeline;review_png_green</t>
        </is>
      </c>
      <c r="R189" t="inlineStr">
        <is>
          <t>样品46</t>
        </is>
      </c>
    </row>
    <row r="190">
      <c r="A190" t="inlineStr">
        <is>
          <t>46(8)-V05</t>
        </is>
      </c>
      <c r="B190" t="inlineStr">
        <is>
          <t>46 (8).tif</t>
        </is>
      </c>
      <c r="C190" t="n">
        <v>950</v>
      </c>
      <c r="D190" t="n">
        <v>520</v>
      </c>
      <c r="E190" t="inlineStr">
        <is>
          <t>917,498,984,543</t>
        </is>
      </c>
      <c r="F190" t="n">
        <v>40</v>
      </c>
      <c r="G190" t="inlineStr">
        <is>
          <t>primary</t>
        </is>
      </c>
      <c r="H190" t="inlineStr">
        <is>
          <t>AUTO_VESSEL</t>
        </is>
      </c>
      <c r="I190" t="inlineStr">
        <is>
          <t>是</t>
        </is>
      </c>
      <c r="J190" t="inlineStr">
        <is>
          <t>纳入</t>
        </is>
      </c>
      <c r="K190" t="n">
        <v>105.789224952741</v>
      </c>
      <c r="L190">
        <f>导管母表_860!G190</f>
        <v/>
      </c>
      <c r="M190" t="inlineStr">
        <is>
          <t>视野内部</t>
        </is>
      </c>
      <c r="N190" t="inlineStr">
        <is>
          <t>纳入A/D/Dh；若有Pair_ID则纳入CWR</t>
        </is>
      </c>
      <c r="O190" t="inlineStr">
        <is>
          <t>自动管线检出的合格导管腔。</t>
        </is>
      </c>
      <c r="P190" t="inlineStr">
        <is>
          <t>auto_pipeline;review_png_green</t>
        </is>
      </c>
      <c r="R190" t="inlineStr">
        <is>
          <t>样品46</t>
        </is>
      </c>
    </row>
    <row r="191">
      <c r="A191" t="inlineStr">
        <is>
          <t>47(1)-V01</t>
        </is>
      </c>
      <c r="B191" t="inlineStr">
        <is>
          <t>47 (1).tif</t>
        </is>
      </c>
      <c r="C191" t="n">
        <v>889</v>
      </c>
      <c r="D191" t="n">
        <v>450</v>
      </c>
      <c r="E191" t="inlineStr">
        <is>
          <t>821,404,958,497</t>
        </is>
      </c>
      <c r="F191" t="n">
        <v>66</v>
      </c>
      <c r="G191" t="inlineStr">
        <is>
          <t>primary</t>
        </is>
      </c>
      <c r="H191" t="inlineStr">
        <is>
          <t>AUTO_VESSEL</t>
        </is>
      </c>
      <c r="I191" t="inlineStr">
        <is>
          <t>是</t>
        </is>
      </c>
      <c r="J191" t="inlineStr">
        <is>
          <t>纳入</t>
        </is>
      </c>
      <c r="K191" t="n">
        <v>460.562381852552</v>
      </c>
      <c r="L191">
        <f>导管母表_860!G191</f>
        <v/>
      </c>
      <c r="M191" t="inlineStr">
        <is>
          <t>视野内部</t>
        </is>
      </c>
      <c r="N191" t="inlineStr">
        <is>
          <t>纳入A/D/Dh；若有Pair_ID则纳入CWR</t>
        </is>
      </c>
      <c r="O191" t="inlineStr">
        <is>
          <t>自动管线检出的合格导管腔。</t>
        </is>
      </c>
      <c r="P191" t="inlineStr">
        <is>
          <t>auto_pipeline;review_png_green</t>
        </is>
      </c>
      <c r="R191" t="inlineStr">
        <is>
          <t>样品47</t>
        </is>
      </c>
    </row>
    <row r="192">
      <c r="A192" t="inlineStr">
        <is>
          <t>47(1)-V02</t>
        </is>
      </c>
      <c r="B192" t="inlineStr">
        <is>
          <t>47 (1).tif</t>
        </is>
      </c>
      <c r="C192" t="n">
        <v>906</v>
      </c>
      <c r="D192" t="n">
        <v>274</v>
      </c>
      <c r="E192" t="inlineStr">
        <is>
          <t>847,230,966,319</t>
        </is>
      </c>
      <c r="F192" t="n">
        <v>58</v>
      </c>
      <c r="G192" t="inlineStr">
        <is>
          <t>primary</t>
        </is>
      </c>
      <c r="H192" t="inlineStr">
        <is>
          <t>AUTO_VESSEL</t>
        </is>
      </c>
      <c r="I192" t="inlineStr">
        <is>
          <t>是</t>
        </is>
      </c>
      <c r="J192" t="inlineStr">
        <is>
          <t>纳入</t>
        </is>
      </c>
      <c r="K192" t="n">
        <v>374.2911153119093</v>
      </c>
      <c r="L192">
        <f>导管母表_860!G192</f>
        <v/>
      </c>
      <c r="M192" t="inlineStr">
        <is>
          <t>视野内部</t>
        </is>
      </c>
      <c r="N192" t="inlineStr">
        <is>
          <t>纳入A/D/Dh；若有Pair_ID则纳入CWR</t>
        </is>
      </c>
      <c r="O192" t="inlineStr">
        <is>
          <t>自动管线检出的合格导管腔。</t>
        </is>
      </c>
      <c r="P192" t="inlineStr">
        <is>
          <t>auto_pipeline;review_png_green</t>
        </is>
      </c>
      <c r="R192" t="inlineStr">
        <is>
          <t>样品47</t>
        </is>
      </c>
    </row>
    <row r="193">
      <c r="A193" t="inlineStr">
        <is>
          <t>47(1)-V03</t>
        </is>
      </c>
      <c r="B193" t="inlineStr">
        <is>
          <t>47 (1).tif</t>
        </is>
      </c>
      <c r="C193" t="n">
        <v>136</v>
      </c>
      <c r="D193" t="n">
        <v>521</v>
      </c>
      <c r="E193" t="inlineStr">
        <is>
          <t>82,475,191,568</t>
        </is>
      </c>
      <c r="F193" t="n">
        <v>82</v>
      </c>
      <c r="G193" t="inlineStr">
        <is>
          <t>primary</t>
        </is>
      </c>
      <c r="H193" t="inlineStr">
        <is>
          <t>AUTO_VESSEL</t>
        </is>
      </c>
      <c r="I193" t="inlineStr">
        <is>
          <t>是</t>
        </is>
      </c>
      <c r="J193" t="inlineStr">
        <is>
          <t>纳入</t>
        </is>
      </c>
      <c r="K193" t="n">
        <v>369.2580340264651</v>
      </c>
      <c r="L193">
        <f>导管母表_860!G193</f>
        <v/>
      </c>
      <c r="M193" t="inlineStr">
        <is>
          <t>视野内部</t>
        </is>
      </c>
      <c r="N193" t="inlineStr">
        <is>
          <t>纳入A/D/Dh；若有Pair_ID则纳入CWR</t>
        </is>
      </c>
      <c r="O193" t="inlineStr">
        <is>
          <t>自动管线检出的合格导管腔。</t>
        </is>
      </c>
      <c r="P193" t="inlineStr">
        <is>
          <t>auto_pipeline;review_png_green</t>
        </is>
      </c>
      <c r="Q193" t="inlineStr">
        <is>
          <t>47(1)-P01</t>
        </is>
      </c>
      <c r="R193" t="inlineStr">
        <is>
          <t>样品47</t>
        </is>
      </c>
    </row>
    <row r="194">
      <c r="A194" t="inlineStr">
        <is>
          <t>47(1)-V04</t>
        </is>
      </c>
      <c r="B194" t="inlineStr">
        <is>
          <t>47 (1).tif</t>
        </is>
      </c>
      <c r="C194" t="n">
        <v>746</v>
      </c>
      <c r="D194" t="n">
        <v>244</v>
      </c>
      <c r="E194" t="inlineStr">
        <is>
          <t>694,199,799,290</t>
        </is>
      </c>
      <c r="F194" t="n">
        <v>199</v>
      </c>
      <c r="G194" t="inlineStr">
        <is>
          <t>primary</t>
        </is>
      </c>
      <c r="H194" t="inlineStr">
        <is>
          <t>AUTO_VESSEL</t>
        </is>
      </c>
      <c r="I194" t="inlineStr">
        <is>
          <t>是</t>
        </is>
      </c>
      <c r="J194" t="inlineStr">
        <is>
          <t>纳入</t>
        </is>
      </c>
      <c r="K194" t="n">
        <v>336.8383742911153</v>
      </c>
      <c r="L194">
        <f>导管母表_860!G194</f>
        <v/>
      </c>
      <c r="M194" t="inlineStr">
        <is>
          <t>视野内部</t>
        </is>
      </c>
      <c r="N194" t="inlineStr">
        <is>
          <t>纳入A/D/Dh；若有Pair_ID则纳入CWR</t>
        </is>
      </c>
      <c r="O194" t="inlineStr">
        <is>
          <t>自动管线检出的合格导管腔。</t>
        </is>
      </c>
      <c r="P194" t="inlineStr">
        <is>
          <t>auto_pipeline;review_png_green</t>
        </is>
      </c>
      <c r="R194" t="inlineStr">
        <is>
          <t>样品47</t>
        </is>
      </c>
    </row>
    <row r="195">
      <c r="A195" t="inlineStr">
        <is>
          <t>47(1)-V05</t>
        </is>
      </c>
      <c r="B195" t="inlineStr">
        <is>
          <t>47 (1).tif</t>
        </is>
      </c>
      <c r="C195" t="n">
        <v>257</v>
      </c>
      <c r="D195" t="n">
        <v>474</v>
      </c>
      <c r="E195" t="inlineStr">
        <is>
          <t>205,432,310,517</t>
        </is>
      </c>
      <c r="F195" t="n">
        <v>205</v>
      </c>
      <c r="G195" t="inlineStr">
        <is>
          <t>primary</t>
        </is>
      </c>
      <c r="H195" t="inlineStr">
        <is>
          <t>AUTO_VESSEL</t>
        </is>
      </c>
      <c r="I195" t="inlineStr">
        <is>
          <t>是</t>
        </is>
      </c>
      <c r="J195" t="inlineStr">
        <is>
          <t>纳入</t>
        </is>
      </c>
      <c r="K195" t="n">
        <v>322.8260869565217</v>
      </c>
      <c r="L195">
        <f>导管母表_860!G195</f>
        <v/>
      </c>
      <c r="M195" t="inlineStr">
        <is>
          <t>视野内部</t>
        </is>
      </c>
      <c r="N195" t="inlineStr">
        <is>
          <t>纳入A/D/Dh；若有Pair_ID则纳入CWR</t>
        </is>
      </c>
      <c r="O195" t="inlineStr">
        <is>
          <t>自动管线检出的合格导管腔。</t>
        </is>
      </c>
      <c r="P195" t="inlineStr">
        <is>
          <t>auto_pipeline;review_png_green</t>
        </is>
      </c>
      <c r="Q195" t="inlineStr">
        <is>
          <t>47(1)-P01</t>
        </is>
      </c>
      <c r="R195" t="inlineStr">
        <is>
          <t>样品47</t>
        </is>
      </c>
    </row>
    <row r="196">
      <c r="A196" t="inlineStr">
        <is>
          <t>47(1)-V06</t>
        </is>
      </c>
      <c r="B196" t="inlineStr">
        <is>
          <t>47 (1).tif</t>
        </is>
      </c>
      <c r="C196" t="n">
        <v>575</v>
      </c>
      <c r="D196" t="n">
        <v>325</v>
      </c>
      <c r="E196" t="inlineStr">
        <is>
          <t>527,280,624,371</t>
        </is>
      </c>
      <c r="F196" t="n">
        <v>280</v>
      </c>
      <c r="G196" t="inlineStr">
        <is>
          <t>primary</t>
        </is>
      </c>
      <c r="H196" t="inlineStr">
        <is>
          <t>AUTO_VESSEL</t>
        </is>
      </c>
      <c r="I196" t="inlineStr">
        <is>
          <t>是</t>
        </is>
      </c>
      <c r="J196" t="inlineStr">
        <is>
          <t>纳入</t>
        </is>
      </c>
      <c r="K196" t="n">
        <v>320.15595463138</v>
      </c>
      <c r="L196">
        <f>导管母表_860!G196</f>
        <v/>
      </c>
      <c r="M196" t="inlineStr">
        <is>
          <t>视野内部</t>
        </is>
      </c>
      <c r="N196" t="inlineStr">
        <is>
          <t>纳入A/D/Dh；若有Pair_ID则纳入CWR</t>
        </is>
      </c>
      <c r="O196" t="inlineStr">
        <is>
          <t>自动管线检出的合格导管腔。</t>
        </is>
      </c>
      <c r="P196" t="inlineStr">
        <is>
          <t>auto_pipeline;review_png_green</t>
        </is>
      </c>
      <c r="R196" t="inlineStr">
        <is>
          <t>样品47</t>
        </is>
      </c>
    </row>
    <row r="197">
      <c r="A197" t="inlineStr">
        <is>
          <t>47(1)-V07</t>
        </is>
      </c>
      <c r="B197" t="inlineStr">
        <is>
          <t>47 (1).tif</t>
        </is>
      </c>
      <c r="C197" t="n">
        <v>464</v>
      </c>
      <c r="D197" t="n">
        <v>377</v>
      </c>
      <c r="E197" t="inlineStr">
        <is>
          <t>418,338,511,417</t>
        </is>
      </c>
      <c r="F197" t="n">
        <v>338</v>
      </c>
      <c r="G197" t="inlineStr">
        <is>
          <t>primary</t>
        </is>
      </c>
      <c r="H197" t="inlineStr">
        <is>
          <t>AUTO_VESSEL</t>
        </is>
      </c>
      <c r="I197" t="inlineStr">
        <is>
          <t>是</t>
        </is>
      </c>
      <c r="J197" t="inlineStr">
        <is>
          <t>纳入</t>
        </is>
      </c>
      <c r="K197" t="n">
        <v>266.0680529300567</v>
      </c>
      <c r="L197">
        <f>导管母表_860!G197</f>
        <v/>
      </c>
      <c r="M197" t="inlineStr">
        <is>
          <t>视野内部</t>
        </is>
      </c>
      <c r="N197" t="inlineStr">
        <is>
          <t>纳入A/D/Dh；若有Pair_ID则纳入CWR</t>
        </is>
      </c>
      <c r="O197" t="inlineStr">
        <is>
          <t>自动管线检出的合格导管腔。</t>
        </is>
      </c>
      <c r="P197" t="inlineStr">
        <is>
          <t>auto_pipeline;review_png_green</t>
        </is>
      </c>
      <c r="R197" t="inlineStr">
        <is>
          <t>样品47</t>
        </is>
      </c>
    </row>
    <row r="198">
      <c r="A198" t="inlineStr">
        <is>
          <t>47(1)-V08</t>
        </is>
      </c>
      <c r="B198" t="inlineStr">
        <is>
          <t>47 (1).tif</t>
        </is>
      </c>
      <c r="C198" t="n">
        <v>311</v>
      </c>
      <c r="D198" t="n">
        <v>211</v>
      </c>
      <c r="E198" t="inlineStr">
        <is>
          <t>262,178,361,245</t>
        </is>
      </c>
      <c r="F198" t="n">
        <v>178</v>
      </c>
      <c r="G198" t="inlineStr">
        <is>
          <t>primary</t>
        </is>
      </c>
      <c r="H198" t="inlineStr">
        <is>
          <t>AUTO_VESSEL</t>
        </is>
      </c>
      <c r="I198" t="inlineStr">
        <is>
          <t>是</t>
        </is>
      </c>
      <c r="J198" t="inlineStr">
        <is>
          <t>纳入</t>
        </is>
      </c>
      <c r="K198" t="n">
        <v>237.0982986767486</v>
      </c>
      <c r="L198">
        <f>导管母表_860!G198</f>
        <v/>
      </c>
      <c r="M198" t="inlineStr">
        <is>
          <t>视野内部</t>
        </is>
      </c>
      <c r="N198" t="inlineStr">
        <is>
          <t>纳入A/D/Dh；若有Pair_ID则纳入CWR</t>
        </is>
      </c>
      <c r="O198" t="inlineStr">
        <is>
          <t>自动管线检出的合格导管腔。</t>
        </is>
      </c>
      <c r="P198" t="inlineStr">
        <is>
          <t>auto_pipeline;review_png_green</t>
        </is>
      </c>
      <c r="R198" t="inlineStr">
        <is>
          <t>样品47</t>
        </is>
      </c>
    </row>
    <row r="199">
      <c r="A199" t="inlineStr">
        <is>
          <t>47(2)-V01</t>
        </is>
      </c>
      <c r="B199" t="inlineStr">
        <is>
          <t>47 (2).tif</t>
        </is>
      </c>
      <c r="C199" t="n">
        <v>549</v>
      </c>
      <c r="D199" t="n">
        <v>272</v>
      </c>
      <c r="E199" t="inlineStr">
        <is>
          <t>461,212,638,333</t>
        </is>
      </c>
      <c r="F199" t="n">
        <v>212</v>
      </c>
      <c r="G199" t="inlineStr">
        <is>
          <t>primary</t>
        </is>
      </c>
      <c r="H199" t="inlineStr">
        <is>
          <t>AUTO_VESSEL</t>
        </is>
      </c>
      <c r="I199" t="inlineStr">
        <is>
          <t>是</t>
        </is>
      </c>
      <c r="J199" t="inlineStr">
        <is>
          <t>纳入</t>
        </is>
      </c>
      <c r="K199" t="n">
        <v>783.648393194707</v>
      </c>
      <c r="L199">
        <f>导管母表_860!G199</f>
        <v/>
      </c>
      <c r="M199" t="inlineStr">
        <is>
          <t>视野内部</t>
        </is>
      </c>
      <c r="N199" t="inlineStr">
        <is>
          <t>纳入A/D/Dh；若有Pair_ID则纳入CWR</t>
        </is>
      </c>
      <c r="O199" t="inlineStr">
        <is>
          <t>自动管线检出的合格导管腔。</t>
        </is>
      </c>
      <c r="P199" t="inlineStr">
        <is>
          <t>auto_pipeline;review_png_green</t>
        </is>
      </c>
      <c r="R199" t="inlineStr">
        <is>
          <t>样品47</t>
        </is>
      </c>
    </row>
    <row r="200">
      <c r="A200" t="inlineStr">
        <is>
          <t>47(2)-V02</t>
        </is>
      </c>
      <c r="B200" t="inlineStr">
        <is>
          <t>47 (2).tif</t>
        </is>
      </c>
      <c r="C200" t="n">
        <v>181</v>
      </c>
      <c r="D200" t="n">
        <v>585</v>
      </c>
      <c r="E200" t="inlineStr">
        <is>
          <t>97,523,266,648</t>
        </is>
      </c>
      <c r="F200" t="n">
        <v>97</v>
      </c>
      <c r="G200" t="inlineStr">
        <is>
          <t>primary</t>
        </is>
      </c>
      <c r="H200" t="inlineStr">
        <is>
          <t>AUTO_VESSEL</t>
        </is>
      </c>
      <c r="I200" t="inlineStr">
        <is>
          <t>是</t>
        </is>
      </c>
      <c r="J200" t="inlineStr">
        <is>
          <t>纳入</t>
        </is>
      </c>
      <c r="K200" t="n">
        <v>736.0113421550094</v>
      </c>
      <c r="L200">
        <f>导管母表_860!G200</f>
        <v/>
      </c>
      <c r="M200" t="inlineStr">
        <is>
          <t>视野内部</t>
        </is>
      </c>
      <c r="N200" t="inlineStr">
        <is>
          <t>纳入A/D/Dh；若有Pair_ID则纳入CWR</t>
        </is>
      </c>
      <c r="O200" t="inlineStr">
        <is>
          <t>自动管线检出的合格导管腔。</t>
        </is>
      </c>
      <c r="P200" t="inlineStr">
        <is>
          <t>auto_pipeline;review_png_green</t>
        </is>
      </c>
      <c r="R200" t="inlineStr">
        <is>
          <t>样品47</t>
        </is>
      </c>
    </row>
    <row r="201">
      <c r="A201" t="inlineStr">
        <is>
          <t>47(3)-V01</t>
        </is>
      </c>
      <c r="B201" t="inlineStr">
        <is>
          <t>47 (3).tif</t>
        </is>
      </c>
      <c r="C201" t="n">
        <v>703</v>
      </c>
      <c r="D201" t="n">
        <v>499</v>
      </c>
      <c r="E201" t="inlineStr">
        <is>
          <t>614,358,793,641</t>
        </is>
      </c>
      <c r="F201" t="n">
        <v>127</v>
      </c>
      <c r="G201" t="inlineStr">
        <is>
          <t>primary</t>
        </is>
      </c>
      <c r="H201" t="inlineStr">
        <is>
          <t>AUTO_VESSEL</t>
        </is>
      </c>
      <c r="I201" t="inlineStr">
        <is>
          <t>是</t>
        </is>
      </c>
      <c r="J201" t="inlineStr">
        <is>
          <t>纳入</t>
        </is>
      </c>
      <c r="K201" t="n">
        <v>1863.2797731569</v>
      </c>
      <c r="L201">
        <f>导管母表_860!G201</f>
        <v/>
      </c>
      <c r="M201" t="inlineStr">
        <is>
          <t>视野内部</t>
        </is>
      </c>
      <c r="N201" t="inlineStr">
        <is>
          <t>纳入A/D/Dh；若有Pair_ID则纳入CWR</t>
        </is>
      </c>
      <c r="O201" t="inlineStr">
        <is>
          <t>自动管线检出的合格导管腔。</t>
        </is>
      </c>
      <c r="P201" t="inlineStr">
        <is>
          <t>auto_pipeline;review_png_green</t>
        </is>
      </c>
      <c r="R201" t="inlineStr">
        <is>
          <t>样品47</t>
        </is>
      </c>
    </row>
    <row r="202">
      <c r="A202" t="inlineStr">
        <is>
          <t>47(3)-V02</t>
        </is>
      </c>
      <c r="B202" t="inlineStr">
        <is>
          <t>47 (3).tif</t>
        </is>
      </c>
      <c r="C202" t="n">
        <v>174</v>
      </c>
      <c r="D202" t="n">
        <v>513</v>
      </c>
      <c r="E202" t="inlineStr">
        <is>
          <t>95,430,254,597</t>
        </is>
      </c>
      <c r="F202" t="n">
        <v>95</v>
      </c>
      <c r="G202" t="inlineStr">
        <is>
          <t>primary</t>
        </is>
      </c>
      <c r="H202" t="inlineStr">
        <is>
          <t>AUTO_VESSEL</t>
        </is>
      </c>
      <c r="I202" t="inlineStr">
        <is>
          <t>是</t>
        </is>
      </c>
      <c r="J202" t="inlineStr">
        <is>
          <t>纳入</t>
        </is>
      </c>
      <c r="K202" t="n">
        <v>919.2107750472589</v>
      </c>
      <c r="L202">
        <f>导管母表_860!G202</f>
        <v/>
      </c>
      <c r="M202" t="inlineStr">
        <is>
          <t>视野内部</t>
        </is>
      </c>
      <c r="N202" t="inlineStr">
        <is>
          <t>纳入A/D/Dh；若有Pair_ID则纳入CWR</t>
        </is>
      </c>
      <c r="O202" t="inlineStr">
        <is>
          <t>自动管线检出的合格导管腔。</t>
        </is>
      </c>
      <c r="P202" t="inlineStr">
        <is>
          <t>auto_pipeline;review_png_green</t>
        </is>
      </c>
      <c r="R202" t="inlineStr">
        <is>
          <t>样品47</t>
        </is>
      </c>
    </row>
    <row r="203">
      <c r="A203" t="inlineStr">
        <is>
          <t>47(3)-V03</t>
        </is>
      </c>
      <c r="B203" t="inlineStr">
        <is>
          <t>47 (3).tif</t>
        </is>
      </c>
      <c r="C203" t="n">
        <v>687</v>
      </c>
      <c r="D203" t="n">
        <v>179</v>
      </c>
      <c r="E203" t="inlineStr">
        <is>
          <t>606,109,769,250</t>
        </is>
      </c>
      <c r="F203" t="n">
        <v>109</v>
      </c>
      <c r="G203" t="inlineStr">
        <is>
          <t>primary</t>
        </is>
      </c>
      <c r="H203" t="inlineStr">
        <is>
          <t>AUTO_VESSEL</t>
        </is>
      </c>
      <c r="I203" t="inlineStr">
        <is>
          <t>是</t>
        </is>
      </c>
      <c r="J203" t="inlineStr">
        <is>
          <t>纳入</t>
        </is>
      </c>
      <c r="K203" t="n">
        <v>826.5122873345936</v>
      </c>
      <c r="L203">
        <f>导管母表_860!G203</f>
        <v/>
      </c>
      <c r="M203" t="inlineStr">
        <is>
          <t>视野内部</t>
        </is>
      </c>
      <c r="N203" t="inlineStr">
        <is>
          <t>纳入A/D/Dh；若有Pair_ID则纳入CWR</t>
        </is>
      </c>
      <c r="O203" t="inlineStr">
        <is>
          <t>自动管线检出的合格导管腔。</t>
        </is>
      </c>
      <c r="P203" t="inlineStr">
        <is>
          <t>auto_pipeline;review_png_green</t>
        </is>
      </c>
      <c r="R203" t="inlineStr">
        <is>
          <t>样品47</t>
        </is>
      </c>
    </row>
    <row r="204">
      <c r="A204" t="inlineStr">
        <is>
          <t>47(3)-V04</t>
        </is>
      </c>
      <c r="B204" t="inlineStr">
        <is>
          <t>47 (3).tif</t>
        </is>
      </c>
      <c r="C204" t="n">
        <v>544</v>
      </c>
      <c r="D204" t="n">
        <v>347</v>
      </c>
      <c r="E204" t="inlineStr">
        <is>
          <t>470,274,619,421</t>
        </is>
      </c>
      <c r="F204" t="n">
        <v>274</v>
      </c>
      <c r="G204" t="inlineStr">
        <is>
          <t>primary</t>
        </is>
      </c>
      <c r="H204" t="inlineStr">
        <is>
          <t>AUTO_VESSEL</t>
        </is>
      </c>
      <c r="I204" t="inlineStr">
        <is>
          <t>是</t>
        </is>
      </c>
      <c r="J204" t="inlineStr">
        <is>
          <t>纳入</t>
        </is>
      </c>
      <c r="K204" t="n">
        <v>798.6531190926275</v>
      </c>
      <c r="L204">
        <f>导管母表_860!G204</f>
        <v/>
      </c>
      <c r="M204" t="inlineStr">
        <is>
          <t>视野内部</t>
        </is>
      </c>
      <c r="N204" t="inlineStr">
        <is>
          <t>纳入A/D/Dh；若有Pair_ID则纳入CWR</t>
        </is>
      </c>
      <c r="O204" t="inlineStr">
        <is>
          <t>自动管线检出的合格导管腔。</t>
        </is>
      </c>
      <c r="P204" t="inlineStr">
        <is>
          <t>auto_pipeline;review_png_green</t>
        </is>
      </c>
      <c r="Q204" t="inlineStr">
        <is>
          <t>47(3)-P01</t>
        </is>
      </c>
      <c r="R204" t="inlineStr">
        <is>
          <t>样品47</t>
        </is>
      </c>
    </row>
    <row r="205">
      <c r="A205" t="inlineStr">
        <is>
          <t>47(3)-V05</t>
        </is>
      </c>
      <c r="B205" t="inlineStr">
        <is>
          <t>47 (3).tif</t>
        </is>
      </c>
      <c r="C205" t="n">
        <v>424</v>
      </c>
      <c r="D205" t="n">
        <v>458</v>
      </c>
      <c r="E205" t="inlineStr">
        <is>
          <t>352,389,497,528</t>
        </is>
      </c>
      <c r="F205" t="n">
        <v>240</v>
      </c>
      <c r="G205" t="inlineStr">
        <is>
          <t>primary</t>
        </is>
      </c>
      <c r="H205" t="inlineStr">
        <is>
          <t>AUTO_VESSEL</t>
        </is>
      </c>
      <c r="I205" t="inlineStr">
        <is>
          <t>是</t>
        </is>
      </c>
      <c r="J205" t="inlineStr">
        <is>
          <t>纳入</t>
        </is>
      </c>
      <c r="K205" t="n">
        <v>737.0510396975426</v>
      </c>
      <c r="L205">
        <f>导管母表_860!G205</f>
        <v/>
      </c>
      <c r="M205" t="inlineStr">
        <is>
          <t>视野内部</t>
        </is>
      </c>
      <c r="N205" t="inlineStr">
        <is>
          <t>纳入A/D/Dh；若有Pair_ID则纳入CWR</t>
        </is>
      </c>
      <c r="O205" t="inlineStr">
        <is>
          <t>自动管线检出的合格导管腔。</t>
        </is>
      </c>
      <c r="P205" t="inlineStr">
        <is>
          <t>auto_pipeline;review_png_green</t>
        </is>
      </c>
      <c r="Q205" t="inlineStr">
        <is>
          <t>47(3)-P01</t>
        </is>
      </c>
      <c r="R205" t="inlineStr">
        <is>
          <t>样品47</t>
        </is>
      </c>
    </row>
    <row r="206">
      <c r="A206" t="inlineStr">
        <is>
          <t>47(4)-V01</t>
        </is>
      </c>
      <c r="B206" t="inlineStr">
        <is>
          <t>47 (4).tif</t>
        </is>
      </c>
      <c r="C206" t="n">
        <v>601</v>
      </c>
      <c r="D206" t="n">
        <v>313</v>
      </c>
      <c r="E206" t="inlineStr">
        <is>
          <t>522,254,681,373</t>
        </is>
      </c>
      <c r="F206" t="n">
        <v>254</v>
      </c>
      <c r="G206" t="inlineStr">
        <is>
          <t>primary</t>
        </is>
      </c>
      <c r="H206" t="inlineStr">
        <is>
          <t>AUTO_VESSEL</t>
        </is>
      </c>
      <c r="I206" t="inlineStr">
        <is>
          <t>是</t>
        </is>
      </c>
      <c r="J206" t="inlineStr">
        <is>
          <t>纳入</t>
        </is>
      </c>
      <c r="K206" t="n">
        <v>688.0198487712665</v>
      </c>
      <c r="L206">
        <f>导管母表_860!G206</f>
        <v/>
      </c>
      <c r="M206" t="inlineStr">
        <is>
          <t>视野内部</t>
        </is>
      </c>
      <c r="N206" t="inlineStr">
        <is>
          <t>纳入A/D/Dh；若有Pair_ID则纳入CWR</t>
        </is>
      </c>
      <c r="O206" t="inlineStr">
        <is>
          <t>自动管线检出的合格导管腔。</t>
        </is>
      </c>
      <c r="P206" t="inlineStr">
        <is>
          <t>auto_pipeline;review_png_green</t>
        </is>
      </c>
      <c r="R206" t="inlineStr">
        <is>
          <t>样品47</t>
        </is>
      </c>
    </row>
    <row r="207">
      <c r="A207" t="inlineStr">
        <is>
          <t>47(4)-V02</t>
        </is>
      </c>
      <c r="B207" t="inlineStr">
        <is>
          <t>47 (4).tif</t>
        </is>
      </c>
      <c r="C207" t="n">
        <v>435</v>
      </c>
      <c r="D207" t="n">
        <v>383</v>
      </c>
      <c r="E207" t="inlineStr">
        <is>
          <t>379,319,492,448</t>
        </is>
      </c>
      <c r="F207" t="n">
        <v>319</v>
      </c>
      <c r="G207" t="inlineStr">
        <is>
          <t>primary</t>
        </is>
      </c>
      <c r="H207" t="inlineStr">
        <is>
          <t>AUTO_VESSEL</t>
        </is>
      </c>
      <c r="I207" t="inlineStr">
        <is>
          <t>是</t>
        </is>
      </c>
      <c r="J207" t="inlineStr">
        <is>
          <t>纳入</t>
        </is>
      </c>
      <c r="K207" t="n">
        <v>530.7892249527411</v>
      </c>
      <c r="L207">
        <f>导管母表_860!G207</f>
        <v/>
      </c>
      <c r="M207" t="inlineStr">
        <is>
          <t>视野内部</t>
        </is>
      </c>
      <c r="N207" t="inlineStr">
        <is>
          <t>纳入A/D/Dh；若有Pair_ID则纳入CWR</t>
        </is>
      </c>
      <c r="O207" t="inlineStr">
        <is>
          <t>自动管线检出的合格导管腔。</t>
        </is>
      </c>
      <c r="P207" t="inlineStr">
        <is>
          <t>auto_pipeline;review_png_green</t>
        </is>
      </c>
      <c r="R207" t="inlineStr">
        <is>
          <t>样品47</t>
        </is>
      </c>
    </row>
    <row r="208">
      <c r="A208" t="inlineStr">
        <is>
          <t>47(4)-V03</t>
        </is>
      </c>
      <c r="B208" t="inlineStr">
        <is>
          <t>47 (4).tif</t>
        </is>
      </c>
      <c r="C208" t="n">
        <v>141</v>
      </c>
      <c r="D208" t="n">
        <v>185</v>
      </c>
      <c r="E208" t="inlineStr">
        <is>
          <t>83,123,200,248</t>
        </is>
      </c>
      <c r="F208" t="n">
        <v>83</v>
      </c>
      <c r="G208" t="inlineStr">
        <is>
          <t>primary</t>
        </is>
      </c>
      <c r="H208" t="inlineStr">
        <is>
          <t>AUTO_VESSEL</t>
        </is>
      </c>
      <c r="I208" t="inlineStr">
        <is>
          <t>是</t>
        </is>
      </c>
      <c r="J208" t="inlineStr">
        <is>
          <t>纳入</t>
        </is>
      </c>
      <c r="K208" t="n">
        <v>522.2353497164461</v>
      </c>
      <c r="L208">
        <f>导管母表_860!G208</f>
        <v/>
      </c>
      <c r="M208" t="inlineStr">
        <is>
          <t>视野内部</t>
        </is>
      </c>
      <c r="N208" t="inlineStr">
        <is>
          <t>纳入A/D/Dh；若有Pair_ID则纳入CWR</t>
        </is>
      </c>
      <c r="O208" t="inlineStr">
        <is>
          <t>自动管线检出的合格导管腔。</t>
        </is>
      </c>
      <c r="P208" t="inlineStr">
        <is>
          <t>auto_pipeline;review_png_green</t>
        </is>
      </c>
      <c r="R208" t="inlineStr">
        <is>
          <t>样品47</t>
        </is>
      </c>
    </row>
    <row r="209">
      <c r="A209" t="inlineStr">
        <is>
          <t>47(4)-V04</t>
        </is>
      </c>
      <c r="B209" t="inlineStr">
        <is>
          <t>47 (4).tif</t>
        </is>
      </c>
      <c r="C209" t="n">
        <v>274</v>
      </c>
      <c r="D209" t="n">
        <v>116</v>
      </c>
      <c r="E209" t="inlineStr">
        <is>
          <t>227,65,322,168</t>
        </is>
      </c>
      <c r="F209" t="n">
        <v>65</v>
      </c>
      <c r="G209" t="inlineStr">
        <is>
          <t>primary</t>
        </is>
      </c>
      <c r="H209" t="inlineStr">
        <is>
          <t>AUTO_VESSEL</t>
        </is>
      </c>
      <c r="I209" t="inlineStr">
        <is>
          <t>是</t>
        </is>
      </c>
      <c r="J209" t="inlineStr">
        <is>
          <t>纳入</t>
        </is>
      </c>
      <c r="K209" t="n">
        <v>354.6786389413988</v>
      </c>
      <c r="L209">
        <f>导管母表_860!G209</f>
        <v/>
      </c>
      <c r="M209" t="inlineStr">
        <is>
          <t>视野内部</t>
        </is>
      </c>
      <c r="N209" t="inlineStr">
        <is>
          <t>纳入A/D/Dh；若有Pair_ID则纳入CWR</t>
        </is>
      </c>
      <c r="O209" t="inlineStr">
        <is>
          <t>自动管线检出的合格导管腔。</t>
        </is>
      </c>
      <c r="P209" t="inlineStr">
        <is>
          <t>auto_pipeline;review_png_green</t>
        </is>
      </c>
      <c r="R209" t="inlineStr">
        <is>
          <t>样品47</t>
        </is>
      </c>
    </row>
    <row r="210">
      <c r="A210" t="inlineStr">
        <is>
          <t>47(4)-V05</t>
        </is>
      </c>
      <c r="B210" t="inlineStr">
        <is>
          <t>47 (4).tif</t>
        </is>
      </c>
      <c r="C210" t="n">
        <v>750</v>
      </c>
      <c r="D210" t="n">
        <v>109</v>
      </c>
      <c r="E210" t="inlineStr">
        <is>
          <t>706,83,795,136</t>
        </is>
      </c>
      <c r="F210" t="n">
        <v>83</v>
      </c>
      <c r="G210" t="inlineStr">
        <is>
          <t>primary</t>
        </is>
      </c>
      <c r="H210" t="inlineStr">
        <is>
          <t>AUTO_VESSEL</t>
        </is>
      </c>
      <c r="I210" t="inlineStr">
        <is>
          <t>是</t>
        </is>
      </c>
      <c r="J210" t="inlineStr">
        <is>
          <t>纳入</t>
        </is>
      </c>
      <c r="K210" t="n">
        <v>169.8015122873346</v>
      </c>
      <c r="L210">
        <f>导管母表_860!G210</f>
        <v/>
      </c>
      <c r="M210" t="inlineStr">
        <is>
          <t>视野内部</t>
        </is>
      </c>
      <c r="N210" t="inlineStr">
        <is>
          <t>纳入A/D/Dh；若有Pair_ID则纳入CWR</t>
        </is>
      </c>
      <c r="O210" t="inlineStr">
        <is>
          <t>自动管线检出的合格导管腔。</t>
        </is>
      </c>
      <c r="P210" t="inlineStr">
        <is>
          <t>auto_pipeline;review_png_green</t>
        </is>
      </c>
      <c r="R210" t="inlineStr">
        <is>
          <t>样品47</t>
        </is>
      </c>
    </row>
    <row r="211">
      <c r="A211" t="inlineStr">
        <is>
          <t>47(5)-V01</t>
        </is>
      </c>
      <c r="B211" t="inlineStr">
        <is>
          <t>47 (5).tif</t>
        </is>
      </c>
      <c r="C211" t="n">
        <v>887</v>
      </c>
      <c r="D211" t="n">
        <v>303</v>
      </c>
      <c r="E211" t="inlineStr">
        <is>
          <t>811,246,964,361</t>
        </is>
      </c>
      <c r="F211" t="n">
        <v>60</v>
      </c>
      <c r="G211" t="inlineStr">
        <is>
          <t>primary</t>
        </is>
      </c>
      <c r="H211" t="inlineStr">
        <is>
          <t>AUTO_VESSEL</t>
        </is>
      </c>
      <c r="I211" t="inlineStr">
        <is>
          <t>是</t>
        </is>
      </c>
      <c r="J211" t="inlineStr">
        <is>
          <t>纳入</t>
        </is>
      </c>
      <c r="K211" t="n">
        <v>643.0293005671077</v>
      </c>
      <c r="L211">
        <f>导管母表_860!G211</f>
        <v/>
      </c>
      <c r="M211" t="inlineStr">
        <is>
          <t>视野内部</t>
        </is>
      </c>
      <c r="N211" t="inlineStr">
        <is>
          <t>纳入A/D/Dh；若有Pair_ID则纳入CWR</t>
        </is>
      </c>
      <c r="O211" t="inlineStr">
        <is>
          <t>自动管线检出的合格导管腔。</t>
        </is>
      </c>
      <c r="P211" t="inlineStr">
        <is>
          <t>auto_pipeline;review_png_green</t>
        </is>
      </c>
      <c r="R211" t="inlineStr">
        <is>
          <t>样品47</t>
        </is>
      </c>
    </row>
    <row r="212">
      <c r="A212" t="inlineStr">
        <is>
          <t>47(5)-V02</t>
        </is>
      </c>
      <c r="B212" t="inlineStr">
        <is>
          <t>47 (5).tif</t>
        </is>
      </c>
      <c r="C212" t="n">
        <v>572</v>
      </c>
      <c r="D212" t="n">
        <v>352</v>
      </c>
      <c r="E212" t="inlineStr">
        <is>
          <t>511,291,634,414</t>
        </is>
      </c>
      <c r="F212" t="n">
        <v>291</v>
      </c>
      <c r="G212" t="inlineStr">
        <is>
          <t>primary</t>
        </is>
      </c>
      <c r="H212" t="inlineStr">
        <is>
          <t>AUTO_VESSEL</t>
        </is>
      </c>
      <c r="I212" t="inlineStr">
        <is>
          <t>是</t>
        </is>
      </c>
      <c r="J212" t="inlineStr">
        <is>
          <t>纳入</t>
        </is>
      </c>
      <c r="K212" t="n">
        <v>550.945179584121</v>
      </c>
      <c r="L212">
        <f>导管母表_860!G212</f>
        <v/>
      </c>
      <c r="M212" t="inlineStr">
        <is>
          <t>视野内部</t>
        </is>
      </c>
      <c r="N212" t="inlineStr">
        <is>
          <t>纳入A/D/Dh；若有Pair_ID则纳入CWR</t>
        </is>
      </c>
      <c r="O212" t="inlineStr">
        <is>
          <t>自动管线检出的合格导管腔。</t>
        </is>
      </c>
      <c r="P212" t="inlineStr">
        <is>
          <t>auto_pipeline;review_png_green</t>
        </is>
      </c>
      <c r="R212" t="inlineStr">
        <is>
          <t>样品47</t>
        </is>
      </c>
    </row>
    <row r="213">
      <c r="A213" t="inlineStr">
        <is>
          <t>47(5)-V03</t>
        </is>
      </c>
      <c r="B213" t="inlineStr">
        <is>
          <t>47 (5).tif</t>
        </is>
      </c>
      <c r="C213" t="n">
        <v>427</v>
      </c>
      <c r="D213" t="n">
        <v>395</v>
      </c>
      <c r="E213" t="inlineStr">
        <is>
          <t>372,345,483,446</t>
        </is>
      </c>
      <c r="F213" t="n">
        <v>322</v>
      </c>
      <c r="G213" t="inlineStr">
        <is>
          <t>primary</t>
        </is>
      </c>
      <c r="H213" t="inlineStr">
        <is>
          <t>AUTO_VESSEL</t>
        </is>
      </c>
      <c r="I213" t="inlineStr">
        <is>
          <t>是</t>
        </is>
      </c>
      <c r="J213" t="inlineStr">
        <is>
          <t>纳入</t>
        </is>
      </c>
      <c r="K213" t="n">
        <v>408.2939508506616</v>
      </c>
      <c r="L213">
        <f>导管母表_860!G213</f>
        <v/>
      </c>
      <c r="M213" t="inlineStr">
        <is>
          <t>视野内部</t>
        </is>
      </c>
      <c r="N213" t="inlineStr">
        <is>
          <t>纳入A/D/Dh；若有Pair_ID则纳入CWR</t>
        </is>
      </c>
      <c r="O213" t="inlineStr">
        <is>
          <t>自动管线检出的合格导管腔。</t>
        </is>
      </c>
      <c r="P213" t="inlineStr">
        <is>
          <t>auto_pipeline;review_png_green</t>
        </is>
      </c>
      <c r="Q213" t="inlineStr">
        <is>
          <t>47(5)-P01</t>
        </is>
      </c>
      <c r="R213" t="inlineStr">
        <is>
          <t>样品47</t>
        </is>
      </c>
    </row>
    <row r="214">
      <c r="A214" t="inlineStr">
        <is>
          <t>47(5)-V04</t>
        </is>
      </c>
      <c r="B214" t="inlineStr">
        <is>
          <t>47 (5).tif</t>
        </is>
      </c>
      <c r="C214" t="n">
        <v>455</v>
      </c>
      <c r="D214" t="n">
        <v>423</v>
      </c>
      <c r="E214" t="inlineStr">
        <is>
          <t>431,403,480,444</t>
        </is>
      </c>
      <c r="F214" t="n">
        <v>324</v>
      </c>
      <c r="G214" t="inlineStr">
        <is>
          <t>primary</t>
        </is>
      </c>
      <c r="H214" t="inlineStr">
        <is>
          <t>AUTO_VESSEL</t>
        </is>
      </c>
      <c r="I214" t="inlineStr">
        <is>
          <t>是</t>
        </is>
      </c>
      <c r="J214" t="inlineStr">
        <is>
          <t>纳入</t>
        </is>
      </c>
      <c r="K214" t="n">
        <v>54.2296786389414</v>
      </c>
      <c r="L214">
        <f>导管母表_860!G214</f>
        <v/>
      </c>
      <c r="M214" t="inlineStr">
        <is>
          <t>视野内部</t>
        </is>
      </c>
      <c r="N214" t="inlineStr">
        <is>
          <t>纳入A/D/Dh；若有Pair_ID则纳入CWR</t>
        </is>
      </c>
      <c r="O214" t="inlineStr">
        <is>
          <t>自动管线检出的合格导管腔。</t>
        </is>
      </c>
      <c r="P214" t="inlineStr">
        <is>
          <t>auto_pipeline;review_png_green</t>
        </is>
      </c>
      <c r="Q214" t="inlineStr">
        <is>
          <t>47(5)-P01</t>
        </is>
      </c>
      <c r="R214" t="inlineStr">
        <is>
          <t>样品47</t>
        </is>
      </c>
    </row>
    <row r="215">
      <c r="A215" t="inlineStr">
        <is>
          <t>47(6)-V01</t>
        </is>
      </c>
      <c r="B215" t="inlineStr">
        <is>
          <t>47 (6).tif</t>
        </is>
      </c>
      <c r="C215" t="n">
        <v>527</v>
      </c>
      <c r="D215" t="n">
        <v>437</v>
      </c>
      <c r="E215" t="inlineStr">
        <is>
          <t>457,384,598,491</t>
        </is>
      </c>
      <c r="F215" t="n">
        <v>277</v>
      </c>
      <c r="G215" t="inlineStr">
        <is>
          <t>primary</t>
        </is>
      </c>
      <c r="H215" t="inlineStr">
        <is>
          <t>AUTO_VESSEL</t>
        </is>
      </c>
      <c r="I215" t="inlineStr">
        <is>
          <t>是</t>
        </is>
      </c>
      <c r="J215" t="inlineStr">
        <is>
          <t>纳入</t>
        </is>
      </c>
      <c r="K215" t="n">
        <v>550.6852551984878</v>
      </c>
      <c r="L215">
        <f>导管母表_860!G215</f>
        <v/>
      </c>
      <c r="M215" t="inlineStr">
        <is>
          <t>视野内部</t>
        </is>
      </c>
      <c r="N215" t="inlineStr">
        <is>
          <t>纳入A/D/Dh；若有Pair_ID则纳入CWR</t>
        </is>
      </c>
      <c r="O215" t="inlineStr">
        <is>
          <t>自动管线检出的合格导管腔。</t>
        </is>
      </c>
      <c r="P215" t="inlineStr">
        <is>
          <t>auto_pipeline;review_png_green</t>
        </is>
      </c>
      <c r="R215" t="inlineStr">
        <is>
          <t>样品47</t>
        </is>
      </c>
    </row>
    <row r="216">
      <c r="A216" t="inlineStr">
        <is>
          <t>47(6)-V02</t>
        </is>
      </c>
      <c r="B216" t="inlineStr">
        <is>
          <t>47 (6).tif</t>
        </is>
      </c>
      <c r="C216" t="n">
        <v>544</v>
      </c>
      <c r="D216" t="n">
        <v>306</v>
      </c>
      <c r="E216" t="inlineStr">
        <is>
          <t>487,254,602,359</t>
        </is>
      </c>
      <c r="F216" t="n">
        <v>254</v>
      </c>
      <c r="G216" t="inlineStr">
        <is>
          <t>primary</t>
        </is>
      </c>
      <c r="H216" t="inlineStr">
        <is>
          <t>AUTO_VESSEL</t>
        </is>
      </c>
      <c r="I216" t="inlineStr">
        <is>
          <t>是</t>
        </is>
      </c>
      <c r="J216" t="inlineStr">
        <is>
          <t>纳入</t>
        </is>
      </c>
      <c r="K216" t="n">
        <v>439.1776937618147</v>
      </c>
      <c r="L216">
        <f>导管母表_860!G216</f>
        <v/>
      </c>
      <c r="M216" t="inlineStr">
        <is>
          <t>视野内部</t>
        </is>
      </c>
      <c r="N216" t="inlineStr">
        <is>
          <t>纳入A/D/Dh；若有Pair_ID则纳入CWR</t>
        </is>
      </c>
      <c r="O216" t="inlineStr">
        <is>
          <t>自动管线检出的合格导管腔。</t>
        </is>
      </c>
      <c r="P216" t="inlineStr">
        <is>
          <t>auto_pipeline;review_png_green</t>
        </is>
      </c>
      <c r="R216" t="inlineStr">
        <is>
          <t>样品47</t>
        </is>
      </c>
    </row>
    <row r="217">
      <c r="A217" t="inlineStr">
        <is>
          <t>47(6)-V03</t>
        </is>
      </c>
      <c r="B217" t="inlineStr">
        <is>
          <t>47 (6).tif</t>
        </is>
      </c>
      <c r="C217" t="n">
        <v>510</v>
      </c>
      <c r="D217" t="n">
        <v>176</v>
      </c>
      <c r="E217" t="inlineStr">
        <is>
          <t>469,115,552,238</t>
        </is>
      </c>
      <c r="F217" t="n">
        <v>115</v>
      </c>
      <c r="G217" t="inlineStr">
        <is>
          <t>primary</t>
        </is>
      </c>
      <c r="H217" t="inlineStr">
        <is>
          <t>AUTO_VESSEL</t>
        </is>
      </c>
      <c r="I217" t="inlineStr">
        <is>
          <t>是</t>
        </is>
      </c>
      <c r="J217" t="inlineStr">
        <is>
          <t>纳入</t>
        </is>
      </c>
      <c r="K217" t="n">
        <v>355.1984877126654</v>
      </c>
      <c r="L217">
        <f>导管母表_860!G217</f>
        <v/>
      </c>
      <c r="M217" t="inlineStr">
        <is>
          <t>视野内部</t>
        </is>
      </c>
      <c r="N217" t="inlineStr">
        <is>
          <t>纳入A/D/Dh；若有Pair_ID则纳入CWR</t>
        </is>
      </c>
      <c r="O217" t="inlineStr">
        <is>
          <t>自动管线检出的合格导管腔。</t>
        </is>
      </c>
      <c r="P217" t="inlineStr">
        <is>
          <t>auto_pipeline;review_png_green</t>
        </is>
      </c>
      <c r="Q217" t="inlineStr">
        <is>
          <t>47(6)-P01</t>
        </is>
      </c>
      <c r="R217" t="inlineStr">
        <is>
          <t>样品47</t>
        </is>
      </c>
    </row>
    <row r="218">
      <c r="A218" t="inlineStr">
        <is>
          <t>47(6)-V04</t>
        </is>
      </c>
      <c r="B218" t="inlineStr">
        <is>
          <t>47 (6).tif</t>
        </is>
      </c>
      <c r="C218" t="n">
        <v>531</v>
      </c>
      <c r="D218" t="n">
        <v>206</v>
      </c>
      <c r="E218" t="inlineStr">
        <is>
          <t>511,176,552,237</t>
        </is>
      </c>
      <c r="F218" t="n">
        <v>176</v>
      </c>
      <c r="G218" t="inlineStr">
        <is>
          <t>primary</t>
        </is>
      </c>
      <c r="H218" t="inlineStr">
        <is>
          <t>AUTO_VESSEL</t>
        </is>
      </c>
      <c r="I218" t="inlineStr">
        <is>
          <t>是</t>
        </is>
      </c>
      <c r="J218" t="inlineStr">
        <is>
          <t>纳入</t>
        </is>
      </c>
      <c r="K218" t="n">
        <v>87.5945179584121</v>
      </c>
      <c r="L218">
        <f>导管母表_860!G218</f>
        <v/>
      </c>
      <c r="M218" t="inlineStr">
        <is>
          <t>视野内部</t>
        </is>
      </c>
      <c r="N218" t="inlineStr">
        <is>
          <t>纳入A/D/Dh；若有Pair_ID则纳入CWR</t>
        </is>
      </c>
      <c r="O218" t="inlineStr">
        <is>
          <t>自动管线检出的合格导管腔。</t>
        </is>
      </c>
      <c r="P218" t="inlineStr">
        <is>
          <t>auto_pipeline;review_png_green</t>
        </is>
      </c>
      <c r="Q218" t="inlineStr">
        <is>
          <t>47(6)-P01</t>
        </is>
      </c>
      <c r="R218" t="inlineStr">
        <is>
          <t>样品47</t>
        </is>
      </c>
    </row>
    <row r="219">
      <c r="A219" t="inlineStr">
        <is>
          <t>47(7)-V01</t>
        </is>
      </c>
      <c r="B219" t="inlineStr">
        <is>
          <t>47 (7).tif</t>
        </is>
      </c>
      <c r="C219" t="n">
        <v>159</v>
      </c>
      <c r="D219" t="n">
        <v>297</v>
      </c>
      <c r="E219" t="inlineStr">
        <is>
          <t>83,241,236,354</t>
        </is>
      </c>
      <c r="F219" t="n">
        <v>83</v>
      </c>
      <c r="G219" t="inlineStr">
        <is>
          <t>primary</t>
        </is>
      </c>
      <c r="H219" t="inlineStr">
        <is>
          <t>AUTO_VESSEL</t>
        </is>
      </c>
      <c r="I219" t="inlineStr">
        <is>
          <t>是</t>
        </is>
      </c>
      <c r="J219" t="inlineStr">
        <is>
          <t>纳入</t>
        </is>
      </c>
      <c r="K219" t="n">
        <v>617.3440453686201</v>
      </c>
      <c r="L219">
        <f>导管母表_860!G219</f>
        <v/>
      </c>
      <c r="M219" t="inlineStr">
        <is>
          <t>视野内部</t>
        </is>
      </c>
      <c r="N219" t="inlineStr">
        <is>
          <t>纳入A/D/Dh；若有Pair_ID则纳入CWR</t>
        </is>
      </c>
      <c r="O219" t="inlineStr">
        <is>
          <t>自动管线检出的合格导管腔。</t>
        </is>
      </c>
      <c r="P219" t="inlineStr">
        <is>
          <t>auto_pipeline;review_png_green</t>
        </is>
      </c>
      <c r="Q219" t="inlineStr">
        <is>
          <t>47(7)-P01</t>
        </is>
      </c>
      <c r="R219" t="inlineStr">
        <is>
          <t>样品47</t>
        </is>
      </c>
    </row>
    <row r="220">
      <c r="A220" t="inlineStr">
        <is>
          <t>47(7)-V02</t>
        </is>
      </c>
      <c r="B220" t="inlineStr">
        <is>
          <t>47 (7).tif</t>
        </is>
      </c>
      <c r="C220" t="n">
        <v>445</v>
      </c>
      <c r="D220" t="n">
        <v>398</v>
      </c>
      <c r="E220" t="inlineStr">
        <is>
          <t>389,337,502,460</t>
        </is>
      </c>
      <c r="F220" t="n">
        <v>308</v>
      </c>
      <c r="G220" t="inlineStr">
        <is>
          <t>primary</t>
        </is>
      </c>
      <c r="H220" t="inlineStr">
        <is>
          <t>AUTO_VESSEL</t>
        </is>
      </c>
      <c r="I220" t="inlineStr">
        <is>
          <t>是</t>
        </is>
      </c>
      <c r="J220" t="inlineStr">
        <is>
          <t>纳入</t>
        </is>
      </c>
      <c r="K220" t="n">
        <v>503.4971644612476</v>
      </c>
      <c r="L220">
        <f>导管母表_860!G220</f>
        <v/>
      </c>
      <c r="M220" t="inlineStr">
        <is>
          <t>视野内部</t>
        </is>
      </c>
      <c r="N220" t="inlineStr">
        <is>
          <t>纳入A/D/Dh；若有Pair_ID则纳入CWR</t>
        </is>
      </c>
      <c r="O220" t="inlineStr">
        <is>
          <t>自动管线检出的合格导管腔。</t>
        </is>
      </c>
      <c r="P220" t="inlineStr">
        <is>
          <t>auto_pipeline;review_png_green</t>
        </is>
      </c>
      <c r="R220" t="inlineStr">
        <is>
          <t>样品47</t>
        </is>
      </c>
    </row>
    <row r="221">
      <c r="A221" t="inlineStr">
        <is>
          <t>47(7)-V03</t>
        </is>
      </c>
      <c r="B221" t="inlineStr">
        <is>
          <t>47 (7).tif</t>
        </is>
      </c>
      <c r="C221" t="n">
        <v>132</v>
      </c>
      <c r="D221" t="n">
        <v>427</v>
      </c>
      <c r="E221" t="inlineStr">
        <is>
          <t>69,373,196,482</t>
        </is>
      </c>
      <c r="F221" t="n">
        <v>69</v>
      </c>
      <c r="G221" t="inlineStr">
        <is>
          <t>primary</t>
        </is>
      </c>
      <c r="H221" t="inlineStr">
        <is>
          <t>AUTO_VESSEL</t>
        </is>
      </c>
      <c r="I221" t="inlineStr">
        <is>
          <t>是</t>
        </is>
      </c>
      <c r="J221" t="inlineStr">
        <is>
          <t>纳入</t>
        </is>
      </c>
      <c r="K221" t="n">
        <v>501.6776937618147</v>
      </c>
      <c r="L221">
        <f>导管母表_860!G221</f>
        <v/>
      </c>
      <c r="M221" t="inlineStr">
        <is>
          <t>视野内部</t>
        </is>
      </c>
      <c r="N221" t="inlineStr">
        <is>
          <t>纳入A/D/Dh；若有Pair_ID则纳入CWR</t>
        </is>
      </c>
      <c r="O221" t="inlineStr">
        <is>
          <t>自动管线检出的合格导管腔。</t>
        </is>
      </c>
      <c r="P221" t="inlineStr">
        <is>
          <t>auto_pipeline;review_png_green</t>
        </is>
      </c>
      <c r="R221" t="inlineStr">
        <is>
          <t>样品47</t>
        </is>
      </c>
    </row>
    <row r="222">
      <c r="A222" t="inlineStr">
        <is>
          <t>47(7)-V04</t>
        </is>
      </c>
      <c r="B222" t="inlineStr">
        <is>
          <t>47 (7).tif</t>
        </is>
      </c>
      <c r="C222" t="n">
        <v>194</v>
      </c>
      <c r="D222" t="n">
        <v>100</v>
      </c>
      <c r="E222" t="inlineStr">
        <is>
          <t>125,53,264,148</t>
        </is>
      </c>
      <c r="F222" t="n">
        <v>53</v>
      </c>
      <c r="G222" t="inlineStr">
        <is>
          <t>primary</t>
        </is>
      </c>
      <c r="H222" t="inlineStr">
        <is>
          <t>AUTO_VESSEL</t>
        </is>
      </c>
      <c r="I222" t="inlineStr">
        <is>
          <t>是</t>
        </is>
      </c>
      <c r="J222" t="inlineStr">
        <is>
          <t>纳入</t>
        </is>
      </c>
      <c r="K222" t="n">
        <v>467.5803402646503</v>
      </c>
      <c r="L222">
        <f>导管母表_860!G222</f>
        <v/>
      </c>
      <c r="M222" t="inlineStr">
        <is>
          <t>视野内部</t>
        </is>
      </c>
      <c r="N222" t="inlineStr">
        <is>
          <t>纳入A/D/Dh；若有Pair_ID则纳入CWR</t>
        </is>
      </c>
      <c r="O222" t="inlineStr">
        <is>
          <t>自动管线检出的合格导管腔。</t>
        </is>
      </c>
      <c r="P222" t="inlineStr">
        <is>
          <t>auto_pipeline;review_png_green</t>
        </is>
      </c>
      <c r="R222" t="inlineStr">
        <is>
          <t>样品47</t>
        </is>
      </c>
    </row>
    <row r="223">
      <c r="A223" t="inlineStr">
        <is>
          <t>47(7)-V05</t>
        </is>
      </c>
      <c r="B223" t="inlineStr">
        <is>
          <t>47 (7).tif</t>
        </is>
      </c>
      <c r="C223" t="n">
        <v>641</v>
      </c>
      <c r="D223" t="n">
        <v>295</v>
      </c>
      <c r="E223" t="inlineStr">
        <is>
          <t>594,241,689,350</t>
        </is>
      </c>
      <c r="F223" t="n">
        <v>241</v>
      </c>
      <c r="G223" t="inlineStr">
        <is>
          <t>primary</t>
        </is>
      </c>
      <c r="H223" t="inlineStr">
        <is>
          <t>AUTO_VESSEL</t>
        </is>
      </c>
      <c r="I223" t="inlineStr">
        <is>
          <t>是</t>
        </is>
      </c>
      <c r="J223" t="inlineStr">
        <is>
          <t>纳入</t>
        </is>
      </c>
      <c r="K223" t="n">
        <v>374.7637051039698</v>
      </c>
      <c r="L223">
        <f>导管母表_860!G223</f>
        <v/>
      </c>
      <c r="M223" t="inlineStr">
        <is>
          <t>视野内部</t>
        </is>
      </c>
      <c r="N223" t="inlineStr">
        <is>
          <t>纳入A/D/Dh；若有Pair_ID则纳入CWR</t>
        </is>
      </c>
      <c r="O223" t="inlineStr">
        <is>
          <t>自动管线检出的合格导管腔。</t>
        </is>
      </c>
      <c r="P223" t="inlineStr">
        <is>
          <t>auto_pipeline;review_png_green</t>
        </is>
      </c>
      <c r="R223" t="inlineStr">
        <is>
          <t>样品47</t>
        </is>
      </c>
    </row>
    <row r="224">
      <c r="A224" t="inlineStr">
        <is>
          <t>47(7)-V06</t>
        </is>
      </c>
      <c r="B224" t="inlineStr">
        <is>
          <t>47 (7).tif</t>
        </is>
      </c>
      <c r="C224" t="n">
        <v>560</v>
      </c>
      <c r="D224" t="n">
        <v>366</v>
      </c>
      <c r="E224" t="inlineStr">
        <is>
          <t>516,311,605,422</t>
        </is>
      </c>
      <c r="F224" t="n">
        <v>311</v>
      </c>
      <c r="G224" t="inlineStr">
        <is>
          <t>primary</t>
        </is>
      </c>
      <c r="H224" t="inlineStr">
        <is>
          <t>AUTO_VESSEL</t>
        </is>
      </c>
      <c r="I224" t="inlineStr">
        <is>
          <t>是</t>
        </is>
      </c>
      <c r="J224" t="inlineStr">
        <is>
          <t>纳入</t>
        </is>
      </c>
      <c r="K224" t="n">
        <v>352.882797731569</v>
      </c>
      <c r="L224">
        <f>导管母表_860!G224</f>
        <v/>
      </c>
      <c r="M224" t="inlineStr">
        <is>
          <t>视野内部</t>
        </is>
      </c>
      <c r="N224" t="inlineStr">
        <is>
          <t>纳入A/D/Dh；若有Pair_ID则纳入CWR</t>
        </is>
      </c>
      <c r="O224" t="inlineStr">
        <is>
          <t>自动管线检出的合格导管腔。</t>
        </is>
      </c>
      <c r="P224" t="inlineStr">
        <is>
          <t>auto_pipeline;review_png_green</t>
        </is>
      </c>
      <c r="R224" t="inlineStr">
        <is>
          <t>样品47</t>
        </is>
      </c>
    </row>
    <row r="225">
      <c r="A225" t="inlineStr">
        <is>
          <t>47(7)-V07</t>
        </is>
      </c>
      <c r="B225" t="inlineStr">
        <is>
          <t>47 (7).tif</t>
        </is>
      </c>
      <c r="C225" t="n">
        <v>911</v>
      </c>
      <c r="D225" t="n">
        <v>206</v>
      </c>
      <c r="E225" t="inlineStr">
        <is>
          <t>871,163,952,250</t>
        </is>
      </c>
      <c r="F225" t="n">
        <v>72</v>
      </c>
      <c r="G225" t="inlineStr">
        <is>
          <t>primary</t>
        </is>
      </c>
      <c r="H225" t="inlineStr">
        <is>
          <t>AUTO_VESSEL</t>
        </is>
      </c>
      <c r="I225" t="inlineStr">
        <is>
          <t>是</t>
        </is>
      </c>
      <c r="J225" t="inlineStr">
        <is>
          <t>纳入</t>
        </is>
      </c>
      <c r="K225" t="n">
        <v>233.8846880907372</v>
      </c>
      <c r="L225">
        <f>导管母表_860!G225</f>
        <v/>
      </c>
      <c r="M225" t="inlineStr">
        <is>
          <t>视野内部</t>
        </is>
      </c>
      <c r="N225" t="inlineStr">
        <is>
          <t>纳入A/D/Dh；若有Pair_ID则纳入CWR</t>
        </is>
      </c>
      <c r="O225" t="inlineStr">
        <is>
          <t>自动管线检出的合格导管腔。</t>
        </is>
      </c>
      <c r="P225" t="inlineStr">
        <is>
          <t>auto_pipeline;review_png_green</t>
        </is>
      </c>
      <c r="R225" t="inlineStr">
        <is>
          <t>样品47</t>
        </is>
      </c>
    </row>
    <row r="226">
      <c r="A226" t="inlineStr">
        <is>
          <t>47(7)-V08</t>
        </is>
      </c>
      <c r="B226" t="inlineStr">
        <is>
          <t>47 (7).tif</t>
        </is>
      </c>
      <c r="C226" t="n">
        <v>548</v>
      </c>
      <c r="D226" t="n">
        <v>114</v>
      </c>
      <c r="E226" t="inlineStr">
        <is>
          <t>506,74,591,155</t>
        </is>
      </c>
      <c r="F226" t="n">
        <v>74</v>
      </c>
      <c r="G226" t="inlineStr">
        <is>
          <t>primary</t>
        </is>
      </c>
      <c r="H226" t="inlineStr">
        <is>
          <t>AUTO_VESSEL</t>
        </is>
      </c>
      <c r="I226" t="inlineStr">
        <is>
          <t>是</t>
        </is>
      </c>
      <c r="J226" t="inlineStr">
        <is>
          <t>纳入</t>
        </is>
      </c>
      <c r="K226" t="n">
        <v>222.1880907372401</v>
      </c>
      <c r="L226">
        <f>导管母表_860!G226</f>
        <v/>
      </c>
      <c r="M226" t="inlineStr">
        <is>
          <t>视野内部</t>
        </is>
      </c>
      <c r="N226" t="inlineStr">
        <is>
          <t>纳入A/D/Dh；若有Pair_ID则纳入CWR</t>
        </is>
      </c>
      <c r="O226" t="inlineStr">
        <is>
          <t>自动管线检出的合格导管腔。</t>
        </is>
      </c>
      <c r="P226" t="inlineStr">
        <is>
          <t>auto_pipeline;review_png_green</t>
        </is>
      </c>
      <c r="R226" t="inlineStr">
        <is>
          <t>样品47</t>
        </is>
      </c>
    </row>
    <row r="227">
      <c r="A227" t="inlineStr">
        <is>
          <t>47(7)-V09</t>
        </is>
      </c>
      <c r="B227" t="inlineStr">
        <is>
          <t>47 (7).tif</t>
        </is>
      </c>
      <c r="C227" t="n">
        <v>188</v>
      </c>
      <c r="D227" t="n">
        <v>314</v>
      </c>
      <c r="E227" t="inlineStr">
        <is>
          <t>142,278,235,351</t>
        </is>
      </c>
      <c r="F227" t="n">
        <v>142</v>
      </c>
      <c r="G227" t="inlineStr">
        <is>
          <t>primary</t>
        </is>
      </c>
      <c r="H227" t="inlineStr">
        <is>
          <t>AUTO_VESSEL</t>
        </is>
      </c>
      <c r="I227" t="inlineStr">
        <is>
          <t>是</t>
        </is>
      </c>
      <c r="J227" t="inlineStr">
        <is>
          <t>纳入</t>
        </is>
      </c>
      <c r="K227" t="n">
        <v>208.5302457466919</v>
      </c>
      <c r="L227">
        <f>导管母表_860!G227</f>
        <v/>
      </c>
      <c r="M227" t="inlineStr">
        <is>
          <t>视野内部</t>
        </is>
      </c>
      <c r="N227" t="inlineStr">
        <is>
          <t>纳入A/D/Dh；若有Pair_ID则纳入CWR</t>
        </is>
      </c>
      <c r="O227" t="inlineStr">
        <is>
          <t>自动管线检出的合格导管腔。</t>
        </is>
      </c>
      <c r="P227" t="inlineStr">
        <is>
          <t>auto_pipeline;review_png_green</t>
        </is>
      </c>
      <c r="Q227" t="inlineStr">
        <is>
          <t>47(7)-P01</t>
        </is>
      </c>
      <c r="R227" t="inlineStr">
        <is>
          <t>样品47</t>
        </is>
      </c>
    </row>
    <row r="228">
      <c r="A228" t="inlineStr">
        <is>
          <t>47(8)-V01</t>
        </is>
      </c>
      <c r="B228" t="inlineStr">
        <is>
          <t>47 (8).tif</t>
        </is>
      </c>
      <c r="C228" t="n">
        <v>390</v>
      </c>
      <c r="D228" t="n">
        <v>169</v>
      </c>
      <c r="E228" t="inlineStr">
        <is>
          <t>0,0,674,412</t>
        </is>
      </c>
      <c r="F228" t="n">
        <v>0</v>
      </c>
      <c r="G228" t="inlineStr">
        <is>
          <t>primary</t>
        </is>
      </c>
      <c r="H228" t="inlineStr">
        <is>
          <t>AUTO_VESSEL</t>
        </is>
      </c>
      <c r="I228" t="inlineStr">
        <is>
          <t>是</t>
        </is>
      </c>
      <c r="J228" t="inlineStr">
        <is>
          <t>纳入</t>
        </is>
      </c>
      <c r="K228" t="n">
        <v>8649.881852551986</v>
      </c>
      <c r="L228">
        <f>导管母表_860!G228</f>
        <v/>
      </c>
      <c r="M228" t="inlineStr">
        <is>
          <t>近边缘（&lt;25 px）</t>
        </is>
      </c>
      <c r="N228" t="inlineStr">
        <is>
          <t>纳入A/D/Dh；若有Pair_ID则纳入CWR</t>
        </is>
      </c>
      <c r="O228" t="inlineStr">
        <is>
          <t>自动管线检出的合格导管腔。</t>
        </is>
      </c>
      <c r="P228" t="inlineStr">
        <is>
          <t>auto_pipeline;review_png_green</t>
        </is>
      </c>
      <c r="R228" t="inlineStr">
        <is>
          <t>样品47</t>
        </is>
      </c>
    </row>
    <row r="229">
      <c r="A229" t="inlineStr">
        <is>
          <t>47(8)-V02</t>
        </is>
      </c>
      <c r="B229" t="inlineStr">
        <is>
          <t>47 (8).tif</t>
        </is>
      </c>
      <c r="C229" t="n">
        <v>927</v>
      </c>
      <c r="D229" t="n">
        <v>481</v>
      </c>
      <c r="E229" t="inlineStr">
        <is>
          <t>818,337,1024,626</t>
        </is>
      </c>
      <c r="F229" t="n">
        <v>0</v>
      </c>
      <c r="G229" t="inlineStr">
        <is>
          <t>primary</t>
        </is>
      </c>
      <c r="H229" t="inlineStr">
        <is>
          <t>AUTO_VESSEL</t>
        </is>
      </c>
      <c r="I229" t="inlineStr">
        <is>
          <t>是</t>
        </is>
      </c>
      <c r="J229" t="inlineStr">
        <is>
          <t>纳入</t>
        </is>
      </c>
      <c r="K229" t="n">
        <v>2321.502835538752</v>
      </c>
      <c r="L229">
        <f>导管母表_860!G229</f>
        <v/>
      </c>
      <c r="M229" t="inlineStr">
        <is>
          <t>近边缘（&lt;25 px）</t>
        </is>
      </c>
      <c r="N229" t="inlineStr">
        <is>
          <t>纳入A/D/Dh；若有Pair_ID则纳入CWR</t>
        </is>
      </c>
      <c r="O229" t="inlineStr">
        <is>
          <t>自动管线检出的合格导管腔。</t>
        </is>
      </c>
      <c r="P229" t="inlineStr">
        <is>
          <t>auto_pipeline;review_png_green</t>
        </is>
      </c>
      <c r="R229" t="inlineStr">
        <is>
          <t>样品47</t>
        </is>
      </c>
    </row>
    <row r="230">
      <c r="A230" t="inlineStr">
        <is>
          <t>47(8)-V03</t>
        </is>
      </c>
      <c r="B230" t="inlineStr">
        <is>
          <t>47 (8).tif</t>
        </is>
      </c>
      <c r="C230" t="n">
        <v>600</v>
      </c>
      <c r="D230" t="n">
        <v>322</v>
      </c>
      <c r="E230" t="inlineStr">
        <is>
          <t>525,241,676,404</t>
        </is>
      </c>
      <c r="F230" t="n">
        <v>241</v>
      </c>
      <c r="G230" t="inlineStr">
        <is>
          <t>primary</t>
        </is>
      </c>
      <c r="H230" t="inlineStr">
        <is>
          <t>AUTO_VESSEL</t>
        </is>
      </c>
      <c r="I230" t="inlineStr">
        <is>
          <t>是</t>
        </is>
      </c>
      <c r="J230" t="inlineStr">
        <is>
          <t>纳入</t>
        </is>
      </c>
      <c r="K230" t="n">
        <v>901.1105860113422</v>
      </c>
      <c r="L230">
        <f>导管母表_860!G230</f>
        <v/>
      </c>
      <c r="M230" t="inlineStr">
        <is>
          <t>视野内部</t>
        </is>
      </c>
      <c r="N230" t="inlineStr">
        <is>
          <t>纳入A/D/Dh；若有Pair_ID则纳入CWR</t>
        </is>
      </c>
      <c r="O230" t="inlineStr">
        <is>
          <t>自动管线检出的合格导管腔。</t>
        </is>
      </c>
      <c r="P230" t="inlineStr">
        <is>
          <t>auto_pipeline;review_png_green</t>
        </is>
      </c>
      <c r="Q230" t="inlineStr">
        <is>
          <t>47(8)-P01</t>
        </is>
      </c>
      <c r="R230" t="inlineStr">
        <is>
          <t>样品47</t>
        </is>
      </c>
    </row>
    <row r="231">
      <c r="A231" t="inlineStr">
        <is>
          <t>47(8)-V04</t>
        </is>
      </c>
      <c r="B231" t="inlineStr">
        <is>
          <t>47 (8).tif</t>
        </is>
      </c>
      <c r="C231" t="n">
        <v>783</v>
      </c>
      <c r="D231" t="n">
        <v>336</v>
      </c>
      <c r="E231" t="inlineStr">
        <is>
          <t>706,267,861,406</t>
        </is>
      </c>
      <c r="F231" t="n">
        <v>163</v>
      </c>
      <c r="G231" t="inlineStr">
        <is>
          <t>primary</t>
        </is>
      </c>
      <c r="H231" t="inlineStr">
        <is>
          <t>AUTO_VESSEL</t>
        </is>
      </c>
      <c r="I231" t="inlineStr">
        <is>
          <t>是</t>
        </is>
      </c>
      <c r="J231" t="inlineStr">
        <is>
          <t>纳入</t>
        </is>
      </c>
      <c r="K231" t="n">
        <v>780.694706994329</v>
      </c>
      <c r="L231">
        <f>导管母表_860!G231</f>
        <v/>
      </c>
      <c r="M231" t="inlineStr">
        <is>
          <t>视野内部</t>
        </is>
      </c>
      <c r="N231" t="inlineStr">
        <is>
          <t>纳入A/D/Dh；若有Pair_ID则纳入CWR</t>
        </is>
      </c>
      <c r="O231" t="inlineStr">
        <is>
          <t>自动管线检出的合格导管腔。</t>
        </is>
      </c>
      <c r="P231" t="inlineStr">
        <is>
          <t>auto_pipeline;review_png_green</t>
        </is>
      </c>
      <c r="Q231" t="inlineStr">
        <is>
          <t>47(8)-P01</t>
        </is>
      </c>
      <c r="R231" t="inlineStr">
        <is>
          <t>样品47</t>
        </is>
      </c>
    </row>
    <row r="232">
      <c r="A232" t="inlineStr">
        <is>
          <t>47(8)-V05</t>
        </is>
      </c>
      <c r="B232" t="inlineStr">
        <is>
          <t>47 (8).tif</t>
        </is>
      </c>
      <c r="C232" t="n">
        <v>319</v>
      </c>
      <c r="D232" t="n">
        <v>445</v>
      </c>
      <c r="E232" t="inlineStr">
        <is>
          <t>274,393,365,498</t>
        </is>
      </c>
      <c r="F232" t="n">
        <v>270</v>
      </c>
      <c r="G232" t="inlineStr">
        <is>
          <t>primary</t>
        </is>
      </c>
      <c r="H232" t="inlineStr">
        <is>
          <t>AUTO_VESSEL</t>
        </is>
      </c>
      <c r="I232" t="inlineStr">
        <is>
          <t>是</t>
        </is>
      </c>
      <c r="J232" t="inlineStr">
        <is>
          <t>纳入</t>
        </is>
      </c>
      <c r="K232" t="n">
        <v>346.5737240075615</v>
      </c>
      <c r="L232">
        <f>导管母表_860!G232</f>
        <v/>
      </c>
      <c r="M232" t="inlineStr">
        <is>
          <t>视野内部</t>
        </is>
      </c>
      <c r="N232" t="inlineStr">
        <is>
          <t>纳入A/D/Dh；若有Pair_ID则纳入CWR</t>
        </is>
      </c>
      <c r="O232" t="inlineStr">
        <is>
          <t>自动管线检出的合格导管腔。</t>
        </is>
      </c>
      <c r="P232" t="inlineStr">
        <is>
          <t>auto_pipeline;review_png_green</t>
        </is>
      </c>
      <c r="R232" t="inlineStr">
        <is>
          <t>样品47</t>
        </is>
      </c>
    </row>
    <row r="233">
      <c r="A233" t="inlineStr">
        <is>
          <t>48(1)-V01</t>
        </is>
      </c>
      <c r="B233" t="inlineStr">
        <is>
          <t>48 (1).tif</t>
        </is>
      </c>
      <c r="C233" t="n">
        <v>491</v>
      </c>
      <c r="D233" t="n">
        <v>461</v>
      </c>
      <c r="E233" t="inlineStr">
        <is>
          <t>424,390,559,533</t>
        </is>
      </c>
      <c r="F233" t="n">
        <v>235</v>
      </c>
      <c r="G233" t="inlineStr">
        <is>
          <t>primary</t>
        </is>
      </c>
      <c r="H233" t="inlineStr">
        <is>
          <t>AUTO_VESSEL</t>
        </is>
      </c>
      <c r="I233" t="inlineStr">
        <is>
          <t>是</t>
        </is>
      </c>
      <c r="J233" t="inlineStr">
        <is>
          <t>纳入</t>
        </is>
      </c>
      <c r="K233" t="n">
        <v>704.0879017013233</v>
      </c>
      <c r="L233">
        <f>导管母表_860!G233</f>
        <v/>
      </c>
      <c r="M233" t="inlineStr">
        <is>
          <t>视野内部</t>
        </is>
      </c>
      <c r="N233" t="inlineStr">
        <is>
          <t>纳入A/D/Dh；若有Pair_ID则纳入CWR</t>
        </is>
      </c>
      <c r="O233" t="inlineStr">
        <is>
          <t>自动管线检出的合格导管腔。</t>
        </is>
      </c>
      <c r="P233" t="inlineStr">
        <is>
          <t>auto_pipeline;review_png_green</t>
        </is>
      </c>
      <c r="Q233" t="inlineStr">
        <is>
          <t>48(1)-P01</t>
        </is>
      </c>
      <c r="R233" t="inlineStr">
        <is>
          <t>样品48</t>
        </is>
      </c>
    </row>
    <row r="234">
      <c r="A234" t="inlineStr">
        <is>
          <t>48(1)-V02</t>
        </is>
      </c>
      <c r="B234" t="inlineStr">
        <is>
          <t>48 (1).tif</t>
        </is>
      </c>
      <c r="C234" t="n">
        <v>916</v>
      </c>
      <c r="D234" t="n">
        <v>266</v>
      </c>
      <c r="E234" t="inlineStr">
        <is>
          <t>854,195,979,338</t>
        </is>
      </c>
      <c r="F234" t="n">
        <v>45</v>
      </c>
      <c r="G234" t="inlineStr">
        <is>
          <t>primary</t>
        </is>
      </c>
      <c r="H234" t="inlineStr">
        <is>
          <t>AUTO_VESSEL</t>
        </is>
      </c>
      <c r="I234" t="inlineStr">
        <is>
          <t>是</t>
        </is>
      </c>
      <c r="J234" t="inlineStr">
        <is>
          <t>纳入</t>
        </is>
      </c>
      <c r="K234" t="n">
        <v>653.5916824196597</v>
      </c>
      <c r="L234">
        <f>导管母表_860!G234</f>
        <v/>
      </c>
      <c r="M234" t="inlineStr">
        <is>
          <t>视野内部</t>
        </is>
      </c>
      <c r="N234" t="inlineStr">
        <is>
          <t>纳入A/D/Dh；若有Pair_ID则纳入CWR</t>
        </is>
      </c>
      <c r="O234" t="inlineStr">
        <is>
          <t>自动管线检出的合格导管腔。</t>
        </is>
      </c>
      <c r="P234" t="inlineStr">
        <is>
          <t>auto_pipeline;review_png_green</t>
        </is>
      </c>
      <c r="R234" t="inlineStr">
        <is>
          <t>样品48</t>
        </is>
      </c>
    </row>
    <row r="235">
      <c r="A235" t="inlineStr">
        <is>
          <t>48(1)-V03</t>
        </is>
      </c>
      <c r="B235" t="inlineStr">
        <is>
          <t>48 (1).tif</t>
        </is>
      </c>
      <c r="C235" t="n">
        <v>850</v>
      </c>
      <c r="D235" t="n">
        <v>465</v>
      </c>
      <c r="E235" t="inlineStr">
        <is>
          <t>790,400,911,531</t>
        </is>
      </c>
      <c r="F235" t="n">
        <v>113</v>
      </c>
      <c r="G235" t="inlineStr">
        <is>
          <t>primary</t>
        </is>
      </c>
      <c r="H235" t="inlineStr">
        <is>
          <t>AUTO_VESSEL</t>
        </is>
      </c>
      <c r="I235" t="inlineStr">
        <is>
          <t>是</t>
        </is>
      </c>
      <c r="J235" t="inlineStr">
        <is>
          <t>纳入</t>
        </is>
      </c>
      <c r="K235" t="n">
        <v>578.0482041587902</v>
      </c>
      <c r="L235">
        <f>导管母表_860!G235</f>
        <v/>
      </c>
      <c r="M235" t="inlineStr">
        <is>
          <t>视野内部</t>
        </is>
      </c>
      <c r="N235" t="inlineStr">
        <is>
          <t>纳入A/D/Dh；若有Pair_ID则纳入CWR</t>
        </is>
      </c>
      <c r="O235" t="inlineStr">
        <is>
          <t>自动管线检出的合格导管腔。</t>
        </is>
      </c>
      <c r="P235" t="inlineStr">
        <is>
          <t>auto_pipeline;review_png_green</t>
        </is>
      </c>
      <c r="R235" t="inlineStr">
        <is>
          <t>样品48</t>
        </is>
      </c>
    </row>
    <row r="236">
      <c r="A236" t="inlineStr">
        <is>
          <t>48(1)-V04</t>
        </is>
      </c>
      <c r="B236" t="inlineStr">
        <is>
          <t>48 (1).tif</t>
        </is>
      </c>
      <c r="C236" t="n">
        <v>258</v>
      </c>
      <c r="D236" t="n">
        <v>526</v>
      </c>
      <c r="E236" t="inlineStr">
        <is>
          <t>206,466,311,587</t>
        </is>
      </c>
      <c r="F236" t="n">
        <v>181</v>
      </c>
      <c r="G236" t="inlineStr">
        <is>
          <t>primary</t>
        </is>
      </c>
      <c r="H236" t="inlineStr">
        <is>
          <t>AUTO_VESSEL</t>
        </is>
      </c>
      <c r="I236" t="inlineStr">
        <is>
          <t>是</t>
        </is>
      </c>
      <c r="J236" t="inlineStr">
        <is>
          <t>纳入</t>
        </is>
      </c>
      <c r="K236" t="n">
        <v>463.0434782608696</v>
      </c>
      <c r="L236">
        <f>导管母表_860!G236</f>
        <v/>
      </c>
      <c r="M236" t="inlineStr">
        <is>
          <t>视野内部</t>
        </is>
      </c>
      <c r="N236" t="inlineStr">
        <is>
          <t>纳入A/D/Dh；若有Pair_ID则纳入CWR</t>
        </is>
      </c>
      <c r="O236" t="inlineStr">
        <is>
          <t>自动管线检出的合格导管腔。</t>
        </is>
      </c>
      <c r="P236" t="inlineStr">
        <is>
          <t>auto_pipeline;review_png_green</t>
        </is>
      </c>
      <c r="R236" t="inlineStr">
        <is>
          <t>样品48</t>
        </is>
      </c>
    </row>
    <row r="237">
      <c r="A237" t="inlineStr">
        <is>
          <t>48(1)-V05</t>
        </is>
      </c>
      <c r="B237" t="inlineStr">
        <is>
          <t>48 (1).tif</t>
        </is>
      </c>
      <c r="C237" t="n">
        <v>529</v>
      </c>
      <c r="D237" t="n">
        <v>317</v>
      </c>
      <c r="E237" t="inlineStr">
        <is>
          <t>465,271,594,364</t>
        </is>
      </c>
      <c r="F237" t="n">
        <v>271</v>
      </c>
      <c r="G237" t="inlineStr">
        <is>
          <t>primary</t>
        </is>
      </c>
      <c r="H237" t="inlineStr">
        <is>
          <t>AUTO_VESSEL</t>
        </is>
      </c>
      <c r="I237" t="inlineStr">
        <is>
          <t>是</t>
        </is>
      </c>
      <c r="J237" t="inlineStr">
        <is>
          <t>纳入</t>
        </is>
      </c>
      <c r="K237" t="n">
        <v>437.0982986767486</v>
      </c>
      <c r="L237">
        <f>导管母表_860!G237</f>
        <v/>
      </c>
      <c r="M237" t="inlineStr">
        <is>
          <t>视野内部</t>
        </is>
      </c>
      <c r="N237" t="inlineStr">
        <is>
          <t>纳入A/D/Dh；若有Pair_ID则纳入CWR</t>
        </is>
      </c>
      <c r="O237" t="inlineStr">
        <is>
          <t>自动管线检出的合格导管腔。</t>
        </is>
      </c>
      <c r="P237" t="inlineStr">
        <is>
          <t>auto_pipeline;review_png_green</t>
        </is>
      </c>
      <c r="Q237" t="inlineStr">
        <is>
          <t>48(1)-P01</t>
        </is>
      </c>
      <c r="R237" t="inlineStr">
        <is>
          <t>样品48</t>
        </is>
      </c>
    </row>
    <row r="238">
      <c r="A238" t="inlineStr">
        <is>
          <t>48(1)-V06</t>
        </is>
      </c>
      <c r="B238" t="inlineStr">
        <is>
          <t>48 (1).tif</t>
        </is>
      </c>
      <c r="C238" t="n">
        <v>594</v>
      </c>
      <c r="D238" t="n">
        <v>62</v>
      </c>
      <c r="E238" t="inlineStr">
        <is>
          <t>537,7,652,118</t>
        </is>
      </c>
      <c r="F238" t="n">
        <v>7</v>
      </c>
      <c r="G238" t="inlineStr">
        <is>
          <t>primary</t>
        </is>
      </c>
      <c r="H238" t="inlineStr">
        <is>
          <t>AUTO_VESSEL</t>
        </is>
      </c>
      <c r="I238" t="inlineStr">
        <is>
          <t>是</t>
        </is>
      </c>
      <c r="J238" t="inlineStr">
        <is>
          <t>纳入</t>
        </is>
      </c>
      <c r="K238" t="n">
        <v>399.6219281663516</v>
      </c>
      <c r="L238">
        <f>导管母表_860!G238</f>
        <v/>
      </c>
      <c r="M238" t="inlineStr">
        <is>
          <t>近边缘（&lt;25 px）</t>
        </is>
      </c>
      <c r="N238" t="inlineStr">
        <is>
          <t>纳入A/D/Dh；若有Pair_ID则纳入CWR</t>
        </is>
      </c>
      <c r="O238" t="inlineStr">
        <is>
          <t>自动管线检出的合格导管腔。</t>
        </is>
      </c>
      <c r="P238" t="inlineStr">
        <is>
          <t>auto_pipeline;review_png_green</t>
        </is>
      </c>
      <c r="R238" t="inlineStr">
        <is>
          <t>样品48</t>
        </is>
      </c>
    </row>
    <row r="239">
      <c r="A239" t="inlineStr">
        <is>
          <t>48(2)-V01</t>
        </is>
      </c>
      <c r="B239" t="inlineStr">
        <is>
          <t>48 (2).tif</t>
        </is>
      </c>
      <c r="C239" t="n">
        <v>597</v>
      </c>
      <c r="D239" t="n">
        <v>337</v>
      </c>
      <c r="E239" t="inlineStr">
        <is>
          <t>501,218,694,457</t>
        </is>
      </c>
      <c r="F239" t="n">
        <v>218</v>
      </c>
      <c r="G239" t="inlineStr">
        <is>
          <t>primary</t>
        </is>
      </c>
      <c r="H239" t="inlineStr">
        <is>
          <t>AUTO_VESSEL</t>
        </is>
      </c>
      <c r="I239" t="inlineStr">
        <is>
          <t>是</t>
        </is>
      </c>
      <c r="J239" t="inlineStr">
        <is>
          <t>纳入</t>
        </is>
      </c>
      <c r="K239" t="n">
        <v>1632.703213610586</v>
      </c>
      <c r="L239">
        <f>导管母表_860!G239</f>
        <v/>
      </c>
      <c r="M239" t="inlineStr">
        <is>
          <t>视野内部</t>
        </is>
      </c>
      <c r="N239" t="inlineStr">
        <is>
          <t>纳入A/D/Dh；若有Pair_ID则纳入CWR</t>
        </is>
      </c>
      <c r="O239" t="inlineStr">
        <is>
          <t>自动管线检出的合格导管腔。</t>
        </is>
      </c>
      <c r="P239" t="inlineStr">
        <is>
          <t>auto_pipeline;review_png_green</t>
        </is>
      </c>
      <c r="Q239" t="inlineStr">
        <is>
          <t>48(2)-P01</t>
        </is>
      </c>
      <c r="R239" t="inlineStr">
        <is>
          <t>样品48</t>
        </is>
      </c>
    </row>
    <row r="240">
      <c r="A240" t="inlineStr">
        <is>
          <t>48(2)-V02</t>
        </is>
      </c>
      <c r="B240" t="inlineStr">
        <is>
          <t>48 (2).tif</t>
        </is>
      </c>
      <c r="C240" t="n">
        <v>408</v>
      </c>
      <c r="D240" t="n">
        <v>384</v>
      </c>
      <c r="E240" t="inlineStr">
        <is>
          <t>326,290,491,479</t>
        </is>
      </c>
      <c r="F240" t="n">
        <v>289</v>
      </c>
      <c r="G240" t="inlineStr">
        <is>
          <t>primary</t>
        </is>
      </c>
      <c r="H240" t="inlineStr">
        <is>
          <t>AUTO_VESSEL</t>
        </is>
      </c>
      <c r="I240" t="inlineStr">
        <is>
          <t>是</t>
        </is>
      </c>
      <c r="J240" t="inlineStr">
        <is>
          <t>纳入</t>
        </is>
      </c>
      <c r="K240" t="n">
        <v>1090.500945179584</v>
      </c>
      <c r="L240">
        <f>导管母表_860!G240</f>
        <v/>
      </c>
      <c r="M240" t="inlineStr">
        <is>
          <t>视野内部</t>
        </is>
      </c>
      <c r="N240" t="inlineStr">
        <is>
          <t>纳入A/D/Dh；若有Pair_ID则纳入CWR</t>
        </is>
      </c>
      <c r="O240" t="inlineStr">
        <is>
          <t>自动管线检出的合格导管腔。</t>
        </is>
      </c>
      <c r="P240" t="inlineStr">
        <is>
          <t>auto_pipeline;review_png_green</t>
        </is>
      </c>
      <c r="Q240" t="inlineStr">
        <is>
          <t>48(2)-P01</t>
        </is>
      </c>
      <c r="R240" t="inlineStr">
        <is>
          <t>样品48</t>
        </is>
      </c>
    </row>
    <row r="241">
      <c r="A241" t="inlineStr">
        <is>
          <t>48(2)-V03</t>
        </is>
      </c>
      <c r="B241" t="inlineStr">
        <is>
          <t>48 (2).tif</t>
        </is>
      </c>
      <c r="C241" t="n">
        <v>207</v>
      </c>
      <c r="D241" t="n">
        <v>426</v>
      </c>
      <c r="E241" t="inlineStr">
        <is>
          <t>173,396,242,457</t>
        </is>
      </c>
      <c r="F241" t="n">
        <v>173</v>
      </c>
      <c r="G241" t="inlineStr">
        <is>
          <t>primary</t>
        </is>
      </c>
      <c r="H241" t="inlineStr">
        <is>
          <t>AUTO_VESSEL</t>
        </is>
      </c>
      <c r="I241" t="inlineStr">
        <is>
          <t>是</t>
        </is>
      </c>
      <c r="J241" t="inlineStr">
        <is>
          <t>纳入</t>
        </is>
      </c>
      <c r="K241" t="n">
        <v>143.289224952741</v>
      </c>
      <c r="L241">
        <f>导管母表_860!G241</f>
        <v/>
      </c>
      <c r="M241" t="inlineStr">
        <is>
          <t>视野内部</t>
        </is>
      </c>
      <c r="N241" t="inlineStr">
        <is>
          <t>纳入A/D/Dh；若有Pair_ID则纳入CWR</t>
        </is>
      </c>
      <c r="O241" t="inlineStr">
        <is>
          <t>自动管线检出的合格导管腔。</t>
        </is>
      </c>
      <c r="P241" t="inlineStr">
        <is>
          <t>auto_pipeline;review_png_green</t>
        </is>
      </c>
      <c r="R241" t="inlineStr">
        <is>
          <t>样品48</t>
        </is>
      </c>
    </row>
    <row r="242">
      <c r="A242" t="inlineStr">
        <is>
          <t>48(3)-V01</t>
        </is>
      </c>
      <c r="B242" t="inlineStr">
        <is>
          <t>48 (3).tif</t>
        </is>
      </c>
      <c r="C242" t="n">
        <v>797</v>
      </c>
      <c r="D242" t="n">
        <v>236</v>
      </c>
      <c r="E242" t="inlineStr">
        <is>
          <t>700,147,895,326</t>
        </is>
      </c>
      <c r="F242" t="n">
        <v>129</v>
      </c>
      <c r="G242" t="inlineStr">
        <is>
          <t>primary</t>
        </is>
      </c>
      <c r="H242" t="inlineStr">
        <is>
          <t>AUTO_VESSEL</t>
        </is>
      </c>
      <c r="I242" t="inlineStr">
        <is>
          <t>是</t>
        </is>
      </c>
      <c r="J242" t="inlineStr">
        <is>
          <t>纳入</t>
        </is>
      </c>
      <c r="K242" t="n">
        <v>1278.59168241966</v>
      </c>
      <c r="L242">
        <f>导管母表_860!G242</f>
        <v/>
      </c>
      <c r="M242" t="inlineStr">
        <is>
          <t>视野内部</t>
        </is>
      </c>
      <c r="N242" t="inlineStr">
        <is>
          <t>纳入A/D/Dh；若有Pair_ID则纳入CWR</t>
        </is>
      </c>
      <c r="O242" t="inlineStr">
        <is>
          <t>自动管线检出的合格导管腔。</t>
        </is>
      </c>
      <c r="P242" t="inlineStr">
        <is>
          <t>auto_pipeline;review_png_green</t>
        </is>
      </c>
      <c r="R242" t="inlineStr">
        <is>
          <t>样品48</t>
        </is>
      </c>
    </row>
    <row r="243">
      <c r="A243" t="inlineStr">
        <is>
          <t>48(3)-V02</t>
        </is>
      </c>
      <c r="B243" t="inlineStr">
        <is>
          <t>48 (3).tif</t>
        </is>
      </c>
      <c r="C243" t="n">
        <v>594</v>
      </c>
      <c r="D243" t="n">
        <v>353</v>
      </c>
      <c r="E243" t="inlineStr">
        <is>
          <t>518,277,671,430</t>
        </is>
      </c>
      <c r="F243" t="n">
        <v>277</v>
      </c>
      <c r="G243" t="inlineStr">
        <is>
          <t>primary</t>
        </is>
      </c>
      <c r="H243" t="inlineStr">
        <is>
          <t>AUTO_VESSEL</t>
        </is>
      </c>
      <c r="I243" t="inlineStr">
        <is>
          <t>是</t>
        </is>
      </c>
      <c r="J243" t="inlineStr">
        <is>
          <t>纳入</t>
        </is>
      </c>
      <c r="K243" t="n">
        <v>837.0510396975426</v>
      </c>
      <c r="L243">
        <f>导管母表_860!G243</f>
        <v/>
      </c>
      <c r="M243" t="inlineStr">
        <is>
          <t>视野内部</t>
        </is>
      </c>
      <c r="N243" t="inlineStr">
        <is>
          <t>纳入A/D/Dh；若有Pair_ID则纳入CWR</t>
        </is>
      </c>
      <c r="O243" t="inlineStr">
        <is>
          <t>自动管线检出的合格导管腔。</t>
        </is>
      </c>
      <c r="P243" t="inlineStr">
        <is>
          <t>auto_pipeline;review_png_green</t>
        </is>
      </c>
      <c r="Q243" t="inlineStr">
        <is>
          <t>48(3)-P01</t>
        </is>
      </c>
      <c r="R243" t="inlineStr">
        <is>
          <t>样品48</t>
        </is>
      </c>
    </row>
    <row r="244">
      <c r="A244" t="inlineStr">
        <is>
          <t>48(3)-V03</t>
        </is>
      </c>
      <c r="B244" t="inlineStr">
        <is>
          <t>48 (3).tif</t>
        </is>
      </c>
      <c r="C244" t="n">
        <v>417</v>
      </c>
      <c r="D244" t="n">
        <v>384</v>
      </c>
      <c r="E244" t="inlineStr">
        <is>
          <t>340,311,495,458</t>
        </is>
      </c>
      <c r="F244" t="n">
        <v>310</v>
      </c>
      <c r="G244" t="inlineStr">
        <is>
          <t>primary</t>
        </is>
      </c>
      <c r="H244" t="inlineStr">
        <is>
          <t>AUTO_VESSEL</t>
        </is>
      </c>
      <c r="I244" t="inlineStr">
        <is>
          <t>是</t>
        </is>
      </c>
      <c r="J244" t="inlineStr">
        <is>
          <t>纳入</t>
        </is>
      </c>
      <c r="K244" t="n">
        <v>834.0973534971645</v>
      </c>
      <c r="L244">
        <f>导管母表_860!G244</f>
        <v/>
      </c>
      <c r="M244" t="inlineStr">
        <is>
          <t>视野内部</t>
        </is>
      </c>
      <c r="N244" t="inlineStr">
        <is>
          <t>纳入A/D/Dh；若有Pair_ID则纳入CWR</t>
        </is>
      </c>
      <c r="O244" t="inlineStr">
        <is>
          <t>自动管线检出的合格导管腔。</t>
        </is>
      </c>
      <c r="P244" t="inlineStr">
        <is>
          <t>auto_pipeline;review_png_green</t>
        </is>
      </c>
      <c r="Q244" t="inlineStr">
        <is>
          <t>48(3)-P01</t>
        </is>
      </c>
      <c r="R244" t="inlineStr">
        <is>
          <t>样品48</t>
        </is>
      </c>
    </row>
    <row r="245">
      <c r="A245" t="inlineStr">
        <is>
          <t>48(4)-V01</t>
        </is>
      </c>
      <c r="B245" t="inlineStr">
        <is>
          <t>48 (4).tif</t>
        </is>
      </c>
      <c r="C245" t="n">
        <v>438</v>
      </c>
      <c r="D245" t="n">
        <v>382</v>
      </c>
      <c r="E245" t="inlineStr">
        <is>
          <t>362,294,515,471</t>
        </is>
      </c>
      <c r="F245" t="n">
        <v>294</v>
      </c>
      <c r="G245" t="inlineStr">
        <is>
          <t>primary</t>
        </is>
      </c>
      <c r="H245" t="inlineStr">
        <is>
          <t>AUTO_VESSEL</t>
        </is>
      </c>
      <c r="I245" t="inlineStr">
        <is>
          <t>是</t>
        </is>
      </c>
      <c r="J245" t="inlineStr">
        <is>
          <t>纳入</t>
        </is>
      </c>
      <c r="K245" t="n">
        <v>983.2703213610586</v>
      </c>
      <c r="L245">
        <f>导管母表_860!G245</f>
        <v/>
      </c>
      <c r="M245" t="inlineStr">
        <is>
          <t>视野内部</t>
        </is>
      </c>
      <c r="N245" t="inlineStr">
        <is>
          <t>纳入A/D/Dh；若有Pair_ID则纳入CWR</t>
        </is>
      </c>
      <c r="O245" t="inlineStr">
        <is>
          <t>自动管线检出的合格导管腔。</t>
        </is>
      </c>
      <c r="P245" t="inlineStr">
        <is>
          <t>auto_pipeline;review_png_green</t>
        </is>
      </c>
      <c r="R245" t="inlineStr">
        <is>
          <t>样品48</t>
        </is>
      </c>
    </row>
    <row r="246">
      <c r="A246" t="inlineStr">
        <is>
          <t>48(4)-V02</t>
        </is>
      </c>
      <c r="B246" t="inlineStr">
        <is>
          <t>48 (4).tif</t>
        </is>
      </c>
      <c r="C246" t="n">
        <v>595</v>
      </c>
      <c r="D246" t="n">
        <v>324</v>
      </c>
      <c r="E246" t="inlineStr">
        <is>
          <t>524,250,667,399</t>
        </is>
      </c>
      <c r="F246" t="n">
        <v>250</v>
      </c>
      <c r="G246" t="inlineStr">
        <is>
          <t>primary</t>
        </is>
      </c>
      <c r="H246" t="inlineStr">
        <is>
          <t>AUTO_VESSEL</t>
        </is>
      </c>
      <c r="I246" t="inlineStr">
        <is>
          <t>是</t>
        </is>
      </c>
      <c r="J246" t="inlineStr">
        <is>
          <t>纳入</t>
        </is>
      </c>
      <c r="K246" t="n">
        <v>779.4423440453686</v>
      </c>
      <c r="L246">
        <f>导管母表_860!G246</f>
        <v/>
      </c>
      <c r="M246" t="inlineStr">
        <is>
          <t>视野内部</t>
        </is>
      </c>
      <c r="N246" t="inlineStr">
        <is>
          <t>纳入A/D/Dh；若有Pair_ID则纳入CWR</t>
        </is>
      </c>
      <c r="O246" t="inlineStr">
        <is>
          <t>自动管线检出的合格导管腔。</t>
        </is>
      </c>
      <c r="P246" t="inlineStr">
        <is>
          <t>auto_pipeline;review_png_green</t>
        </is>
      </c>
      <c r="R246" t="inlineStr">
        <is>
          <t>样品48</t>
        </is>
      </c>
    </row>
    <row r="247">
      <c r="A247" t="inlineStr">
        <is>
          <t>48(4)-V03</t>
        </is>
      </c>
      <c r="B247" t="inlineStr">
        <is>
          <t>48 (4).tif</t>
        </is>
      </c>
      <c r="C247" t="n">
        <v>689</v>
      </c>
      <c r="D247" t="n">
        <v>152</v>
      </c>
      <c r="E247" t="inlineStr">
        <is>
          <t>625,74,754,231</t>
        </is>
      </c>
      <c r="F247" t="n">
        <v>74</v>
      </c>
      <c r="G247" t="inlineStr">
        <is>
          <t>primary</t>
        </is>
      </c>
      <c r="H247" t="inlineStr">
        <is>
          <t>AUTO_VESSEL</t>
        </is>
      </c>
      <c r="I247" t="inlineStr">
        <is>
          <t>是</t>
        </is>
      </c>
      <c r="J247" t="inlineStr">
        <is>
          <t>纳入</t>
        </is>
      </c>
      <c r="K247" t="n">
        <v>739.2485822306238</v>
      </c>
      <c r="L247">
        <f>导管母表_860!G247</f>
        <v/>
      </c>
      <c r="M247" t="inlineStr">
        <is>
          <t>视野内部</t>
        </is>
      </c>
      <c r="N247" t="inlineStr">
        <is>
          <t>纳入A/D/Dh；若有Pair_ID则纳入CWR</t>
        </is>
      </c>
      <c r="O247" t="inlineStr">
        <is>
          <t>自动管线检出的合格导管腔。</t>
        </is>
      </c>
      <c r="P247" t="inlineStr">
        <is>
          <t>auto_pipeline;review_png_green</t>
        </is>
      </c>
      <c r="R247" t="inlineStr">
        <is>
          <t>样品48</t>
        </is>
      </c>
    </row>
    <row r="248">
      <c r="A248" t="inlineStr">
        <is>
          <t>48(4)-V04</t>
        </is>
      </c>
      <c r="B248" t="inlineStr">
        <is>
          <t>48 (4).tif</t>
        </is>
      </c>
      <c r="C248" t="n">
        <v>818</v>
      </c>
      <c r="D248" t="n">
        <v>115</v>
      </c>
      <c r="E248" t="inlineStr">
        <is>
          <t>763,51,874,180</t>
        </is>
      </c>
      <c r="F248" t="n">
        <v>51</v>
      </c>
      <c r="G248" t="inlineStr">
        <is>
          <t>primary</t>
        </is>
      </c>
      <c r="H248" t="inlineStr">
        <is>
          <t>AUTO_VESSEL</t>
        </is>
      </c>
      <c r="I248" t="inlineStr">
        <is>
          <t>是</t>
        </is>
      </c>
      <c r="J248" t="inlineStr">
        <is>
          <t>纳入</t>
        </is>
      </c>
      <c r="K248" t="n">
        <v>523.0151228733459</v>
      </c>
      <c r="L248">
        <f>导管母表_860!G248</f>
        <v/>
      </c>
      <c r="M248" t="inlineStr">
        <is>
          <t>视野内部</t>
        </is>
      </c>
      <c r="N248" t="inlineStr">
        <is>
          <t>纳入A/D/Dh；若有Pair_ID则纳入CWR</t>
        </is>
      </c>
      <c r="O248" t="inlineStr">
        <is>
          <t>自动管线检出的合格导管腔。</t>
        </is>
      </c>
      <c r="P248" t="inlineStr">
        <is>
          <t>auto_pipeline;review_png_green</t>
        </is>
      </c>
      <c r="R248" t="inlineStr">
        <is>
          <t>样品48</t>
        </is>
      </c>
    </row>
    <row r="249">
      <c r="A249" t="inlineStr">
        <is>
          <t>48(4)-V05</t>
        </is>
      </c>
      <c r="B249" t="inlineStr">
        <is>
          <t>48 (4).tif</t>
        </is>
      </c>
      <c r="C249" t="n">
        <v>853</v>
      </c>
      <c r="D249" t="n">
        <v>603</v>
      </c>
      <c r="E249" t="inlineStr">
        <is>
          <t>793,545,914,662</t>
        </is>
      </c>
      <c r="F249" t="n">
        <v>106</v>
      </c>
      <c r="G249" t="inlineStr">
        <is>
          <t>primary</t>
        </is>
      </c>
      <c r="H249" t="inlineStr">
        <is>
          <t>AUTO_VESSEL</t>
        </is>
      </c>
      <c r="I249" t="inlineStr">
        <is>
          <t>是</t>
        </is>
      </c>
      <c r="J249" t="inlineStr">
        <is>
          <t>纳入</t>
        </is>
      </c>
      <c r="K249" t="n">
        <v>516.351606805293</v>
      </c>
      <c r="L249">
        <f>导管母表_860!G249</f>
        <v/>
      </c>
      <c r="M249" t="inlineStr">
        <is>
          <t>视野内部</t>
        </is>
      </c>
      <c r="N249" t="inlineStr">
        <is>
          <t>纳入A/D/Dh；若有Pair_ID则纳入CWR</t>
        </is>
      </c>
      <c r="O249" t="inlineStr">
        <is>
          <t>自动管线检出的合格导管腔。</t>
        </is>
      </c>
      <c r="P249" t="inlineStr">
        <is>
          <t>auto_pipeline;review_png_green</t>
        </is>
      </c>
      <c r="R249" t="inlineStr">
        <is>
          <t>样品48</t>
        </is>
      </c>
    </row>
    <row r="250">
      <c r="A250" t="inlineStr">
        <is>
          <t>48(4)-V06</t>
        </is>
      </c>
      <c r="B250" t="inlineStr">
        <is>
          <t>48 (4).tif</t>
        </is>
      </c>
      <c r="C250" t="n">
        <v>269</v>
      </c>
      <c r="D250" t="n">
        <v>118</v>
      </c>
      <c r="E250" t="inlineStr">
        <is>
          <t>211,55,328,182</t>
        </is>
      </c>
      <c r="F250" t="n">
        <v>55</v>
      </c>
      <c r="G250" t="inlineStr">
        <is>
          <t>primary</t>
        </is>
      </c>
      <c r="H250" t="inlineStr">
        <is>
          <t>AUTO_VESSEL</t>
        </is>
      </c>
      <c r="I250" t="inlineStr">
        <is>
          <t>是</t>
        </is>
      </c>
      <c r="J250" t="inlineStr">
        <is>
          <t>纳入</t>
        </is>
      </c>
      <c r="K250" t="n">
        <v>472.5189035916824</v>
      </c>
      <c r="L250">
        <f>导管母表_860!G250</f>
        <v/>
      </c>
      <c r="M250" t="inlineStr">
        <is>
          <t>视野内部</t>
        </is>
      </c>
      <c r="N250" t="inlineStr">
        <is>
          <t>纳入A/D/Dh；若有Pair_ID则纳入CWR</t>
        </is>
      </c>
      <c r="O250" t="inlineStr">
        <is>
          <t>自动管线检出的合格导管腔。</t>
        </is>
      </c>
      <c r="P250" t="inlineStr">
        <is>
          <t>auto_pipeline;review_png_green</t>
        </is>
      </c>
      <c r="R250" t="inlineStr">
        <is>
          <t>样品48</t>
        </is>
      </c>
    </row>
    <row r="251">
      <c r="A251" t="inlineStr">
        <is>
          <t>48(5)-V01</t>
        </is>
      </c>
      <c r="B251" t="inlineStr">
        <is>
          <t>48 (5).tif</t>
        </is>
      </c>
      <c r="C251" t="n">
        <v>528</v>
      </c>
      <c r="D251" t="n">
        <v>454</v>
      </c>
      <c r="E251" t="inlineStr">
        <is>
          <t>443,366,615,544</t>
        </is>
      </c>
      <c r="F251" t="n">
        <v>224</v>
      </c>
      <c r="G251" t="inlineStr">
        <is>
          <t>primary</t>
        </is>
      </c>
      <c r="H251" t="inlineStr">
        <is>
          <t>AUTO_VESSEL</t>
        </is>
      </c>
      <c r="I251" t="inlineStr">
        <is>
          <t>是</t>
        </is>
      </c>
      <c r="J251" t="inlineStr">
        <is>
          <t>纳入</t>
        </is>
      </c>
      <c r="K251" t="n">
        <v>1120.817580340265</v>
      </c>
      <c r="L251">
        <f>导管母表_860!G251</f>
        <v/>
      </c>
      <c r="M251" t="inlineStr">
        <is>
          <t>视野内部</t>
        </is>
      </c>
      <c r="N251" t="inlineStr">
        <is>
          <t>纳入A/D/Dh；若有Pair_ID则纳入CWR</t>
        </is>
      </c>
      <c r="O251" t="inlineStr">
        <is>
          <t>自动管线检出的合格导管腔。</t>
        </is>
      </c>
      <c r="P251" t="inlineStr">
        <is>
          <t>auto_pipeline;review_png_green</t>
        </is>
      </c>
      <c r="R251" t="inlineStr">
        <is>
          <t>样品48</t>
        </is>
      </c>
    </row>
    <row r="252">
      <c r="A252" t="inlineStr">
        <is>
          <t>48(5)-V02</t>
        </is>
      </c>
      <c r="B252" t="inlineStr">
        <is>
          <t>48 (5).tif</t>
        </is>
      </c>
      <c r="C252" t="n">
        <v>486</v>
      </c>
      <c r="D252" t="n">
        <v>280</v>
      </c>
      <c r="E252" t="inlineStr">
        <is>
          <t>408,216,565,345</t>
        </is>
      </c>
      <c r="F252" t="n">
        <v>216</v>
      </c>
      <c r="G252" t="inlineStr">
        <is>
          <t>primary</t>
        </is>
      </c>
      <c r="H252" t="inlineStr">
        <is>
          <t>AUTO_VESSEL</t>
        </is>
      </c>
      <c r="I252" t="inlineStr">
        <is>
          <t>是</t>
        </is>
      </c>
      <c r="J252" t="inlineStr">
        <is>
          <t>纳入</t>
        </is>
      </c>
      <c r="K252" t="n">
        <v>740.6190926275992</v>
      </c>
      <c r="L252">
        <f>导管母表_860!G252</f>
        <v/>
      </c>
      <c r="M252" t="inlineStr">
        <is>
          <t>视野内部</t>
        </is>
      </c>
      <c r="N252" t="inlineStr">
        <is>
          <t>纳入A/D/Dh；若有Pair_ID则纳入CWR</t>
        </is>
      </c>
      <c r="O252" t="inlineStr">
        <is>
          <t>自动管线检出的合格导管腔。</t>
        </is>
      </c>
      <c r="P252" t="inlineStr">
        <is>
          <t>auto_pipeline;review_png_green</t>
        </is>
      </c>
      <c r="Q252" t="inlineStr">
        <is>
          <t>48(5)-P01</t>
        </is>
      </c>
      <c r="R252" t="inlineStr">
        <is>
          <t>样品48</t>
        </is>
      </c>
    </row>
    <row r="253">
      <c r="A253" t="inlineStr">
        <is>
          <t>48(5)-V03</t>
        </is>
      </c>
      <c r="B253" t="inlineStr">
        <is>
          <t>48 (5).tif</t>
        </is>
      </c>
      <c r="C253" t="n">
        <v>199</v>
      </c>
      <c r="D253" t="n">
        <v>318</v>
      </c>
      <c r="E253" t="inlineStr">
        <is>
          <t>132,249,267,388</t>
        </is>
      </c>
      <c r="F253" t="n">
        <v>132</v>
      </c>
      <c r="G253" t="inlineStr">
        <is>
          <t>primary</t>
        </is>
      </c>
      <c r="H253" t="inlineStr">
        <is>
          <t>AUTO_VESSEL</t>
        </is>
      </c>
      <c r="I253" t="inlineStr">
        <is>
          <t>是</t>
        </is>
      </c>
      <c r="J253" t="inlineStr">
        <is>
          <t>纳入</t>
        </is>
      </c>
      <c r="K253" t="n">
        <v>685.633270321361</v>
      </c>
      <c r="L253">
        <f>导管母表_860!G253</f>
        <v/>
      </c>
      <c r="M253" t="inlineStr">
        <is>
          <t>视野内部</t>
        </is>
      </c>
      <c r="N253" t="inlineStr">
        <is>
          <t>纳入A/D/Dh；若有Pair_ID则纳入CWR</t>
        </is>
      </c>
      <c r="O253" t="inlineStr">
        <is>
          <t>自动管线检出的合格导管腔。</t>
        </is>
      </c>
      <c r="P253" t="inlineStr">
        <is>
          <t>auto_pipeline;review_png_green</t>
        </is>
      </c>
      <c r="R253" t="inlineStr">
        <is>
          <t>样品48</t>
        </is>
      </c>
    </row>
    <row r="254">
      <c r="A254" t="inlineStr">
        <is>
          <t>48(5)-V04</t>
        </is>
      </c>
      <c r="B254" t="inlineStr">
        <is>
          <t>48 (5).tif</t>
        </is>
      </c>
      <c r="C254" t="n">
        <v>511</v>
      </c>
      <c r="D254" t="n">
        <v>299</v>
      </c>
      <c r="E254" t="inlineStr">
        <is>
          <t>459,255,564,344</t>
        </is>
      </c>
      <c r="F254" t="n">
        <v>255</v>
      </c>
      <c r="G254" t="inlineStr">
        <is>
          <t>primary</t>
        </is>
      </c>
      <c r="H254" t="inlineStr">
        <is>
          <t>AUTO_VESSEL</t>
        </is>
      </c>
      <c r="I254" t="inlineStr">
        <is>
          <t>是</t>
        </is>
      </c>
      <c r="J254" t="inlineStr">
        <is>
          <t>纳入</t>
        </is>
      </c>
      <c r="K254" t="n">
        <v>326.5122873345936</v>
      </c>
      <c r="L254">
        <f>导管母表_860!G254</f>
        <v/>
      </c>
      <c r="M254" t="inlineStr">
        <is>
          <t>视野内部</t>
        </is>
      </c>
      <c r="N254" t="inlineStr">
        <is>
          <t>纳入A/D/Dh；若有Pair_ID则纳入CWR</t>
        </is>
      </c>
      <c r="O254" t="inlineStr">
        <is>
          <t>自动管线检出的合格导管腔。</t>
        </is>
      </c>
      <c r="P254" t="inlineStr">
        <is>
          <t>auto_pipeline;review_png_green</t>
        </is>
      </c>
      <c r="Q254" t="inlineStr">
        <is>
          <t>48(5)-P01</t>
        </is>
      </c>
      <c r="R254" t="inlineStr">
        <is>
          <t>样品48</t>
        </is>
      </c>
    </row>
    <row r="255">
      <c r="A255" t="inlineStr">
        <is>
          <t>48(5)-V05</t>
        </is>
      </c>
      <c r="B255" t="inlineStr">
        <is>
          <t>48 (5).tif</t>
        </is>
      </c>
      <c r="C255" t="n">
        <v>341</v>
      </c>
      <c r="D255" t="n">
        <v>586</v>
      </c>
      <c r="E255" t="inlineStr">
        <is>
          <t>298,533,385,640</t>
        </is>
      </c>
      <c r="F255" t="n">
        <v>128</v>
      </c>
      <c r="G255" t="inlineStr">
        <is>
          <t>primary</t>
        </is>
      </c>
      <c r="H255" t="inlineStr">
        <is>
          <t>AUTO_VESSEL</t>
        </is>
      </c>
      <c r="I255" t="inlineStr">
        <is>
          <t>是</t>
        </is>
      </c>
      <c r="J255" t="inlineStr">
        <is>
          <t>纳入</t>
        </is>
      </c>
      <c r="K255" t="n">
        <v>280.5765595463138</v>
      </c>
      <c r="L255">
        <f>导管母表_860!G255</f>
        <v/>
      </c>
      <c r="M255" t="inlineStr">
        <is>
          <t>视野内部</t>
        </is>
      </c>
      <c r="N255" t="inlineStr">
        <is>
          <t>纳入A/D/Dh；若有Pair_ID则纳入CWR</t>
        </is>
      </c>
      <c r="O255" t="inlineStr">
        <is>
          <t>自动管线检出的合格导管腔。</t>
        </is>
      </c>
      <c r="P255" t="inlineStr">
        <is>
          <t>auto_pipeline;review_png_green</t>
        </is>
      </c>
      <c r="R255" t="inlineStr">
        <is>
          <t>样品48</t>
        </is>
      </c>
    </row>
    <row r="256">
      <c r="A256" t="inlineStr">
        <is>
          <t>48(5)-V06</t>
        </is>
      </c>
      <c r="B256" t="inlineStr">
        <is>
          <t>48 (5).tif</t>
        </is>
      </c>
      <c r="C256" t="n">
        <v>837</v>
      </c>
      <c r="D256" t="n">
        <v>262</v>
      </c>
      <c r="E256" t="inlineStr">
        <is>
          <t>819,214,856,311</t>
        </is>
      </c>
      <c r="F256" t="n">
        <v>168</v>
      </c>
      <c r="G256" t="inlineStr">
        <is>
          <t>primary</t>
        </is>
      </c>
      <c r="H256" t="inlineStr">
        <is>
          <t>AUTO_VESSEL</t>
        </is>
      </c>
      <c r="I256" t="inlineStr">
        <is>
          <t>是</t>
        </is>
      </c>
      <c r="J256" t="inlineStr">
        <is>
          <t>纳入</t>
        </is>
      </c>
      <c r="K256" t="n">
        <v>121.3374291115312</v>
      </c>
      <c r="L256">
        <f>导管母表_860!G256</f>
        <v/>
      </c>
      <c r="M256" t="inlineStr">
        <is>
          <t>视野内部</t>
        </is>
      </c>
      <c r="N256" t="inlineStr">
        <is>
          <t>纳入A/D/Dh；若有Pair_ID则纳入CWR</t>
        </is>
      </c>
      <c r="O256" t="inlineStr">
        <is>
          <t>自动管线检出的合格导管腔。</t>
        </is>
      </c>
      <c r="P256" t="inlineStr">
        <is>
          <t>auto_pipeline;review_png_green</t>
        </is>
      </c>
      <c r="R256" t="inlineStr">
        <is>
          <t>样品48</t>
        </is>
      </c>
    </row>
    <row r="257">
      <c r="A257" t="inlineStr">
        <is>
          <t>48(6)-V01</t>
        </is>
      </c>
      <c r="B257" t="inlineStr">
        <is>
          <t>48 (6).tif</t>
        </is>
      </c>
      <c r="C257" t="n">
        <v>534</v>
      </c>
      <c r="D257" t="n">
        <v>400</v>
      </c>
      <c r="E257" t="inlineStr">
        <is>
          <t>477,348,592,453</t>
        </is>
      </c>
      <c r="F257" t="n">
        <v>315</v>
      </c>
      <c r="G257" t="inlineStr">
        <is>
          <t>primary</t>
        </is>
      </c>
      <c r="H257" t="inlineStr">
        <is>
          <t>AUTO_VESSEL</t>
        </is>
      </c>
      <c r="I257" t="inlineStr">
        <is>
          <t>是</t>
        </is>
      </c>
      <c r="J257" t="inlineStr">
        <is>
          <t>纳入</t>
        </is>
      </c>
      <c r="K257" t="n">
        <v>439.9338374291115</v>
      </c>
      <c r="L257">
        <f>导管母表_860!G257</f>
        <v/>
      </c>
      <c r="M257" t="inlineStr">
        <is>
          <t>视野内部</t>
        </is>
      </c>
      <c r="N257" t="inlineStr">
        <is>
          <t>纳入A/D/Dh；若有Pair_ID则纳入CWR</t>
        </is>
      </c>
      <c r="O257" t="inlineStr">
        <is>
          <t>自动管线检出的合格导管腔。</t>
        </is>
      </c>
      <c r="P257" t="inlineStr">
        <is>
          <t>auto_pipeline;review_png_green</t>
        </is>
      </c>
      <c r="Q257" t="inlineStr">
        <is>
          <t>48(6)-P01</t>
        </is>
      </c>
      <c r="R257" t="inlineStr">
        <is>
          <t>样品48</t>
        </is>
      </c>
    </row>
    <row r="258">
      <c r="A258" t="inlineStr">
        <is>
          <t>48(6)-V02</t>
        </is>
      </c>
      <c r="B258" t="inlineStr">
        <is>
          <t>48 (6).tif</t>
        </is>
      </c>
      <c r="C258" t="n">
        <v>452</v>
      </c>
      <c r="D258" t="n">
        <v>291</v>
      </c>
      <c r="E258" t="inlineStr">
        <is>
          <t>392,241,513,342</t>
        </is>
      </c>
      <c r="F258" t="n">
        <v>241</v>
      </c>
      <c r="G258" t="inlineStr">
        <is>
          <t>primary</t>
        </is>
      </c>
      <c r="H258" t="inlineStr">
        <is>
          <t>AUTO_VESSEL</t>
        </is>
      </c>
      <c r="I258" t="inlineStr">
        <is>
          <t>是</t>
        </is>
      </c>
      <c r="J258" t="inlineStr">
        <is>
          <t>纳入</t>
        </is>
      </c>
      <c r="K258" t="n">
        <v>434.4045368620038</v>
      </c>
      <c r="L258">
        <f>导管母表_860!G258</f>
        <v/>
      </c>
      <c r="M258" t="inlineStr">
        <is>
          <t>视野内部</t>
        </is>
      </c>
      <c r="N258" t="inlineStr">
        <is>
          <t>纳入A/D/Dh；若有Pair_ID则纳入CWR</t>
        </is>
      </c>
      <c r="O258" t="inlineStr">
        <is>
          <t>自动管线检出的合格导管腔。</t>
        </is>
      </c>
      <c r="P258" t="inlineStr">
        <is>
          <t>auto_pipeline;review_png_green</t>
        </is>
      </c>
      <c r="Q258" t="inlineStr">
        <is>
          <t>48(6)-P01</t>
        </is>
      </c>
      <c r="R258" t="inlineStr">
        <is>
          <t>样品48</t>
        </is>
      </c>
    </row>
    <row r="259">
      <c r="A259" t="inlineStr">
        <is>
          <t>48(6)-V03</t>
        </is>
      </c>
      <c r="B259" t="inlineStr">
        <is>
          <t>48 (6).tif</t>
        </is>
      </c>
      <c r="C259" t="n">
        <v>883</v>
      </c>
      <c r="D259" t="n">
        <v>622</v>
      </c>
      <c r="E259" t="inlineStr">
        <is>
          <t>824,572,943,673</t>
        </is>
      </c>
      <c r="F259" t="n">
        <v>81</v>
      </c>
      <c r="G259" t="inlineStr">
        <is>
          <t>primary</t>
        </is>
      </c>
      <c r="H259" t="inlineStr">
        <is>
          <t>AUTO_VESSEL</t>
        </is>
      </c>
      <c r="I259" t="inlineStr">
        <is>
          <t>是</t>
        </is>
      </c>
      <c r="J259" t="inlineStr">
        <is>
          <t>纳入</t>
        </is>
      </c>
      <c r="K259" t="n">
        <v>426.7485822306238</v>
      </c>
      <c r="L259">
        <f>导管母表_860!G259</f>
        <v/>
      </c>
      <c r="M259" t="inlineStr">
        <is>
          <t>视野内部</t>
        </is>
      </c>
      <c r="N259" t="inlineStr">
        <is>
          <t>纳入A/D/Dh；若有Pair_ID则纳入CWR</t>
        </is>
      </c>
      <c r="O259" t="inlineStr">
        <is>
          <t>自动管线检出的合格导管腔。</t>
        </is>
      </c>
      <c r="P259" t="inlineStr">
        <is>
          <t>auto_pipeline;review_png_green</t>
        </is>
      </c>
      <c r="R259" t="inlineStr">
        <is>
          <t>样品48</t>
        </is>
      </c>
    </row>
    <row r="260">
      <c r="A260" t="inlineStr">
        <is>
          <t>48(6)-V04</t>
        </is>
      </c>
      <c r="B260" t="inlineStr">
        <is>
          <t>48 (6).tif</t>
        </is>
      </c>
      <c r="C260" t="n">
        <v>161</v>
      </c>
      <c r="D260" t="n">
        <v>498</v>
      </c>
      <c r="E260" t="inlineStr">
        <is>
          <t>100,452,223,545</t>
        </is>
      </c>
      <c r="F260" t="n">
        <v>100</v>
      </c>
      <c r="G260" t="inlineStr">
        <is>
          <t>primary</t>
        </is>
      </c>
      <c r="H260" t="inlineStr">
        <is>
          <t>AUTO_VESSEL</t>
        </is>
      </c>
      <c r="I260" t="inlineStr">
        <is>
          <t>是</t>
        </is>
      </c>
      <c r="J260" t="inlineStr">
        <is>
          <t>纳入</t>
        </is>
      </c>
      <c r="K260" t="n">
        <v>416.2570888468809</v>
      </c>
      <c r="L260">
        <f>导管母表_860!G260</f>
        <v/>
      </c>
      <c r="M260" t="inlineStr">
        <is>
          <t>视野内部</t>
        </is>
      </c>
      <c r="N260" t="inlineStr">
        <is>
          <t>纳入A/D/Dh；若有Pair_ID则纳入CWR</t>
        </is>
      </c>
      <c r="O260" t="inlineStr">
        <is>
          <t>自动管线检出的合格导管腔。</t>
        </is>
      </c>
      <c r="P260" t="inlineStr">
        <is>
          <t>auto_pipeline;review_png_green</t>
        </is>
      </c>
      <c r="R260" t="inlineStr">
        <is>
          <t>样品48</t>
        </is>
      </c>
    </row>
    <row r="261">
      <c r="A261" t="inlineStr">
        <is>
          <t>48(6)-V05</t>
        </is>
      </c>
      <c r="B261" t="inlineStr">
        <is>
          <t>48 (6).tif</t>
        </is>
      </c>
      <c r="C261" t="n">
        <v>630</v>
      </c>
      <c r="D261" t="n">
        <v>534</v>
      </c>
      <c r="E261" t="inlineStr">
        <is>
          <t>571,491,690,578</t>
        </is>
      </c>
      <c r="F261" t="n">
        <v>190</v>
      </c>
      <c r="G261" t="inlineStr">
        <is>
          <t>primary</t>
        </is>
      </c>
      <c r="H261" t="inlineStr">
        <is>
          <t>AUTO_VESSEL</t>
        </is>
      </c>
      <c r="I261" t="inlineStr">
        <is>
          <t>是</t>
        </is>
      </c>
      <c r="J261" t="inlineStr">
        <is>
          <t>纳入</t>
        </is>
      </c>
      <c r="K261" t="n">
        <v>375.8979206049149</v>
      </c>
      <c r="L261">
        <f>导管母表_860!G261</f>
        <v/>
      </c>
      <c r="M261" t="inlineStr">
        <is>
          <t>视野内部</t>
        </is>
      </c>
      <c r="N261" t="inlineStr">
        <is>
          <t>纳入A/D/Dh；若有Pair_ID则纳入CWR</t>
        </is>
      </c>
      <c r="O261" t="inlineStr">
        <is>
          <t>自动管线检出的合格导管腔。</t>
        </is>
      </c>
      <c r="P261" t="inlineStr">
        <is>
          <t>auto_pipeline;review_png_green</t>
        </is>
      </c>
      <c r="R261" t="inlineStr">
        <is>
          <t>样品48</t>
        </is>
      </c>
    </row>
    <row r="262">
      <c r="A262" t="inlineStr">
        <is>
          <t>48(6)-V06</t>
        </is>
      </c>
      <c r="B262" t="inlineStr">
        <is>
          <t>48 (6).tif</t>
        </is>
      </c>
      <c r="C262" t="n">
        <v>798</v>
      </c>
      <c r="D262" t="n">
        <v>494</v>
      </c>
      <c r="E262" t="inlineStr">
        <is>
          <t>749,445,848,544</t>
        </is>
      </c>
      <c r="F262" t="n">
        <v>176</v>
      </c>
      <c r="G262" t="inlineStr">
        <is>
          <t>primary</t>
        </is>
      </c>
      <c r="H262" t="inlineStr">
        <is>
          <t>AUTO_VESSEL</t>
        </is>
      </c>
      <c r="I262" t="inlineStr">
        <is>
          <t>是</t>
        </is>
      </c>
      <c r="J262" t="inlineStr">
        <is>
          <t>纳入</t>
        </is>
      </c>
      <c r="K262" t="n">
        <v>356.5689981096409</v>
      </c>
      <c r="L262">
        <f>导管母表_860!G262</f>
        <v/>
      </c>
      <c r="M262" t="inlineStr">
        <is>
          <t>视野内部</t>
        </is>
      </c>
      <c r="N262" t="inlineStr">
        <is>
          <t>纳入A/D/Dh；若有Pair_ID则纳入CWR</t>
        </is>
      </c>
      <c r="O262" t="inlineStr">
        <is>
          <t>自动管线检出的合格导管腔。</t>
        </is>
      </c>
      <c r="P262" t="inlineStr">
        <is>
          <t>auto_pipeline;review_png_green</t>
        </is>
      </c>
      <c r="R262" t="inlineStr">
        <is>
          <t>样品48</t>
        </is>
      </c>
    </row>
    <row r="263">
      <c r="A263" t="inlineStr">
        <is>
          <t>48(7)-V01</t>
        </is>
      </c>
      <c r="B263" t="inlineStr">
        <is>
          <t>48 (7).tif</t>
        </is>
      </c>
      <c r="C263" t="n">
        <v>443</v>
      </c>
      <c r="D263" t="n">
        <v>322</v>
      </c>
      <c r="E263" t="inlineStr">
        <is>
          <t>385,271,502,374</t>
        </is>
      </c>
      <c r="F263" t="n">
        <v>271</v>
      </c>
      <c r="G263" t="inlineStr">
        <is>
          <t>primary</t>
        </is>
      </c>
      <c r="H263" t="inlineStr">
        <is>
          <t>AUTO_VESSEL</t>
        </is>
      </c>
      <c r="I263" t="inlineStr">
        <is>
          <t>是</t>
        </is>
      </c>
      <c r="J263" t="inlineStr">
        <is>
          <t>纳入</t>
        </is>
      </c>
      <c r="K263" t="n">
        <v>438.492438563327</v>
      </c>
      <c r="L263">
        <f>导管母表_860!G263</f>
        <v/>
      </c>
      <c r="M263" t="inlineStr">
        <is>
          <t>视野内部</t>
        </is>
      </c>
      <c r="N263" t="inlineStr">
        <is>
          <t>纳入A/D/Dh；若有Pair_ID则纳入CWR</t>
        </is>
      </c>
      <c r="O263" t="inlineStr">
        <is>
          <t>自动管线检出的合格导管腔。</t>
        </is>
      </c>
      <c r="P263" t="inlineStr">
        <is>
          <t>auto_pipeline;review_png_green</t>
        </is>
      </c>
      <c r="R263" t="inlineStr">
        <is>
          <t>样品48</t>
        </is>
      </c>
    </row>
    <row r="264">
      <c r="A264" t="inlineStr">
        <is>
          <t>48(7)-V02</t>
        </is>
      </c>
      <c r="B264" t="inlineStr">
        <is>
          <t>48 (7).tif</t>
        </is>
      </c>
      <c r="C264" t="n">
        <v>582</v>
      </c>
      <c r="D264" t="n">
        <v>398</v>
      </c>
      <c r="E264" t="inlineStr">
        <is>
          <t>524,349,641,448</t>
        </is>
      </c>
      <c r="F264" t="n">
        <v>320</v>
      </c>
      <c r="G264" t="inlineStr">
        <is>
          <t>primary</t>
        </is>
      </c>
      <c r="H264" t="inlineStr">
        <is>
          <t>AUTO_VESSEL</t>
        </is>
      </c>
      <c r="I264" t="inlineStr">
        <is>
          <t>是</t>
        </is>
      </c>
      <c r="J264" t="inlineStr">
        <is>
          <t>纳入</t>
        </is>
      </c>
      <c r="K264" t="n">
        <v>422.3298676748582</v>
      </c>
      <c r="L264">
        <f>导管母表_860!G264</f>
        <v/>
      </c>
      <c r="M264" t="inlineStr">
        <is>
          <t>视野内部</t>
        </is>
      </c>
      <c r="N264" t="inlineStr">
        <is>
          <t>纳入A/D/Dh；若有Pair_ID则纳入CWR</t>
        </is>
      </c>
      <c r="O264" t="inlineStr">
        <is>
          <t>自动管线检出的合格导管腔。</t>
        </is>
      </c>
      <c r="P264" t="inlineStr">
        <is>
          <t>auto_pipeline;review_png_green</t>
        </is>
      </c>
      <c r="R264" t="inlineStr">
        <is>
          <t>样品48</t>
        </is>
      </c>
    </row>
    <row r="265">
      <c r="A265" t="inlineStr">
        <is>
          <t>48(7)-V03</t>
        </is>
      </c>
      <c r="B265" t="inlineStr">
        <is>
          <t>48 (7).tif</t>
        </is>
      </c>
      <c r="C265" t="n">
        <v>81</v>
      </c>
      <c r="D265" t="n">
        <v>131</v>
      </c>
      <c r="E265" t="inlineStr">
        <is>
          <t>29,86,134,177</t>
        </is>
      </c>
      <c r="F265" t="n">
        <v>29</v>
      </c>
      <c r="G265" t="inlineStr">
        <is>
          <t>primary</t>
        </is>
      </c>
      <c r="H265" t="inlineStr">
        <is>
          <t>AUTO_VESSEL</t>
        </is>
      </c>
      <c r="I265" t="inlineStr">
        <is>
          <t>是</t>
        </is>
      </c>
      <c r="J265" t="inlineStr">
        <is>
          <t>纳入</t>
        </is>
      </c>
      <c r="K265" t="n">
        <v>345.4158790170133</v>
      </c>
      <c r="L265">
        <f>导管母表_860!G265</f>
        <v/>
      </c>
      <c r="M265" t="inlineStr">
        <is>
          <t>视野内部</t>
        </is>
      </c>
      <c r="N265" t="inlineStr">
        <is>
          <t>纳入A/D/Dh；若有Pair_ID则纳入CWR</t>
        </is>
      </c>
      <c r="O265" t="inlineStr">
        <is>
          <t>自动管线检出的合格导管腔。</t>
        </is>
      </c>
      <c r="P265" t="inlineStr">
        <is>
          <t>auto_pipeline;review_png_green</t>
        </is>
      </c>
      <c r="R265" t="inlineStr">
        <is>
          <t>样品48</t>
        </is>
      </c>
    </row>
    <row r="266">
      <c r="A266" t="inlineStr">
        <is>
          <t>48(7)-V04</t>
        </is>
      </c>
      <c r="B266" t="inlineStr">
        <is>
          <t>48 (7).tif</t>
        </is>
      </c>
      <c r="C266" t="n">
        <v>245</v>
      </c>
      <c r="D266" t="n">
        <v>218</v>
      </c>
      <c r="E266" t="inlineStr">
        <is>
          <t>195,178,296,259</t>
        </is>
      </c>
      <c r="F266" t="n">
        <v>178</v>
      </c>
      <c r="G266" t="inlineStr">
        <is>
          <t>primary</t>
        </is>
      </c>
      <c r="H266" t="inlineStr">
        <is>
          <t>AUTO_VESSEL</t>
        </is>
      </c>
      <c r="I266" t="inlineStr">
        <is>
          <t>是</t>
        </is>
      </c>
      <c r="J266" t="inlineStr">
        <is>
          <t>纳入</t>
        </is>
      </c>
      <c r="K266" t="n">
        <v>296.9517958412098</v>
      </c>
      <c r="L266">
        <f>导管母表_860!G266</f>
        <v/>
      </c>
      <c r="M266" t="inlineStr">
        <is>
          <t>视野内部</t>
        </is>
      </c>
      <c r="N266" t="inlineStr">
        <is>
          <t>纳入A/D/Dh；若有Pair_ID则纳入CWR</t>
        </is>
      </c>
      <c r="O266" t="inlineStr">
        <is>
          <t>自动管线检出的合格导管腔。</t>
        </is>
      </c>
      <c r="P266" t="inlineStr">
        <is>
          <t>auto_pipeline;review_png_green</t>
        </is>
      </c>
      <c r="R266" t="inlineStr">
        <is>
          <t>样品48</t>
        </is>
      </c>
    </row>
    <row r="267">
      <c r="A267" t="inlineStr">
        <is>
          <t>48(7)-V05</t>
        </is>
      </c>
      <c r="B267" t="inlineStr">
        <is>
          <t>48 (7).tif</t>
        </is>
      </c>
      <c r="C267" t="n">
        <v>938</v>
      </c>
      <c r="D267" t="n">
        <v>538</v>
      </c>
      <c r="E267" t="inlineStr">
        <is>
          <t>895,504,982,573</t>
        </is>
      </c>
      <c r="F267" t="n">
        <v>42</v>
      </c>
      <c r="G267" t="inlineStr">
        <is>
          <t>primary</t>
        </is>
      </c>
      <c r="H267" t="inlineStr">
        <is>
          <t>AUTO_VESSEL</t>
        </is>
      </c>
      <c r="I267" t="inlineStr">
        <is>
          <t>是</t>
        </is>
      </c>
      <c r="J267" t="inlineStr">
        <is>
          <t>纳入</t>
        </is>
      </c>
      <c r="K267" t="n">
        <v>215.7136105860114</v>
      </c>
      <c r="L267">
        <f>导管母表_860!G267</f>
        <v/>
      </c>
      <c r="M267" t="inlineStr">
        <is>
          <t>视野内部</t>
        </is>
      </c>
      <c r="N267" t="inlineStr">
        <is>
          <t>纳入A/D/Dh；若有Pair_ID则纳入CWR</t>
        </is>
      </c>
      <c r="O267" t="inlineStr">
        <is>
          <t>自动管线检出的合格导管腔。</t>
        </is>
      </c>
      <c r="P267" t="inlineStr">
        <is>
          <t>auto_pipeline;review_png_green</t>
        </is>
      </c>
      <c r="R267" t="inlineStr">
        <is>
          <t>样品48</t>
        </is>
      </c>
    </row>
    <row r="268">
      <c r="A268" t="inlineStr">
        <is>
          <t>48(8)-V01</t>
        </is>
      </c>
      <c r="B268" t="inlineStr">
        <is>
          <t>48 (8).tif</t>
        </is>
      </c>
      <c r="C268" t="n">
        <v>626</v>
      </c>
      <c r="D268" t="n">
        <v>370</v>
      </c>
      <c r="E268" t="inlineStr">
        <is>
          <t>557,306,696,435</t>
        </is>
      </c>
      <c r="F268" t="n">
        <v>306</v>
      </c>
      <c r="G268" t="inlineStr">
        <is>
          <t>primary</t>
        </is>
      </c>
      <c r="H268" t="inlineStr">
        <is>
          <t>AUTO_VESSEL</t>
        </is>
      </c>
      <c r="I268" t="inlineStr">
        <is>
          <t>是</t>
        </is>
      </c>
      <c r="J268" t="inlineStr">
        <is>
          <t>纳入</t>
        </is>
      </c>
      <c r="K268" t="n">
        <v>654.0406427221172</v>
      </c>
      <c r="L268">
        <f>导管母表_860!G268</f>
        <v/>
      </c>
      <c r="M268" t="inlineStr">
        <is>
          <t>视野内部</t>
        </is>
      </c>
      <c r="N268" t="inlineStr">
        <is>
          <t>纳入A/D/Dh；若有Pair_ID则纳入CWR</t>
        </is>
      </c>
      <c r="O268" t="inlineStr">
        <is>
          <t>自动管线检出的合格导管腔。</t>
        </is>
      </c>
      <c r="P268" t="inlineStr">
        <is>
          <t>auto_pipeline;review_png_green</t>
        </is>
      </c>
      <c r="Q268" t="inlineStr">
        <is>
          <t>48(8)-P01</t>
        </is>
      </c>
      <c r="R268" t="inlineStr">
        <is>
          <t>样品48</t>
        </is>
      </c>
    </row>
    <row r="269">
      <c r="A269" t="inlineStr">
        <is>
          <t>48(8)-V02</t>
        </is>
      </c>
      <c r="B269" t="inlineStr">
        <is>
          <t>48 (8).tif</t>
        </is>
      </c>
      <c r="C269" t="n">
        <v>491</v>
      </c>
      <c r="D269" t="n">
        <v>356</v>
      </c>
      <c r="E269" t="inlineStr">
        <is>
          <t>439,302,544,411</t>
        </is>
      </c>
      <c r="F269" t="n">
        <v>302</v>
      </c>
      <c r="G269" t="inlineStr">
        <is>
          <t>primary</t>
        </is>
      </c>
      <c r="H269" t="inlineStr">
        <is>
          <t>AUTO_VESSEL</t>
        </is>
      </c>
      <c r="I269" t="inlineStr">
        <is>
          <t>是</t>
        </is>
      </c>
      <c r="J269" t="inlineStr">
        <is>
          <t>纳入</t>
        </is>
      </c>
      <c r="K269" t="n">
        <v>415.8790170132325</v>
      </c>
      <c r="L269">
        <f>导管母表_860!G269</f>
        <v/>
      </c>
      <c r="M269" t="inlineStr">
        <is>
          <t>视野内部</t>
        </is>
      </c>
      <c r="N269" t="inlineStr">
        <is>
          <t>纳入A/D/Dh；若有Pair_ID则纳入CWR</t>
        </is>
      </c>
      <c r="O269" t="inlineStr">
        <is>
          <t>自动管线检出的合格导管腔。</t>
        </is>
      </c>
      <c r="P269" t="inlineStr">
        <is>
          <t>auto_pipeline;review_png_green</t>
        </is>
      </c>
      <c r="Q269" t="inlineStr">
        <is>
          <t>48(8)-P01</t>
        </is>
      </c>
      <c r="R269" t="inlineStr">
        <is>
          <t>样品48</t>
        </is>
      </c>
    </row>
    <row r="270">
      <c r="A270" t="inlineStr">
        <is>
          <t>48(8)-V03</t>
        </is>
      </c>
      <c r="B270" t="inlineStr">
        <is>
          <t>48 (8).tif</t>
        </is>
      </c>
      <c r="C270" t="n">
        <v>162</v>
      </c>
      <c r="D270" t="n">
        <v>273</v>
      </c>
      <c r="E270" t="inlineStr">
        <is>
          <t>102,227,223,320</t>
        </is>
      </c>
      <c r="F270" t="n">
        <v>102</v>
      </c>
      <c r="G270" t="inlineStr">
        <is>
          <t>primary</t>
        </is>
      </c>
      <c r="H270" t="inlineStr">
        <is>
          <t>AUTO_VESSEL</t>
        </is>
      </c>
      <c r="I270" t="inlineStr">
        <is>
          <t>是</t>
        </is>
      </c>
      <c r="J270" t="inlineStr">
        <is>
          <t>纳入</t>
        </is>
      </c>
      <c r="K270" t="n">
        <v>407.3724007561437</v>
      </c>
      <c r="L270">
        <f>导管母表_860!G270</f>
        <v/>
      </c>
      <c r="M270" t="inlineStr">
        <is>
          <t>视野内部</t>
        </is>
      </c>
      <c r="N270" t="inlineStr">
        <is>
          <t>纳入A/D/Dh；若有Pair_ID则纳入CWR</t>
        </is>
      </c>
      <c r="O270" t="inlineStr">
        <is>
          <t>自动管线检出的合格导管腔。</t>
        </is>
      </c>
      <c r="P270" t="inlineStr">
        <is>
          <t>auto_pipeline;review_png_green</t>
        </is>
      </c>
      <c r="R270" t="inlineStr">
        <is>
          <t>样品48</t>
        </is>
      </c>
    </row>
    <row r="271">
      <c r="A271" t="inlineStr">
        <is>
          <t>48(8)-V04</t>
        </is>
      </c>
      <c r="B271" t="inlineStr">
        <is>
          <t>48 (8).tif</t>
        </is>
      </c>
      <c r="C271" t="n">
        <v>372</v>
      </c>
      <c r="D271" t="n">
        <v>485</v>
      </c>
      <c r="E271" t="inlineStr">
        <is>
          <t>324,441,421,530</t>
        </is>
      </c>
      <c r="F271" t="n">
        <v>238</v>
      </c>
      <c r="G271" t="inlineStr">
        <is>
          <t>primary</t>
        </is>
      </c>
      <c r="H271" t="inlineStr">
        <is>
          <t>AUTO_VESSEL</t>
        </is>
      </c>
      <c r="I271" t="inlineStr">
        <is>
          <t>是</t>
        </is>
      </c>
      <c r="J271" t="inlineStr">
        <is>
          <t>纳入</t>
        </is>
      </c>
      <c r="K271" t="n">
        <v>313.0434782608696</v>
      </c>
      <c r="L271">
        <f>导管母表_860!G271</f>
        <v/>
      </c>
      <c r="M271" t="inlineStr">
        <is>
          <t>视野内部</t>
        </is>
      </c>
      <c r="N271" t="inlineStr">
        <is>
          <t>纳入A/D/Dh；若有Pair_ID则纳入CWR</t>
        </is>
      </c>
      <c r="O271" t="inlineStr">
        <is>
          <t>自动管线检出的合格导管腔。</t>
        </is>
      </c>
      <c r="P271" t="inlineStr">
        <is>
          <t>auto_pipeline;review_png_green</t>
        </is>
      </c>
      <c r="R271" t="inlineStr">
        <is>
          <t>样品48</t>
        </is>
      </c>
    </row>
    <row r="272">
      <c r="A272" t="inlineStr">
        <is>
          <t>48(8)-V05</t>
        </is>
      </c>
      <c r="B272" t="inlineStr">
        <is>
          <t>48 (8).tif</t>
        </is>
      </c>
      <c r="C272" t="n">
        <v>255</v>
      </c>
      <c r="D272" t="n">
        <v>488</v>
      </c>
      <c r="E272" t="inlineStr">
        <is>
          <t>214,441,297,536</t>
        </is>
      </c>
      <c r="F272" t="n">
        <v>214</v>
      </c>
      <c r="G272" t="inlineStr">
        <is>
          <t>primary</t>
        </is>
      </c>
      <c r="H272" t="inlineStr">
        <is>
          <t>AUTO_VESSEL</t>
        </is>
      </c>
      <c r="I272" t="inlineStr">
        <is>
          <t>是</t>
        </is>
      </c>
      <c r="J272" t="inlineStr">
        <is>
          <t>纳入</t>
        </is>
      </c>
      <c r="K272" t="n">
        <v>277.930056710775</v>
      </c>
      <c r="L272">
        <f>导管母表_860!G272</f>
        <v/>
      </c>
      <c r="M272" t="inlineStr">
        <is>
          <t>视野内部</t>
        </is>
      </c>
      <c r="N272" t="inlineStr">
        <is>
          <t>纳入A/D/Dh；若有Pair_ID则纳入CWR</t>
        </is>
      </c>
      <c r="O272" t="inlineStr">
        <is>
          <t>自动管线检出的合格导管腔。</t>
        </is>
      </c>
      <c r="P272" t="inlineStr">
        <is>
          <t>auto_pipeline;review_png_green</t>
        </is>
      </c>
      <c r="R272" t="inlineStr">
        <is>
          <t>样品48</t>
        </is>
      </c>
    </row>
    <row r="273">
      <c r="A273" t="inlineStr">
        <is>
          <t>48(8)-V06</t>
        </is>
      </c>
      <c r="B273" t="inlineStr">
        <is>
          <t>48 (8).tif</t>
        </is>
      </c>
      <c r="C273" t="n">
        <v>304</v>
      </c>
      <c r="D273" t="n">
        <v>382</v>
      </c>
      <c r="E273" t="inlineStr">
        <is>
          <t>271,360,338,405</t>
        </is>
      </c>
      <c r="F273" t="n">
        <v>271</v>
      </c>
      <c r="G273" t="inlineStr">
        <is>
          <t>primary</t>
        </is>
      </c>
      <c r="H273" t="inlineStr">
        <is>
          <t>AUTO_VESSEL</t>
        </is>
      </c>
      <c r="I273" t="inlineStr">
        <is>
          <t>是</t>
        </is>
      </c>
      <c r="J273" t="inlineStr">
        <is>
          <t>纳入</t>
        </is>
      </c>
      <c r="K273" t="n">
        <v>106.1436672967864</v>
      </c>
      <c r="L273">
        <f>导管母表_860!G273</f>
        <v/>
      </c>
      <c r="M273" t="inlineStr">
        <is>
          <t>视野内部</t>
        </is>
      </c>
      <c r="N273" t="inlineStr">
        <is>
          <t>纳入A/D/Dh；若有Pair_ID则纳入CWR</t>
        </is>
      </c>
      <c r="O273" t="inlineStr">
        <is>
          <t>自动管线检出的合格导管腔。</t>
        </is>
      </c>
      <c r="P273" t="inlineStr">
        <is>
          <t>auto_pipeline;review_png_green</t>
        </is>
      </c>
      <c r="R273" t="inlineStr">
        <is>
          <t>样品48</t>
        </is>
      </c>
    </row>
    <row r="274">
      <c r="A274" t="inlineStr">
        <is>
          <t>49(1)-V01</t>
        </is>
      </c>
      <c r="B274" t="inlineStr">
        <is>
          <t>49 (1).tif</t>
        </is>
      </c>
      <c r="C274" t="n">
        <v>539</v>
      </c>
      <c r="D274" t="n">
        <v>428</v>
      </c>
      <c r="E274" t="inlineStr">
        <is>
          <t>465,356,614,501</t>
        </is>
      </c>
      <c r="F274" t="n">
        <v>267</v>
      </c>
      <c r="G274" t="inlineStr">
        <is>
          <t>primary</t>
        </is>
      </c>
      <c r="H274" t="inlineStr">
        <is>
          <t>AUTO_VESSEL</t>
        </is>
      </c>
      <c r="I274" t="inlineStr">
        <is>
          <t>是</t>
        </is>
      </c>
      <c r="J274" t="inlineStr">
        <is>
          <t>纳入</t>
        </is>
      </c>
      <c r="K274" t="n">
        <v>789.0595463137996</v>
      </c>
      <c r="L274">
        <f>导管母表_860!G274</f>
        <v/>
      </c>
      <c r="M274" t="inlineStr">
        <is>
          <t>视野内部</t>
        </is>
      </c>
      <c r="N274" t="inlineStr">
        <is>
          <t>纳入A/D/Dh；若有Pair_ID则纳入CWR</t>
        </is>
      </c>
      <c r="O274" t="inlineStr">
        <is>
          <t>自动管线检出的合格导管腔。</t>
        </is>
      </c>
      <c r="P274" t="inlineStr">
        <is>
          <t>auto_pipeline;review_png_green</t>
        </is>
      </c>
      <c r="R274" t="inlineStr">
        <is>
          <t>样品49</t>
        </is>
      </c>
    </row>
    <row r="275">
      <c r="A275" t="inlineStr">
        <is>
          <t>49(1)-V02</t>
        </is>
      </c>
      <c r="B275" t="inlineStr">
        <is>
          <t>49 (1).tif</t>
        </is>
      </c>
      <c r="C275" t="n">
        <v>476</v>
      </c>
      <c r="D275" t="n">
        <v>280</v>
      </c>
      <c r="E275" t="inlineStr">
        <is>
          <t>406,212,547,349</t>
        </is>
      </c>
      <c r="F275" t="n">
        <v>212</v>
      </c>
      <c r="G275" t="inlineStr">
        <is>
          <t>primary</t>
        </is>
      </c>
      <c r="H275" t="inlineStr">
        <is>
          <t>AUTO_VESSEL</t>
        </is>
      </c>
      <c r="I275" t="inlineStr">
        <is>
          <t>是</t>
        </is>
      </c>
      <c r="J275" t="inlineStr">
        <is>
          <t>纳入</t>
        </is>
      </c>
      <c r="K275" t="n">
        <v>705.3402646502835</v>
      </c>
      <c r="L275">
        <f>导管母表_860!G275</f>
        <v/>
      </c>
      <c r="M275" t="inlineStr">
        <is>
          <t>视野内部</t>
        </is>
      </c>
      <c r="N275" t="inlineStr">
        <is>
          <t>纳入A/D/Dh；若有Pair_ID则纳入CWR</t>
        </is>
      </c>
      <c r="O275" t="inlineStr">
        <is>
          <t>自动管线检出的合格导管腔。</t>
        </is>
      </c>
      <c r="P275" t="inlineStr">
        <is>
          <t>auto_pipeline;review_png_green</t>
        </is>
      </c>
      <c r="R275" t="inlineStr">
        <is>
          <t>样品49</t>
        </is>
      </c>
    </row>
    <row r="276">
      <c r="A276" t="inlineStr">
        <is>
          <t>49(2)-V01</t>
        </is>
      </c>
      <c r="B276" t="inlineStr">
        <is>
          <t>49 (2).tif</t>
        </is>
      </c>
      <c r="C276" t="n">
        <v>408</v>
      </c>
      <c r="D276" t="n">
        <v>415</v>
      </c>
      <c r="E276" t="inlineStr">
        <is>
          <t>321,329,496,502</t>
        </is>
      </c>
      <c r="F276" t="n">
        <v>266</v>
      </c>
      <c r="G276" t="inlineStr">
        <is>
          <t>primary</t>
        </is>
      </c>
      <c r="H276" t="inlineStr">
        <is>
          <t>AUTO_VESSEL</t>
        </is>
      </c>
      <c r="I276" t="inlineStr">
        <is>
          <t>是</t>
        </is>
      </c>
      <c r="J276" t="inlineStr">
        <is>
          <t>纳入</t>
        </is>
      </c>
      <c r="K276" t="n">
        <v>1064.815689981097</v>
      </c>
      <c r="L276">
        <f>导管母表_860!G276</f>
        <v/>
      </c>
      <c r="M276" t="inlineStr">
        <is>
          <t>视野内部</t>
        </is>
      </c>
      <c r="N276" t="inlineStr">
        <is>
          <t>纳入A/D/Dh；若有Pair_ID则纳入CWR</t>
        </is>
      </c>
      <c r="O276" t="inlineStr">
        <is>
          <t>自动管线检出的合格导管腔。</t>
        </is>
      </c>
      <c r="P276" t="inlineStr">
        <is>
          <t>auto_pipeline;review_png_green</t>
        </is>
      </c>
      <c r="R276" t="inlineStr">
        <is>
          <t>样品49</t>
        </is>
      </c>
    </row>
    <row r="277">
      <c r="A277" t="inlineStr">
        <is>
          <t>49(2)-V02</t>
        </is>
      </c>
      <c r="B277" t="inlineStr">
        <is>
          <t>49 (2).tif</t>
        </is>
      </c>
      <c r="C277" t="n">
        <v>581</v>
      </c>
      <c r="D277" t="n">
        <v>362</v>
      </c>
      <c r="E277" t="inlineStr">
        <is>
          <t>525,308,638,417</t>
        </is>
      </c>
      <c r="F277" t="n">
        <v>308</v>
      </c>
      <c r="G277" t="inlineStr">
        <is>
          <t>primary</t>
        </is>
      </c>
      <c r="H277" t="inlineStr">
        <is>
          <t>AUTO_VESSEL</t>
        </is>
      </c>
      <c r="I277" t="inlineStr">
        <is>
          <t>是</t>
        </is>
      </c>
      <c r="J277" t="inlineStr">
        <is>
          <t>纳入</t>
        </is>
      </c>
      <c r="K277" t="n">
        <v>448.038752362949</v>
      </c>
      <c r="L277">
        <f>导管母表_860!G277</f>
        <v/>
      </c>
      <c r="M277" t="inlineStr">
        <is>
          <t>视野内部</t>
        </is>
      </c>
      <c r="N277" t="inlineStr">
        <is>
          <t>纳入A/D/Dh；若有Pair_ID则纳入CWR</t>
        </is>
      </c>
      <c r="O277" t="inlineStr">
        <is>
          <t>自动管线检出的合格导管腔。</t>
        </is>
      </c>
      <c r="P277" t="inlineStr">
        <is>
          <t>auto_pipeline;review_png_green</t>
        </is>
      </c>
      <c r="R277" t="inlineStr">
        <is>
          <t>样品49</t>
        </is>
      </c>
    </row>
    <row r="278">
      <c r="A278" t="inlineStr">
        <is>
          <t>49(2)-V03</t>
        </is>
      </c>
      <c r="B278" t="inlineStr">
        <is>
          <t>49 (2).tif</t>
        </is>
      </c>
      <c r="C278" t="n">
        <v>886</v>
      </c>
      <c r="D278" t="n">
        <v>295</v>
      </c>
      <c r="E278" t="inlineStr">
        <is>
          <t>831,247,942,344</t>
        </is>
      </c>
      <c r="F278" t="n">
        <v>82</v>
      </c>
      <c r="G278" t="inlineStr">
        <is>
          <t>primary</t>
        </is>
      </c>
      <c r="H278" t="inlineStr">
        <is>
          <t>AUTO_VESSEL</t>
        </is>
      </c>
      <c r="I278" t="inlineStr">
        <is>
          <t>是</t>
        </is>
      </c>
      <c r="J278" t="inlineStr">
        <is>
          <t>纳入</t>
        </is>
      </c>
      <c r="K278" t="n">
        <v>380.5056710775047</v>
      </c>
      <c r="L278">
        <f>导管母表_860!G278</f>
        <v/>
      </c>
      <c r="M278" t="inlineStr">
        <is>
          <t>视野内部</t>
        </is>
      </c>
      <c r="N278" t="inlineStr">
        <is>
          <t>纳入A/D/Dh；若有Pair_ID则纳入CWR</t>
        </is>
      </c>
      <c r="O278" t="inlineStr">
        <is>
          <t>自动管线检出的合格导管腔。</t>
        </is>
      </c>
      <c r="P278" t="inlineStr">
        <is>
          <t>auto_pipeline;review_png_green</t>
        </is>
      </c>
      <c r="R278" t="inlineStr">
        <is>
          <t>样品49</t>
        </is>
      </c>
    </row>
    <row r="279">
      <c r="A279" t="inlineStr">
        <is>
          <t>49(3)-V01</t>
        </is>
      </c>
      <c r="B279" t="inlineStr">
        <is>
          <t>49 (3).tif</t>
        </is>
      </c>
      <c r="C279" t="n">
        <v>681</v>
      </c>
      <c r="D279" t="n">
        <v>385</v>
      </c>
      <c r="E279" t="inlineStr">
        <is>
          <t>585,288,778,483</t>
        </is>
      </c>
      <c r="F279" t="n">
        <v>246</v>
      </c>
      <c r="G279" t="inlineStr">
        <is>
          <t>primary</t>
        </is>
      </c>
      <c r="H279" t="inlineStr">
        <is>
          <t>AUTO_VESSEL</t>
        </is>
      </c>
      <c r="I279" t="inlineStr">
        <is>
          <t>是</t>
        </is>
      </c>
      <c r="J279" t="inlineStr">
        <is>
          <t>纳入</t>
        </is>
      </c>
      <c r="K279" t="n">
        <v>1381.616257088847</v>
      </c>
      <c r="L279">
        <f>导管母表_860!G279</f>
        <v/>
      </c>
      <c r="M279" t="inlineStr">
        <is>
          <t>视野内部</t>
        </is>
      </c>
      <c r="N279" t="inlineStr">
        <is>
          <t>纳入A/D/Dh；若有Pair_ID则纳入CWR</t>
        </is>
      </c>
      <c r="O279" t="inlineStr">
        <is>
          <t>自动管线检出的合格导管腔。</t>
        </is>
      </c>
      <c r="P279" t="inlineStr">
        <is>
          <t>auto_pipeline;review_png_green</t>
        </is>
      </c>
      <c r="Q279" t="inlineStr">
        <is>
          <t>49(3)-P01</t>
        </is>
      </c>
      <c r="R279" t="inlineStr">
        <is>
          <t>样品49</t>
        </is>
      </c>
    </row>
    <row r="280">
      <c r="A280" t="inlineStr">
        <is>
          <t>49(3)-V02</t>
        </is>
      </c>
      <c r="B280" t="inlineStr">
        <is>
          <t>49 (3).tif</t>
        </is>
      </c>
      <c r="C280" t="n">
        <v>482</v>
      </c>
      <c r="D280" t="n">
        <v>334</v>
      </c>
      <c r="E280" t="inlineStr">
        <is>
          <t>395,252,570,417</t>
        </is>
      </c>
      <c r="F280" t="n">
        <v>252</v>
      </c>
      <c r="G280" t="inlineStr">
        <is>
          <t>primary</t>
        </is>
      </c>
      <c r="H280" t="inlineStr">
        <is>
          <t>AUTO_VESSEL</t>
        </is>
      </c>
      <c r="I280" t="inlineStr">
        <is>
          <t>是</t>
        </is>
      </c>
      <c r="J280" t="inlineStr">
        <is>
          <t>纳入</t>
        </is>
      </c>
      <c r="K280" t="n">
        <v>1043.856332703214</v>
      </c>
      <c r="L280">
        <f>导管母表_860!G280</f>
        <v/>
      </c>
      <c r="M280" t="inlineStr">
        <is>
          <t>视野内部</t>
        </is>
      </c>
      <c r="N280" t="inlineStr">
        <is>
          <t>纳入A/D/Dh；若有Pair_ID则纳入CWR</t>
        </is>
      </c>
      <c r="O280" t="inlineStr">
        <is>
          <t>自动管线检出的合格导管腔。</t>
        </is>
      </c>
      <c r="P280" t="inlineStr">
        <is>
          <t>auto_pipeline;review_png_green</t>
        </is>
      </c>
      <c r="Q280" t="inlineStr">
        <is>
          <t>49(3)-P01</t>
        </is>
      </c>
      <c r="R280" t="inlineStr">
        <is>
          <t>样品49</t>
        </is>
      </c>
    </row>
    <row r="281">
      <c r="A281" t="inlineStr">
        <is>
          <t>49(3)-V03</t>
        </is>
      </c>
      <c r="B281" t="inlineStr">
        <is>
          <t>49 (3).tif</t>
        </is>
      </c>
      <c r="C281" t="n">
        <v>93</v>
      </c>
      <c r="D281" t="n">
        <v>587</v>
      </c>
      <c r="E281" t="inlineStr">
        <is>
          <t>53,568,134,607</t>
        </is>
      </c>
      <c r="F281" t="n">
        <v>53</v>
      </c>
      <c r="G281" t="inlineStr">
        <is>
          <t>primary</t>
        </is>
      </c>
      <c r="H281" t="inlineStr">
        <is>
          <t>AUTO_VESSEL</t>
        </is>
      </c>
      <c r="I281" t="inlineStr">
        <is>
          <t>是</t>
        </is>
      </c>
      <c r="J281" t="inlineStr">
        <is>
          <t>纳入</t>
        </is>
      </c>
      <c r="K281" t="n">
        <v>112.6417769376181</v>
      </c>
      <c r="L281">
        <f>导管母表_860!G281</f>
        <v/>
      </c>
      <c r="M281" t="inlineStr">
        <is>
          <t>视野内部</t>
        </is>
      </c>
      <c r="N281" t="inlineStr">
        <is>
          <t>纳入A/D/Dh；若有Pair_ID则纳入CWR</t>
        </is>
      </c>
      <c r="O281" t="inlineStr">
        <is>
          <t>自动管线检出的合格导管腔。</t>
        </is>
      </c>
      <c r="P281" t="inlineStr">
        <is>
          <t>auto_pipeline;review_png_green</t>
        </is>
      </c>
      <c r="R281" t="inlineStr">
        <is>
          <t>样品49</t>
        </is>
      </c>
    </row>
    <row r="282">
      <c r="A282" t="inlineStr">
        <is>
          <t>49(4)-V01</t>
        </is>
      </c>
      <c r="B282" t="inlineStr">
        <is>
          <t>49 (4).tif</t>
        </is>
      </c>
      <c r="C282" t="n">
        <v>430</v>
      </c>
      <c r="D282" t="n">
        <v>350</v>
      </c>
      <c r="E282" t="inlineStr">
        <is>
          <t>352,273,509,428</t>
        </is>
      </c>
      <c r="F282" t="n">
        <v>273</v>
      </c>
      <c r="G282" t="inlineStr">
        <is>
          <t>primary</t>
        </is>
      </c>
      <c r="H282" t="inlineStr">
        <is>
          <t>AUTO_VESSEL</t>
        </is>
      </c>
      <c r="I282" t="inlineStr">
        <is>
          <t>是</t>
        </is>
      </c>
      <c r="J282" t="inlineStr">
        <is>
          <t>纳入</t>
        </is>
      </c>
      <c r="K282" t="n">
        <v>888.9886578449906</v>
      </c>
      <c r="L282">
        <f>导管母表_860!G282</f>
        <v/>
      </c>
      <c r="M282" t="inlineStr">
        <is>
          <t>视野内部</t>
        </is>
      </c>
      <c r="N282" t="inlineStr">
        <is>
          <t>纳入A/D/Dh；若有Pair_ID则纳入CWR</t>
        </is>
      </c>
      <c r="O282" t="inlineStr">
        <is>
          <t>自动管线检出的合格导管腔。</t>
        </is>
      </c>
      <c r="P282" t="inlineStr">
        <is>
          <t>auto_pipeline;review_png_green</t>
        </is>
      </c>
      <c r="R282" t="inlineStr">
        <is>
          <t>样品49</t>
        </is>
      </c>
    </row>
    <row r="283">
      <c r="A283" t="inlineStr">
        <is>
          <t>49(4)-V02</t>
        </is>
      </c>
      <c r="B283" t="inlineStr">
        <is>
          <t>49 (4).tif</t>
        </is>
      </c>
      <c r="C283" t="n">
        <v>915</v>
      </c>
      <c r="D283" t="n">
        <v>293</v>
      </c>
      <c r="E283" t="inlineStr">
        <is>
          <t>823,254,1008,333</t>
        </is>
      </c>
      <c r="F283" t="n">
        <v>16</v>
      </c>
      <c r="G283" t="inlineStr">
        <is>
          <t>primary</t>
        </is>
      </c>
      <c r="H283" t="inlineStr">
        <is>
          <t>AUTO_VESSEL</t>
        </is>
      </c>
      <c r="I283" t="inlineStr">
        <is>
          <t>是</t>
        </is>
      </c>
      <c r="J283" t="inlineStr">
        <is>
          <t>纳入</t>
        </is>
      </c>
      <c r="K283" t="n">
        <v>510.9168241965974</v>
      </c>
      <c r="L283">
        <f>导管母表_860!G283</f>
        <v/>
      </c>
      <c r="M283" t="inlineStr">
        <is>
          <t>近边缘（&lt;25 px）</t>
        </is>
      </c>
      <c r="N283" t="inlineStr">
        <is>
          <t>纳入A/D/Dh；若有Pair_ID则纳入CWR</t>
        </is>
      </c>
      <c r="O283" t="inlineStr">
        <is>
          <t>自动管线检出的合格导管腔。</t>
        </is>
      </c>
      <c r="P283" t="inlineStr">
        <is>
          <t>auto_pipeline;review_png_green</t>
        </is>
      </c>
      <c r="R283" t="inlineStr">
        <is>
          <t>样品49</t>
        </is>
      </c>
    </row>
    <row r="284">
      <c r="A284" t="inlineStr">
        <is>
          <t>49(5)-V01</t>
        </is>
      </c>
      <c r="B284" t="inlineStr">
        <is>
          <t>49 (5).tif</t>
        </is>
      </c>
      <c r="C284" t="n">
        <v>548</v>
      </c>
      <c r="D284" t="n">
        <v>479</v>
      </c>
      <c r="E284" t="inlineStr">
        <is>
          <t>473,415,624,544</t>
        </is>
      </c>
      <c r="F284" t="n">
        <v>224</v>
      </c>
      <c r="G284" t="inlineStr">
        <is>
          <t>primary</t>
        </is>
      </c>
      <c r="H284" t="inlineStr">
        <is>
          <t>AUTO_VESSEL</t>
        </is>
      </c>
      <c r="I284" t="inlineStr">
        <is>
          <t>是</t>
        </is>
      </c>
      <c r="J284" t="inlineStr">
        <is>
          <t>纳入</t>
        </is>
      </c>
      <c r="K284" t="n">
        <v>712.8544423440454</v>
      </c>
      <c r="L284">
        <f>导管母表_860!G284</f>
        <v/>
      </c>
      <c r="M284" t="inlineStr">
        <is>
          <t>视野内部</t>
        </is>
      </c>
      <c r="N284" t="inlineStr">
        <is>
          <t>纳入A/D/Dh；若有Pair_ID则纳入CWR</t>
        </is>
      </c>
      <c r="O284" t="inlineStr">
        <is>
          <t>自动管线检出的合格导管腔。</t>
        </is>
      </c>
      <c r="P284" t="inlineStr">
        <is>
          <t>auto_pipeline;review_png_green</t>
        </is>
      </c>
      <c r="R284" t="inlineStr">
        <is>
          <t>样品49</t>
        </is>
      </c>
    </row>
    <row r="285">
      <c r="A285" t="inlineStr">
        <is>
          <t>49(5)-V02</t>
        </is>
      </c>
      <c r="B285" t="inlineStr">
        <is>
          <t>49 (5).tif</t>
        </is>
      </c>
      <c r="C285" t="n">
        <v>961</v>
      </c>
      <c r="D285" t="n">
        <v>547</v>
      </c>
      <c r="E285" t="inlineStr">
        <is>
          <t>902,467,1021,628</t>
        </is>
      </c>
      <c r="F285" t="n">
        <v>3</v>
      </c>
      <c r="G285" t="inlineStr">
        <is>
          <t>primary</t>
        </is>
      </c>
      <c r="H285" t="inlineStr">
        <is>
          <t>AUTO_VESSEL</t>
        </is>
      </c>
      <c r="I285" t="inlineStr">
        <is>
          <t>是</t>
        </is>
      </c>
      <c r="J285" t="inlineStr">
        <is>
          <t>纳入</t>
        </is>
      </c>
      <c r="K285" t="n">
        <v>677.6937618147448</v>
      </c>
      <c r="L285">
        <f>导管母表_860!G285</f>
        <v/>
      </c>
      <c r="M285" t="inlineStr">
        <is>
          <t>近边缘（&lt;25 px）</t>
        </is>
      </c>
      <c r="N285" t="inlineStr">
        <is>
          <t>纳入A/D/Dh；若有Pair_ID则纳入CWR</t>
        </is>
      </c>
      <c r="O285" t="inlineStr">
        <is>
          <t>自动管线检出的合格导管腔。</t>
        </is>
      </c>
      <c r="P285" t="inlineStr">
        <is>
          <t>auto_pipeline;review_png_green</t>
        </is>
      </c>
      <c r="R285" t="inlineStr">
        <is>
          <t>样品49</t>
        </is>
      </c>
    </row>
    <row r="286">
      <c r="A286" t="inlineStr">
        <is>
          <t>49(5)-V03</t>
        </is>
      </c>
      <c r="B286" t="inlineStr">
        <is>
          <t>49 (5).tif</t>
        </is>
      </c>
      <c r="C286" t="n">
        <v>81</v>
      </c>
      <c r="D286" t="n">
        <v>141</v>
      </c>
      <c r="E286" t="inlineStr">
        <is>
          <t>13,74,150,209</t>
        </is>
      </c>
      <c r="F286" t="n">
        <v>13</v>
      </c>
      <c r="G286" t="inlineStr">
        <is>
          <t>primary</t>
        </is>
      </c>
      <c r="H286" t="inlineStr">
        <is>
          <t>AUTO_VESSEL</t>
        </is>
      </c>
      <c r="I286" t="inlineStr">
        <is>
          <t>是</t>
        </is>
      </c>
      <c r="J286" t="inlineStr">
        <is>
          <t>纳入</t>
        </is>
      </c>
      <c r="K286" t="n">
        <v>674.4565217391305</v>
      </c>
      <c r="L286">
        <f>导管母表_860!G286</f>
        <v/>
      </c>
      <c r="M286" t="inlineStr">
        <is>
          <t>近边缘（&lt;25 px）</t>
        </is>
      </c>
      <c r="N286" t="inlineStr">
        <is>
          <t>纳入A/D/Dh；若有Pair_ID则纳入CWR</t>
        </is>
      </c>
      <c r="O286" t="inlineStr">
        <is>
          <t>自动管线检出的合格导管腔。</t>
        </is>
      </c>
      <c r="P286" t="inlineStr">
        <is>
          <t>auto_pipeline;review_png_green</t>
        </is>
      </c>
      <c r="R286" t="inlineStr">
        <is>
          <t>样品49</t>
        </is>
      </c>
    </row>
    <row r="287">
      <c r="A287" t="inlineStr">
        <is>
          <t>49(5)-V04</t>
        </is>
      </c>
      <c r="B287" t="inlineStr">
        <is>
          <t>49 (5).tif</t>
        </is>
      </c>
      <c r="C287" t="n">
        <v>467</v>
      </c>
      <c r="D287" t="n">
        <v>352</v>
      </c>
      <c r="E287" t="inlineStr">
        <is>
          <t>404,296,531,409</t>
        </is>
      </c>
      <c r="F287" t="n">
        <v>296</v>
      </c>
      <c r="G287" t="inlineStr">
        <is>
          <t>primary</t>
        </is>
      </c>
      <c r="H287" t="inlineStr">
        <is>
          <t>AUTO_VESSEL</t>
        </is>
      </c>
      <c r="I287" t="inlineStr">
        <is>
          <t>是</t>
        </is>
      </c>
      <c r="J287" t="inlineStr">
        <is>
          <t>纳入</t>
        </is>
      </c>
      <c r="K287" t="n">
        <v>523.7240075614367</v>
      </c>
      <c r="L287">
        <f>导管母表_860!G287</f>
        <v/>
      </c>
      <c r="M287" t="inlineStr">
        <is>
          <t>视野内部</t>
        </is>
      </c>
      <c r="N287" t="inlineStr">
        <is>
          <t>纳入A/D/Dh；若有Pair_ID则纳入CWR</t>
        </is>
      </c>
      <c r="O287" t="inlineStr">
        <is>
          <t>自动管线检出的合格导管腔。</t>
        </is>
      </c>
      <c r="P287" t="inlineStr">
        <is>
          <t>auto_pipeline;review_png_green</t>
        </is>
      </c>
      <c r="R287" t="inlineStr">
        <is>
          <t>样品49</t>
        </is>
      </c>
    </row>
    <row r="288">
      <c r="A288" t="inlineStr">
        <is>
          <t>49(5)-V05</t>
        </is>
      </c>
      <c r="B288" t="inlineStr">
        <is>
          <t>49 (5).tif</t>
        </is>
      </c>
      <c r="C288" t="n">
        <v>152</v>
      </c>
      <c r="D288" t="n">
        <v>536</v>
      </c>
      <c r="E288" t="inlineStr">
        <is>
          <t>90,486,215,587</t>
        </is>
      </c>
      <c r="F288" t="n">
        <v>90</v>
      </c>
      <c r="G288" t="inlineStr">
        <is>
          <t>primary</t>
        </is>
      </c>
      <c r="H288" t="inlineStr">
        <is>
          <t>AUTO_VESSEL</t>
        </is>
      </c>
      <c r="I288" t="inlineStr">
        <is>
          <t>是</t>
        </is>
      </c>
      <c r="J288" t="inlineStr">
        <is>
          <t>纳入</t>
        </is>
      </c>
      <c r="K288" t="n">
        <v>427.8355387523629</v>
      </c>
      <c r="L288">
        <f>导管母表_860!G288</f>
        <v/>
      </c>
      <c r="M288" t="inlineStr">
        <is>
          <t>视野内部</t>
        </is>
      </c>
      <c r="N288" t="inlineStr">
        <is>
          <t>纳入A/D/Dh；若有Pair_ID则纳入CWR</t>
        </is>
      </c>
      <c r="O288" t="inlineStr">
        <is>
          <t>自动管线检出的合格导管腔。</t>
        </is>
      </c>
      <c r="P288" t="inlineStr">
        <is>
          <t>auto_pipeline;review_png_green</t>
        </is>
      </c>
      <c r="R288" t="inlineStr">
        <is>
          <t>样品49</t>
        </is>
      </c>
    </row>
    <row r="289">
      <c r="A289" t="inlineStr">
        <is>
          <t>49(5)-V06</t>
        </is>
      </c>
      <c r="B289" t="inlineStr">
        <is>
          <t>49 (5).tif</t>
        </is>
      </c>
      <c r="C289" t="n">
        <v>606</v>
      </c>
      <c r="D289" t="n">
        <v>107</v>
      </c>
      <c r="E289" t="inlineStr">
        <is>
          <t>572,63,641,152</t>
        </is>
      </c>
      <c r="F289" t="n">
        <v>63</v>
      </c>
      <c r="G289" t="inlineStr">
        <is>
          <t>primary</t>
        </is>
      </c>
      <c r="H289" t="inlineStr">
        <is>
          <t>AUTO_VESSEL</t>
        </is>
      </c>
      <c r="I289" t="inlineStr">
        <is>
          <t>是</t>
        </is>
      </c>
      <c r="J289" t="inlineStr">
        <is>
          <t>纳入</t>
        </is>
      </c>
      <c r="K289" t="n">
        <v>211.8620037807183</v>
      </c>
      <c r="L289">
        <f>导管母表_860!G289</f>
        <v/>
      </c>
      <c r="M289" t="inlineStr">
        <is>
          <t>视野内部</t>
        </is>
      </c>
      <c r="N289" t="inlineStr">
        <is>
          <t>纳入A/D/Dh；若有Pair_ID则纳入CWR</t>
        </is>
      </c>
      <c r="O289" t="inlineStr">
        <is>
          <t>自动管线检出的合格导管腔。</t>
        </is>
      </c>
      <c r="P289" t="inlineStr">
        <is>
          <t>auto_pipeline;review_png_green</t>
        </is>
      </c>
      <c r="R289" t="inlineStr">
        <is>
          <t>样品49</t>
        </is>
      </c>
    </row>
    <row r="290">
      <c r="A290" t="inlineStr">
        <is>
          <t>49(6)-V01</t>
        </is>
      </c>
      <c r="B290" t="inlineStr">
        <is>
          <t>49 (6).tif</t>
        </is>
      </c>
      <c r="C290" t="n">
        <v>460</v>
      </c>
      <c r="D290" t="n">
        <v>331</v>
      </c>
      <c r="E290" t="inlineStr">
        <is>
          <t>390,269,531,394</t>
        </is>
      </c>
      <c r="F290" t="n">
        <v>269</v>
      </c>
      <c r="G290" t="inlineStr">
        <is>
          <t>primary</t>
        </is>
      </c>
      <c r="H290" t="inlineStr">
        <is>
          <t>AUTO_VESSEL</t>
        </is>
      </c>
      <c r="I290" t="inlineStr">
        <is>
          <t>是</t>
        </is>
      </c>
      <c r="J290" t="inlineStr">
        <is>
          <t>纳入</t>
        </is>
      </c>
      <c r="K290" t="n">
        <v>644.4943289224952</v>
      </c>
      <c r="L290">
        <f>导管母表_860!G290</f>
        <v/>
      </c>
      <c r="M290" t="inlineStr">
        <is>
          <t>视野内部</t>
        </is>
      </c>
      <c r="N290" t="inlineStr">
        <is>
          <t>纳入A/D/Dh；若有Pair_ID则纳入CWR</t>
        </is>
      </c>
      <c r="O290" t="inlineStr">
        <is>
          <t>自动管线检出的合格导管腔。</t>
        </is>
      </c>
      <c r="P290" t="inlineStr">
        <is>
          <t>auto_pipeline;review_png_green</t>
        </is>
      </c>
      <c r="R290" t="inlineStr">
        <is>
          <t>样品49</t>
        </is>
      </c>
    </row>
    <row r="291">
      <c r="A291" t="inlineStr">
        <is>
          <t>49(6)-V02</t>
        </is>
      </c>
      <c r="B291" t="inlineStr">
        <is>
          <t>49 (6).tif</t>
        </is>
      </c>
      <c r="C291" t="n">
        <v>217</v>
      </c>
      <c r="D291" t="n">
        <v>92</v>
      </c>
      <c r="E291" t="inlineStr">
        <is>
          <t>190,56,245,129</t>
        </is>
      </c>
      <c r="F291" t="n">
        <v>56</v>
      </c>
      <c r="G291" t="inlineStr">
        <is>
          <t>primary</t>
        </is>
      </c>
      <c r="H291" t="inlineStr">
        <is>
          <t>AUTO_VESSEL</t>
        </is>
      </c>
      <c r="I291" t="inlineStr">
        <is>
          <t>是</t>
        </is>
      </c>
      <c r="J291" t="inlineStr">
        <is>
          <t>纳入</t>
        </is>
      </c>
      <c r="K291" t="n">
        <v>127.3393194706994</v>
      </c>
      <c r="L291">
        <f>导管母表_860!G291</f>
        <v/>
      </c>
      <c r="M291" t="inlineStr">
        <is>
          <t>视野内部</t>
        </is>
      </c>
      <c r="N291" t="inlineStr">
        <is>
          <t>纳入A/D/Dh；若有Pair_ID则纳入CWR</t>
        </is>
      </c>
      <c r="O291" t="inlineStr">
        <is>
          <t>自动管线检出的合格导管腔。</t>
        </is>
      </c>
      <c r="P291" t="inlineStr">
        <is>
          <t>auto_pipeline;review_png_green</t>
        </is>
      </c>
      <c r="R291" t="inlineStr">
        <is>
          <t>样品49</t>
        </is>
      </c>
    </row>
    <row r="292">
      <c r="A292" t="inlineStr">
        <is>
          <t>49(7)-V01</t>
        </is>
      </c>
      <c r="B292" t="inlineStr">
        <is>
          <t>49 (7).tif</t>
        </is>
      </c>
      <c r="C292" t="n">
        <v>331</v>
      </c>
      <c r="D292" t="n">
        <v>391</v>
      </c>
      <c r="E292" t="inlineStr">
        <is>
          <t>244,308,419,475</t>
        </is>
      </c>
      <c r="F292" t="n">
        <v>244</v>
      </c>
      <c r="G292" t="inlineStr">
        <is>
          <t>primary</t>
        </is>
      </c>
      <c r="H292" t="inlineStr">
        <is>
          <t>AUTO_VESSEL</t>
        </is>
      </c>
      <c r="I292" t="inlineStr">
        <is>
          <t>是</t>
        </is>
      </c>
      <c r="J292" t="inlineStr">
        <is>
          <t>纳入</t>
        </is>
      </c>
      <c r="K292" t="n">
        <v>1070.132325141777</v>
      </c>
      <c r="L292">
        <f>导管母表_860!G292</f>
        <v/>
      </c>
      <c r="M292" t="inlineStr">
        <is>
          <t>视野内部</t>
        </is>
      </c>
      <c r="N292" t="inlineStr">
        <is>
          <t>纳入A/D/Dh；若有Pair_ID则纳入CWR</t>
        </is>
      </c>
      <c r="O292" t="inlineStr">
        <is>
          <t>自动管线检出的合格导管腔。</t>
        </is>
      </c>
      <c r="P292" t="inlineStr">
        <is>
          <t>auto_pipeline;review_png_green</t>
        </is>
      </c>
      <c r="R292" t="inlineStr">
        <is>
          <t>样品49</t>
        </is>
      </c>
    </row>
    <row r="293">
      <c r="A293" t="inlineStr">
        <is>
          <t>49(7)-V02</t>
        </is>
      </c>
      <c r="B293" t="inlineStr">
        <is>
          <t>49 (7).tif</t>
        </is>
      </c>
      <c r="C293" t="n">
        <v>517</v>
      </c>
      <c r="D293" t="n">
        <v>292</v>
      </c>
      <c r="E293" t="inlineStr">
        <is>
          <t>446,228,589,357</t>
        </is>
      </c>
      <c r="F293" t="n">
        <v>228</v>
      </c>
      <c r="G293" t="inlineStr">
        <is>
          <t>primary</t>
        </is>
      </c>
      <c r="H293" t="inlineStr">
        <is>
          <t>AUTO_VESSEL</t>
        </is>
      </c>
      <c r="I293" t="inlineStr">
        <is>
          <t>是</t>
        </is>
      </c>
      <c r="J293" t="inlineStr">
        <is>
          <t>纳入</t>
        </is>
      </c>
      <c r="K293" t="n">
        <v>672.8497164461247</v>
      </c>
      <c r="L293">
        <f>导管母表_860!G293</f>
        <v/>
      </c>
      <c r="M293" t="inlineStr">
        <is>
          <t>视野内部</t>
        </is>
      </c>
      <c r="N293" t="inlineStr">
        <is>
          <t>纳入A/D/Dh；若有Pair_ID则纳入CWR</t>
        </is>
      </c>
      <c r="O293" t="inlineStr">
        <is>
          <t>自动管线检出的合格导管腔。</t>
        </is>
      </c>
      <c r="P293" t="inlineStr">
        <is>
          <t>auto_pipeline;review_png_green</t>
        </is>
      </c>
      <c r="R293" t="inlineStr">
        <is>
          <t>样品49</t>
        </is>
      </c>
    </row>
    <row r="294">
      <c r="A294" t="inlineStr">
        <is>
          <t>49(7)-V03</t>
        </is>
      </c>
      <c r="B294" t="inlineStr">
        <is>
          <t>49 (7).tif</t>
        </is>
      </c>
      <c r="C294" t="n">
        <v>804</v>
      </c>
      <c r="D294" t="n">
        <v>154</v>
      </c>
      <c r="E294" t="inlineStr">
        <is>
          <t>754,97,855,212</t>
        </is>
      </c>
      <c r="F294" t="n">
        <v>97</v>
      </c>
      <c r="G294" t="inlineStr">
        <is>
          <t>primary</t>
        </is>
      </c>
      <c r="H294" t="inlineStr">
        <is>
          <t>AUTO_VESSEL</t>
        </is>
      </c>
      <c r="I294" t="inlineStr">
        <is>
          <t>是</t>
        </is>
      </c>
      <c r="J294" t="inlineStr">
        <is>
          <t>纳入</t>
        </is>
      </c>
      <c r="K294" t="n">
        <v>420.2741020793951</v>
      </c>
      <c r="L294">
        <f>导管母表_860!G294</f>
        <v/>
      </c>
      <c r="M294" t="inlineStr">
        <is>
          <t>视野内部</t>
        </is>
      </c>
      <c r="N294" t="inlineStr">
        <is>
          <t>纳入A/D/Dh；若有Pair_ID则纳入CWR</t>
        </is>
      </c>
      <c r="O294" t="inlineStr">
        <is>
          <t>自动管线检出的合格导管腔。</t>
        </is>
      </c>
      <c r="P294" t="inlineStr">
        <is>
          <t>auto_pipeline;review_png_green</t>
        </is>
      </c>
      <c r="R294" t="inlineStr">
        <is>
          <t>样品49</t>
        </is>
      </c>
    </row>
    <row r="295">
      <c r="A295" t="inlineStr">
        <is>
          <t>49(8)-V01</t>
        </is>
      </c>
      <c r="B295" t="inlineStr">
        <is>
          <t>49 (8).tif</t>
        </is>
      </c>
      <c r="C295" t="n">
        <v>449</v>
      </c>
      <c r="D295" t="n">
        <v>291</v>
      </c>
      <c r="E295" t="inlineStr">
        <is>
          <t>357,210,542,373</t>
        </is>
      </c>
      <c r="F295" t="n">
        <v>210</v>
      </c>
      <c r="G295" t="inlineStr">
        <is>
          <t>primary</t>
        </is>
      </c>
      <c r="H295" t="inlineStr">
        <is>
          <t>AUTO_VESSEL</t>
        </is>
      </c>
      <c r="I295" t="inlineStr">
        <is>
          <t>是</t>
        </is>
      </c>
      <c r="J295" t="inlineStr">
        <is>
          <t>纳入</t>
        </is>
      </c>
      <c r="K295" t="n">
        <v>1103.308128544423</v>
      </c>
      <c r="L295">
        <f>导管母表_860!G295</f>
        <v/>
      </c>
      <c r="M295" t="inlineStr">
        <is>
          <t>视野内部</t>
        </is>
      </c>
      <c r="N295" t="inlineStr">
        <is>
          <t>纳入A/D/Dh；若有Pair_ID则纳入CWR</t>
        </is>
      </c>
      <c r="O295" t="inlineStr">
        <is>
          <t>自动管线检出的合格导管腔。</t>
        </is>
      </c>
      <c r="P295" t="inlineStr">
        <is>
          <t>auto_pipeline;review_png_green</t>
        </is>
      </c>
      <c r="Q295" t="inlineStr">
        <is>
          <t>49(8)-P01</t>
        </is>
      </c>
      <c r="R295" t="inlineStr">
        <is>
          <t>样品49</t>
        </is>
      </c>
    </row>
    <row r="296">
      <c r="A296" t="inlineStr">
        <is>
          <t>49(8)-V02</t>
        </is>
      </c>
      <c r="B296" t="inlineStr">
        <is>
          <t>49 (8).tif</t>
        </is>
      </c>
      <c r="C296" t="n">
        <v>498</v>
      </c>
      <c r="D296" t="n">
        <v>468</v>
      </c>
      <c r="E296" t="inlineStr">
        <is>
          <t>418,406,579,531</t>
        </is>
      </c>
      <c r="F296" t="n">
        <v>237</v>
      </c>
      <c r="G296" t="inlineStr">
        <is>
          <t>primary</t>
        </is>
      </c>
      <c r="H296" t="inlineStr">
        <is>
          <t>AUTO_VESSEL</t>
        </is>
      </c>
      <c r="I296" t="inlineStr">
        <is>
          <t>是</t>
        </is>
      </c>
      <c r="J296" t="inlineStr">
        <is>
          <t>纳入</t>
        </is>
      </c>
      <c r="K296" t="n">
        <v>733.8846880907372</v>
      </c>
      <c r="L296">
        <f>导管母表_860!G296</f>
        <v/>
      </c>
      <c r="M296" t="inlineStr">
        <is>
          <t>视野内部</t>
        </is>
      </c>
      <c r="N296" t="inlineStr">
        <is>
          <t>纳入A/D/Dh；若有Pair_ID则纳入CWR</t>
        </is>
      </c>
      <c r="O296" t="inlineStr">
        <is>
          <t>自动管线检出的合格导管腔。</t>
        </is>
      </c>
      <c r="P296" t="inlineStr">
        <is>
          <t>auto_pipeline;review_png_green</t>
        </is>
      </c>
      <c r="Q296" t="inlineStr">
        <is>
          <t>49(8)-P01</t>
        </is>
      </c>
      <c r="R296" t="inlineStr">
        <is>
          <t>样品49</t>
        </is>
      </c>
    </row>
    <row r="297">
      <c r="A297" t="inlineStr">
        <is>
          <t>49(8)-V03</t>
        </is>
      </c>
      <c r="B297" t="inlineStr">
        <is>
          <t>49 (8).tif</t>
        </is>
      </c>
      <c r="C297" t="n">
        <v>76</v>
      </c>
      <c r="D297" t="n">
        <v>453</v>
      </c>
      <c r="E297" t="inlineStr">
        <is>
          <t>11,396,142,511</t>
        </is>
      </c>
      <c r="F297" t="n">
        <v>11</v>
      </c>
      <c r="G297" t="inlineStr">
        <is>
          <t>primary</t>
        </is>
      </c>
      <c r="H297" t="inlineStr">
        <is>
          <t>AUTO_VESSEL</t>
        </is>
      </c>
      <c r="I297" t="inlineStr">
        <is>
          <t>是</t>
        </is>
      </c>
      <c r="J297" t="inlineStr">
        <is>
          <t>纳入</t>
        </is>
      </c>
      <c r="K297" t="n">
        <v>539.1304347826087</v>
      </c>
      <c r="L297">
        <f>导管母表_860!G297</f>
        <v/>
      </c>
      <c r="M297" t="inlineStr">
        <is>
          <t>近边缘（&lt;25 px）</t>
        </is>
      </c>
      <c r="N297" t="inlineStr">
        <is>
          <t>纳入A/D/Dh；若有Pair_ID则纳入CWR</t>
        </is>
      </c>
      <c r="O297" t="inlineStr">
        <is>
          <t>自动管线检出的合格导管腔。</t>
        </is>
      </c>
      <c r="P297" t="inlineStr">
        <is>
          <t>auto_pipeline;review_png_green</t>
        </is>
      </c>
      <c r="R297" t="inlineStr">
        <is>
          <t>样品49</t>
        </is>
      </c>
    </row>
    <row r="298">
      <c r="A298" t="inlineStr">
        <is>
          <t>50(1)-V01</t>
        </is>
      </c>
      <c r="B298" t="inlineStr">
        <is>
          <t>50 (1).tif</t>
        </is>
      </c>
      <c r="C298" t="n">
        <v>605</v>
      </c>
      <c r="D298" t="n">
        <v>324</v>
      </c>
      <c r="E298" t="inlineStr">
        <is>
          <t>523,249,688,400</t>
        </is>
      </c>
      <c r="F298" t="n">
        <v>249</v>
      </c>
      <c r="G298" t="inlineStr">
        <is>
          <t>primary</t>
        </is>
      </c>
      <c r="H298" t="inlineStr">
        <is>
          <t>AUTO_VESSEL</t>
        </is>
      </c>
      <c r="I298" t="inlineStr">
        <is>
          <t>是</t>
        </is>
      </c>
      <c r="J298" t="inlineStr">
        <is>
          <t>纳入</t>
        </is>
      </c>
      <c r="K298" t="n">
        <v>910.2079395085066</v>
      </c>
      <c r="L298">
        <f>导管母表_860!G298</f>
        <v/>
      </c>
      <c r="M298" t="inlineStr">
        <is>
          <t>视野内部</t>
        </is>
      </c>
      <c r="N298" t="inlineStr">
        <is>
          <t>纳入A/D/Dh；若有Pair_ID则纳入CWR</t>
        </is>
      </c>
      <c r="O298" t="inlineStr">
        <is>
          <t>自动管线检出的合格导管腔。</t>
        </is>
      </c>
      <c r="P298" t="inlineStr">
        <is>
          <t>auto_pipeline;review_png_green</t>
        </is>
      </c>
      <c r="R298" t="inlineStr">
        <is>
          <t>样品50</t>
        </is>
      </c>
    </row>
    <row r="299">
      <c r="A299" t="inlineStr">
        <is>
          <t>50(1)-V02</t>
        </is>
      </c>
      <c r="B299" t="inlineStr">
        <is>
          <t>50 (1).tif</t>
        </is>
      </c>
      <c r="C299" t="n">
        <v>314</v>
      </c>
      <c r="D299" t="n">
        <v>140</v>
      </c>
      <c r="E299" t="inlineStr">
        <is>
          <t>241,75,388,206</t>
        </is>
      </c>
      <c r="F299" t="n">
        <v>75</v>
      </c>
      <c r="G299" t="inlineStr">
        <is>
          <t>primary</t>
        </is>
      </c>
      <c r="H299" t="inlineStr">
        <is>
          <t>AUTO_VESSEL</t>
        </is>
      </c>
      <c r="I299" t="inlineStr">
        <is>
          <t>是</t>
        </is>
      </c>
      <c r="J299" t="inlineStr">
        <is>
          <t>纳入</t>
        </is>
      </c>
      <c r="K299" t="n">
        <v>699.2674858223062</v>
      </c>
      <c r="L299">
        <f>导管母表_860!G299</f>
        <v/>
      </c>
      <c r="M299" t="inlineStr">
        <is>
          <t>视野内部</t>
        </is>
      </c>
      <c r="N299" t="inlineStr">
        <is>
          <t>纳入A/D/Dh；若有Pair_ID则纳入CWR</t>
        </is>
      </c>
      <c r="O299" t="inlineStr">
        <is>
          <t>自动管线检出的合格导管腔。</t>
        </is>
      </c>
      <c r="P299" t="inlineStr">
        <is>
          <t>auto_pipeline;review_png_green</t>
        </is>
      </c>
      <c r="R299" t="inlineStr">
        <is>
          <t>样品50</t>
        </is>
      </c>
    </row>
    <row r="300">
      <c r="A300" t="inlineStr">
        <is>
          <t>50(1)-V03</t>
        </is>
      </c>
      <c r="B300" t="inlineStr">
        <is>
          <t>50 (1).tif</t>
        </is>
      </c>
      <c r="C300" t="n">
        <v>432</v>
      </c>
      <c r="D300" t="n">
        <v>333</v>
      </c>
      <c r="E300" t="inlineStr">
        <is>
          <t>368,267,497,400</t>
        </is>
      </c>
      <c r="F300" t="n">
        <v>267</v>
      </c>
      <c r="G300" t="inlineStr">
        <is>
          <t>primary</t>
        </is>
      </c>
      <c r="H300" t="inlineStr">
        <is>
          <t>AUTO_VESSEL</t>
        </is>
      </c>
      <c r="I300" t="inlineStr">
        <is>
          <t>是</t>
        </is>
      </c>
      <c r="J300" t="inlineStr">
        <is>
          <t>纳入</t>
        </is>
      </c>
      <c r="K300" t="n">
        <v>614.2249527410208</v>
      </c>
      <c r="L300">
        <f>导管母表_860!G300</f>
        <v/>
      </c>
      <c r="M300" t="inlineStr">
        <is>
          <t>视野内部</t>
        </is>
      </c>
      <c r="N300" t="inlineStr">
        <is>
          <t>纳入A/D/Dh；若有Pair_ID则纳入CWR</t>
        </is>
      </c>
      <c r="O300" t="inlineStr">
        <is>
          <t>自动管线检出的合格导管腔。</t>
        </is>
      </c>
      <c r="P300" t="inlineStr">
        <is>
          <t>auto_pipeline;review_png_green</t>
        </is>
      </c>
      <c r="R300" t="inlineStr">
        <is>
          <t>样品50</t>
        </is>
      </c>
    </row>
    <row r="301">
      <c r="A301" t="inlineStr">
        <is>
          <t>50(1)-V04</t>
        </is>
      </c>
      <c r="B301" t="inlineStr">
        <is>
          <t>50 (1).tif</t>
        </is>
      </c>
      <c r="C301" t="n">
        <v>157</v>
      </c>
      <c r="D301" t="n">
        <v>96</v>
      </c>
      <c r="E301" t="inlineStr">
        <is>
          <t>125,68,190,125</t>
        </is>
      </c>
      <c r="F301" t="n">
        <v>68</v>
      </c>
      <c r="G301" t="inlineStr">
        <is>
          <t>primary</t>
        </is>
      </c>
      <c r="H301" t="inlineStr">
        <is>
          <t>AUTO_VESSEL</t>
        </is>
      </c>
      <c r="I301" t="inlineStr">
        <is>
          <t>是</t>
        </is>
      </c>
      <c r="J301" t="inlineStr">
        <is>
          <t>纳入</t>
        </is>
      </c>
      <c r="K301" t="n">
        <v>125</v>
      </c>
      <c r="L301">
        <f>导管母表_860!G301</f>
        <v/>
      </c>
      <c r="M301" t="inlineStr">
        <is>
          <t>视野内部</t>
        </is>
      </c>
      <c r="N301" t="inlineStr">
        <is>
          <t>纳入A/D/Dh；若有Pair_ID则纳入CWR</t>
        </is>
      </c>
      <c r="O301" t="inlineStr">
        <is>
          <t>自动管线检出的合格导管腔。</t>
        </is>
      </c>
      <c r="P301" t="inlineStr">
        <is>
          <t>auto_pipeline;review_png_green</t>
        </is>
      </c>
      <c r="R301" t="inlineStr">
        <is>
          <t>样品50</t>
        </is>
      </c>
    </row>
    <row r="302">
      <c r="A302" t="inlineStr">
        <is>
          <t>50(2)-V01</t>
        </is>
      </c>
      <c r="B302" t="inlineStr">
        <is>
          <t>50 (2).tif</t>
        </is>
      </c>
      <c r="C302" t="n">
        <v>470</v>
      </c>
      <c r="D302" t="n">
        <v>456</v>
      </c>
      <c r="E302" t="inlineStr">
        <is>
          <t>403,372,538,541</t>
        </is>
      </c>
      <c r="F302" t="n">
        <v>227</v>
      </c>
      <c r="G302" t="inlineStr">
        <is>
          <t>primary</t>
        </is>
      </c>
      <c r="H302" t="inlineStr">
        <is>
          <t>AUTO_VESSEL</t>
        </is>
      </c>
      <c r="I302" t="inlineStr">
        <is>
          <t>是</t>
        </is>
      </c>
      <c r="J302" t="inlineStr">
        <is>
          <t>纳入</t>
        </is>
      </c>
      <c r="K302" t="n">
        <v>834.3572778827977</v>
      </c>
      <c r="L302">
        <f>导管母表_860!G302</f>
        <v/>
      </c>
      <c r="M302" t="inlineStr">
        <is>
          <t>视野内部</t>
        </is>
      </c>
      <c r="N302" t="inlineStr">
        <is>
          <t>纳入A/D/Dh；若有Pair_ID则纳入CWR</t>
        </is>
      </c>
      <c r="O302" t="inlineStr">
        <is>
          <t>自动管线检出的合格导管腔。</t>
        </is>
      </c>
      <c r="P302" t="inlineStr">
        <is>
          <t>auto_pipeline;review_png_green</t>
        </is>
      </c>
      <c r="Q302" t="inlineStr">
        <is>
          <t>50(2)-P01</t>
        </is>
      </c>
      <c r="R302" t="inlineStr">
        <is>
          <t>样品50</t>
        </is>
      </c>
    </row>
    <row r="303">
      <c r="A303" t="inlineStr">
        <is>
          <t>50(2)-V02</t>
        </is>
      </c>
      <c r="B303" t="inlineStr">
        <is>
          <t>50 (2).tif</t>
        </is>
      </c>
      <c r="C303" t="n">
        <v>544</v>
      </c>
      <c r="D303" t="n">
        <v>282</v>
      </c>
      <c r="E303" t="inlineStr">
        <is>
          <t>478,200,611,365</t>
        </is>
      </c>
      <c r="F303" t="n">
        <v>200</v>
      </c>
      <c r="G303" t="inlineStr">
        <is>
          <t>primary</t>
        </is>
      </c>
      <c r="H303" t="inlineStr">
        <is>
          <t>AUTO_VESSEL</t>
        </is>
      </c>
      <c r="I303" t="inlineStr">
        <is>
          <t>是</t>
        </is>
      </c>
      <c r="J303" t="inlineStr">
        <is>
          <t>纳入</t>
        </is>
      </c>
      <c r="K303" t="n">
        <v>803.6389413988658</v>
      </c>
      <c r="L303">
        <f>导管母表_860!G303</f>
        <v/>
      </c>
      <c r="M303" t="inlineStr">
        <is>
          <t>视野内部</t>
        </is>
      </c>
      <c r="N303" t="inlineStr">
        <is>
          <t>纳入A/D/Dh；若有Pair_ID则纳入CWR</t>
        </is>
      </c>
      <c r="O303" t="inlineStr">
        <is>
          <t>自动管线检出的合格导管腔。</t>
        </is>
      </c>
      <c r="P303" t="inlineStr">
        <is>
          <t>auto_pipeline;review_png_green</t>
        </is>
      </c>
      <c r="Q303" t="inlineStr">
        <is>
          <t>50(2)-P01</t>
        </is>
      </c>
      <c r="R303" t="inlineStr">
        <is>
          <t>样品50</t>
        </is>
      </c>
    </row>
    <row r="304">
      <c r="A304" t="inlineStr">
        <is>
          <t>50(2)-V03</t>
        </is>
      </c>
      <c r="B304" t="inlineStr">
        <is>
          <t>50 (2).tif</t>
        </is>
      </c>
      <c r="C304" t="n">
        <v>114</v>
      </c>
      <c r="D304" t="n">
        <v>515</v>
      </c>
      <c r="E304" t="inlineStr">
        <is>
          <t>44,444,185,587</t>
        </is>
      </c>
      <c r="F304" t="n">
        <v>44</v>
      </c>
      <c r="G304" t="inlineStr">
        <is>
          <t>primary</t>
        </is>
      </c>
      <c r="H304" t="inlineStr">
        <is>
          <t>AUTO_VESSEL</t>
        </is>
      </c>
      <c r="I304" t="inlineStr">
        <is>
          <t>是</t>
        </is>
      </c>
      <c r="J304" t="inlineStr">
        <is>
          <t>纳入</t>
        </is>
      </c>
      <c r="K304" t="n">
        <v>736.9565217391305</v>
      </c>
      <c r="L304">
        <f>导管母表_860!G304</f>
        <v/>
      </c>
      <c r="M304" t="inlineStr">
        <is>
          <t>视野内部</t>
        </is>
      </c>
      <c r="N304" t="inlineStr">
        <is>
          <t>纳入A/D/Dh；若有Pair_ID则纳入CWR</t>
        </is>
      </c>
      <c r="O304" t="inlineStr">
        <is>
          <t>自动管线检出的合格导管腔。</t>
        </is>
      </c>
      <c r="P304" t="inlineStr">
        <is>
          <t>auto_pipeline;review_png_green</t>
        </is>
      </c>
      <c r="R304" t="inlineStr">
        <is>
          <t>样品50</t>
        </is>
      </c>
    </row>
    <row r="305">
      <c r="A305" t="inlineStr">
        <is>
          <t>50(2)-V04</t>
        </is>
      </c>
      <c r="B305" t="inlineStr">
        <is>
          <t>50 (2).tif</t>
        </is>
      </c>
      <c r="C305" t="n">
        <v>871</v>
      </c>
      <c r="D305" t="n">
        <v>231</v>
      </c>
      <c r="E305" t="inlineStr">
        <is>
          <t>817,166,926,297</t>
        </is>
      </c>
      <c r="F305" t="n">
        <v>98</v>
      </c>
      <c r="G305" t="inlineStr">
        <is>
          <t>primary</t>
        </is>
      </c>
      <c r="H305" t="inlineStr">
        <is>
          <t>AUTO_VESSEL</t>
        </is>
      </c>
      <c r="I305" t="inlineStr">
        <is>
          <t>是</t>
        </is>
      </c>
      <c r="J305" t="inlineStr">
        <is>
          <t>纳入</t>
        </is>
      </c>
      <c r="K305" t="n">
        <v>520.8884688090737</v>
      </c>
      <c r="L305">
        <f>导管母表_860!G305</f>
        <v/>
      </c>
      <c r="M305" t="inlineStr">
        <is>
          <t>视野内部</t>
        </is>
      </c>
      <c r="N305" t="inlineStr">
        <is>
          <t>纳入A/D/Dh；若有Pair_ID则纳入CWR</t>
        </is>
      </c>
      <c r="O305" t="inlineStr">
        <is>
          <t>自动管线检出的合格导管腔。</t>
        </is>
      </c>
      <c r="P305" t="inlineStr">
        <is>
          <t>auto_pipeline;review_png_green</t>
        </is>
      </c>
      <c r="R305" t="inlineStr">
        <is>
          <t>样品50</t>
        </is>
      </c>
    </row>
    <row r="306">
      <c r="A306" t="inlineStr">
        <is>
          <t>50(2)-V05</t>
        </is>
      </c>
      <c r="B306" t="inlineStr">
        <is>
          <t>50 (2).tif</t>
        </is>
      </c>
      <c r="C306" t="n">
        <v>335</v>
      </c>
      <c r="D306" t="n">
        <v>361</v>
      </c>
      <c r="E306" t="inlineStr">
        <is>
          <t>285,225,386,498</t>
        </is>
      </c>
      <c r="F306" t="n">
        <v>225</v>
      </c>
      <c r="G306" t="inlineStr">
        <is>
          <t>primary</t>
        </is>
      </c>
      <c r="H306" t="inlineStr">
        <is>
          <t>AUTO_VESSEL</t>
        </is>
      </c>
      <c r="I306" t="inlineStr">
        <is>
          <t>是</t>
        </is>
      </c>
      <c r="J306" t="inlineStr">
        <is>
          <t>纳入</t>
        </is>
      </c>
      <c r="K306" t="n">
        <v>405.1984877126654</v>
      </c>
      <c r="L306">
        <f>导管母表_860!G306</f>
        <v/>
      </c>
      <c r="M306" t="inlineStr">
        <is>
          <t>视野内部</t>
        </is>
      </c>
      <c r="N306" t="inlineStr">
        <is>
          <t>纳入A/D/Dh；若有Pair_ID则纳入CWR</t>
        </is>
      </c>
      <c r="O306" t="inlineStr">
        <is>
          <t>自动管线检出的合格导管腔。</t>
        </is>
      </c>
      <c r="P306" t="inlineStr">
        <is>
          <t>auto_pipeline;review_png_green</t>
        </is>
      </c>
      <c r="R306" t="inlineStr">
        <is>
          <t>样品50</t>
        </is>
      </c>
    </row>
    <row r="307">
      <c r="A307" t="inlineStr">
        <is>
          <t>50(2)-V06</t>
        </is>
      </c>
      <c r="B307" t="inlineStr">
        <is>
          <t>50 (2).tif</t>
        </is>
      </c>
      <c r="C307" t="n">
        <v>541</v>
      </c>
      <c r="D307" t="n">
        <v>318</v>
      </c>
      <c r="E307" t="inlineStr">
        <is>
          <t>492,272,591,365</t>
        </is>
      </c>
      <c r="F307" t="n">
        <v>272</v>
      </c>
      <c r="G307" t="inlineStr">
        <is>
          <t>primary</t>
        </is>
      </c>
      <c r="H307" t="inlineStr">
        <is>
          <t>AUTO_VESSEL</t>
        </is>
      </c>
      <c r="I307" t="inlineStr">
        <is>
          <t>是</t>
        </is>
      </c>
      <c r="J307" t="inlineStr">
        <is>
          <t>纳入</t>
        </is>
      </c>
      <c r="K307" t="n">
        <v>333.5538752362949</v>
      </c>
      <c r="L307">
        <f>导管母表_860!G307</f>
        <v/>
      </c>
      <c r="M307" t="inlineStr">
        <is>
          <t>视野内部</t>
        </is>
      </c>
      <c r="N307" t="inlineStr">
        <is>
          <t>纳入A/D/Dh；若有Pair_ID则纳入CWR</t>
        </is>
      </c>
      <c r="O307" t="inlineStr">
        <is>
          <t>自动管线检出的合格导管腔。</t>
        </is>
      </c>
      <c r="P307" t="inlineStr">
        <is>
          <t>auto_pipeline;review_png_green</t>
        </is>
      </c>
      <c r="R307" t="inlineStr">
        <is>
          <t>样品50</t>
        </is>
      </c>
    </row>
    <row r="308">
      <c r="A308" t="inlineStr">
        <is>
          <t>50(2)-V07</t>
        </is>
      </c>
      <c r="B308" t="inlineStr">
        <is>
          <t>50 (2).tif</t>
        </is>
      </c>
      <c r="C308" t="n">
        <v>403</v>
      </c>
      <c r="D308" t="n">
        <v>221</v>
      </c>
      <c r="E308" t="inlineStr">
        <is>
          <t>362,180,445,263</t>
        </is>
      </c>
      <c r="F308" t="n">
        <v>180</v>
      </c>
      <c r="G308" t="inlineStr">
        <is>
          <t>primary</t>
        </is>
      </c>
      <c r="H308" t="inlineStr">
        <is>
          <t>AUTO_VESSEL</t>
        </is>
      </c>
      <c r="I308" t="inlineStr">
        <is>
          <t>是</t>
        </is>
      </c>
      <c r="J308" t="inlineStr">
        <is>
          <t>纳入</t>
        </is>
      </c>
      <c r="K308" t="n">
        <v>243.1947069943289</v>
      </c>
      <c r="L308">
        <f>导管母表_860!G308</f>
        <v/>
      </c>
      <c r="M308" t="inlineStr">
        <is>
          <t>视野内部</t>
        </is>
      </c>
      <c r="N308" t="inlineStr">
        <is>
          <t>纳入A/D/Dh；若有Pair_ID则纳入CWR</t>
        </is>
      </c>
      <c r="O308" t="inlineStr">
        <is>
          <t>自动管线检出的合格导管腔。</t>
        </is>
      </c>
      <c r="P308" t="inlineStr">
        <is>
          <t>auto_pipeline;review_png_green</t>
        </is>
      </c>
      <c r="R308" t="inlineStr">
        <is>
          <t>样品50</t>
        </is>
      </c>
    </row>
    <row r="309">
      <c r="A309" t="inlineStr">
        <is>
          <t>50(3)-V01</t>
        </is>
      </c>
      <c r="B309" t="inlineStr">
        <is>
          <t>50 (3).tif</t>
        </is>
      </c>
      <c r="C309" t="n">
        <v>548</v>
      </c>
      <c r="D309" t="n">
        <v>272</v>
      </c>
      <c r="E309" t="inlineStr">
        <is>
          <t>481,193,616,352</t>
        </is>
      </c>
      <c r="F309" t="n">
        <v>193</v>
      </c>
      <c r="G309" t="inlineStr">
        <is>
          <t>primary</t>
        </is>
      </c>
      <c r="H309" t="inlineStr">
        <is>
          <t>AUTO_VESSEL</t>
        </is>
      </c>
      <c r="I309" t="inlineStr">
        <is>
          <t>是</t>
        </is>
      </c>
      <c r="J309" t="inlineStr">
        <is>
          <t>纳入</t>
        </is>
      </c>
      <c r="K309" t="n">
        <v>785.0661625708884</v>
      </c>
      <c r="L309">
        <f>导管母表_860!G309</f>
        <v/>
      </c>
      <c r="M309" t="inlineStr">
        <is>
          <t>视野内部</t>
        </is>
      </c>
      <c r="N309" t="inlineStr">
        <is>
          <t>纳入A/D/Dh；若有Pair_ID则纳入CWR</t>
        </is>
      </c>
      <c r="O309" t="inlineStr">
        <is>
          <t>自动管线检出的合格导管腔。</t>
        </is>
      </c>
      <c r="P309" t="inlineStr">
        <is>
          <t>auto_pipeline;review_png_green</t>
        </is>
      </c>
      <c r="Q309" t="inlineStr">
        <is>
          <t>50(3)-P01</t>
        </is>
      </c>
      <c r="R309" t="inlineStr">
        <is>
          <t>样品50</t>
        </is>
      </c>
    </row>
    <row r="310">
      <c r="A310" t="inlineStr">
        <is>
          <t>50(3)-V02</t>
        </is>
      </c>
      <c r="B310" t="inlineStr">
        <is>
          <t>50 (3).tif</t>
        </is>
      </c>
      <c r="C310" t="n">
        <v>472</v>
      </c>
      <c r="D310" t="n">
        <v>416</v>
      </c>
      <c r="E310" t="inlineStr">
        <is>
          <t>404,354,541,479</t>
        </is>
      </c>
      <c r="F310" t="n">
        <v>289</v>
      </c>
      <c r="G310" t="inlineStr">
        <is>
          <t>primary</t>
        </is>
      </c>
      <c r="H310" t="inlineStr">
        <is>
          <t>AUTO_VESSEL</t>
        </is>
      </c>
      <c r="I310" t="inlineStr">
        <is>
          <t>是</t>
        </is>
      </c>
      <c r="J310" t="inlineStr">
        <is>
          <t>纳入</t>
        </is>
      </c>
      <c r="K310" t="n">
        <v>625.047258979206</v>
      </c>
      <c r="L310">
        <f>导管母表_860!G310</f>
        <v/>
      </c>
      <c r="M310" t="inlineStr">
        <is>
          <t>视野内部</t>
        </is>
      </c>
      <c r="N310" t="inlineStr">
        <is>
          <t>纳入A/D/Dh；若有Pair_ID则纳入CWR</t>
        </is>
      </c>
      <c r="O310" t="inlineStr">
        <is>
          <t>自动管线检出的合格导管腔。</t>
        </is>
      </c>
      <c r="P310" t="inlineStr">
        <is>
          <t>auto_pipeline;review_png_green</t>
        </is>
      </c>
      <c r="Q310" t="inlineStr">
        <is>
          <t>50(3)-P01</t>
        </is>
      </c>
      <c r="R310" t="inlineStr">
        <is>
          <t>样品50</t>
        </is>
      </c>
    </row>
    <row r="311">
      <c r="A311" t="inlineStr">
        <is>
          <t>50(3)-V03</t>
        </is>
      </c>
      <c r="B311" t="inlineStr">
        <is>
          <t>50 (3).tif</t>
        </is>
      </c>
      <c r="C311" t="n">
        <v>907</v>
      </c>
      <c r="D311" t="n">
        <v>136</v>
      </c>
      <c r="E311" t="inlineStr">
        <is>
          <t>858,82,957,191</t>
        </is>
      </c>
      <c r="F311" t="n">
        <v>67</v>
      </c>
      <c r="G311" t="inlineStr">
        <is>
          <t>primary</t>
        </is>
      </c>
      <c r="H311" t="inlineStr">
        <is>
          <t>AUTO_VESSEL</t>
        </is>
      </c>
      <c r="I311" t="inlineStr">
        <is>
          <t>是</t>
        </is>
      </c>
      <c r="J311" t="inlineStr">
        <is>
          <t>纳入</t>
        </is>
      </c>
      <c r="K311" t="n">
        <v>391.0680529300567</v>
      </c>
      <c r="L311">
        <f>导管母表_860!G311</f>
        <v/>
      </c>
      <c r="M311" t="inlineStr">
        <is>
          <t>视野内部</t>
        </is>
      </c>
      <c r="N311" t="inlineStr">
        <is>
          <t>纳入A/D/Dh；若有Pair_ID则纳入CWR</t>
        </is>
      </c>
      <c r="O311" t="inlineStr">
        <is>
          <t>自动管线检出的合格导管腔。</t>
        </is>
      </c>
      <c r="P311" t="inlineStr">
        <is>
          <t>auto_pipeline;review_png_green</t>
        </is>
      </c>
      <c r="R311" t="inlineStr">
        <is>
          <t>样品50</t>
        </is>
      </c>
    </row>
    <row r="312">
      <c r="A312" t="inlineStr">
        <is>
          <t>50(3)-V04</t>
        </is>
      </c>
      <c r="B312" t="inlineStr">
        <is>
          <t>50 (3).tif</t>
        </is>
      </c>
      <c r="C312" t="n">
        <v>713</v>
      </c>
      <c r="D312" t="n">
        <v>313</v>
      </c>
      <c r="E312" t="inlineStr">
        <is>
          <t>691,270,736,357</t>
        </is>
      </c>
      <c r="F312" t="n">
        <v>270</v>
      </c>
      <c r="G312" t="inlineStr">
        <is>
          <t>primary</t>
        </is>
      </c>
      <c r="H312" t="inlineStr">
        <is>
          <t>AUTO_VESSEL</t>
        </is>
      </c>
      <c r="I312" t="inlineStr">
        <is>
          <t>是</t>
        </is>
      </c>
      <c r="J312" t="inlineStr">
        <is>
          <t>纳入</t>
        </is>
      </c>
      <c r="K312" t="n">
        <v>107.0415879017013</v>
      </c>
      <c r="L312">
        <f>导管母表_860!G312</f>
        <v/>
      </c>
      <c r="M312" t="inlineStr">
        <is>
          <t>视野内部</t>
        </is>
      </c>
      <c r="N312" t="inlineStr">
        <is>
          <t>纳入A/D/Dh；若有Pair_ID则纳入CWR</t>
        </is>
      </c>
      <c r="O312" t="inlineStr">
        <is>
          <t>自动管线检出的合格导管腔。</t>
        </is>
      </c>
      <c r="P312" t="inlineStr">
        <is>
          <t>auto_pipeline;review_png_green</t>
        </is>
      </c>
      <c r="R312" t="inlineStr">
        <is>
          <t>样品50</t>
        </is>
      </c>
    </row>
    <row r="313">
      <c r="A313" t="inlineStr">
        <is>
          <t>50(4)-V01</t>
        </is>
      </c>
      <c r="B313" t="inlineStr">
        <is>
          <t>50 (4).tif</t>
        </is>
      </c>
      <c r="C313" t="n">
        <v>515</v>
      </c>
      <c r="D313" t="n">
        <v>330</v>
      </c>
      <c r="E313" t="inlineStr">
        <is>
          <t>435,254,596,407</t>
        </is>
      </c>
      <c r="F313" t="n">
        <v>254</v>
      </c>
      <c r="G313" t="inlineStr">
        <is>
          <t>primary</t>
        </is>
      </c>
      <c r="H313" t="inlineStr">
        <is>
          <t>AUTO_VESSEL</t>
        </is>
      </c>
      <c r="I313" t="inlineStr">
        <is>
          <t>是</t>
        </is>
      </c>
      <c r="J313" t="inlineStr">
        <is>
          <t>纳入</t>
        </is>
      </c>
      <c r="K313" t="n">
        <v>880.6238185255198</v>
      </c>
      <c r="L313">
        <f>导管母表_860!G313</f>
        <v/>
      </c>
      <c r="M313" t="inlineStr">
        <is>
          <t>视野内部</t>
        </is>
      </c>
      <c r="N313" t="inlineStr">
        <is>
          <t>纳入A/D/Dh；若有Pair_ID则纳入CWR</t>
        </is>
      </c>
      <c r="O313" t="inlineStr">
        <is>
          <t>自动管线检出的合格导管腔。</t>
        </is>
      </c>
      <c r="P313" t="inlineStr">
        <is>
          <t>auto_pipeline;review_png_green</t>
        </is>
      </c>
      <c r="R313" t="inlineStr">
        <is>
          <t>样品50</t>
        </is>
      </c>
    </row>
    <row r="314">
      <c r="A314" t="inlineStr">
        <is>
          <t>50(4)-V02</t>
        </is>
      </c>
      <c r="B314" t="inlineStr">
        <is>
          <t>50 (4).tif</t>
        </is>
      </c>
      <c r="C314" t="n">
        <v>536</v>
      </c>
      <c r="D314" t="n">
        <v>80</v>
      </c>
      <c r="E314" t="inlineStr">
        <is>
          <t>506,36,567,125</t>
        </is>
      </c>
      <c r="F314" t="n">
        <v>36</v>
      </c>
      <c r="G314" t="inlineStr">
        <is>
          <t>primary</t>
        </is>
      </c>
      <c r="H314" t="inlineStr">
        <is>
          <t>AUTO_VESSEL</t>
        </is>
      </c>
      <c r="I314" t="inlineStr">
        <is>
          <t>是</t>
        </is>
      </c>
      <c r="J314" t="inlineStr">
        <is>
          <t>纳入</t>
        </is>
      </c>
      <c r="K314" t="n">
        <v>164.2013232514178</v>
      </c>
      <c r="L314">
        <f>导管母表_860!G314</f>
        <v/>
      </c>
      <c r="M314" t="inlineStr">
        <is>
          <t>视野内部</t>
        </is>
      </c>
      <c r="N314" t="inlineStr">
        <is>
          <t>纳入A/D/Dh；若有Pair_ID则纳入CWR</t>
        </is>
      </c>
      <c r="O314" t="inlineStr">
        <is>
          <t>自动管线检出的合格导管腔。</t>
        </is>
      </c>
      <c r="P314" t="inlineStr">
        <is>
          <t>auto_pipeline;review_png_green</t>
        </is>
      </c>
      <c r="R314" t="inlineStr">
        <is>
          <t>样品50</t>
        </is>
      </c>
    </row>
    <row r="315">
      <c r="A315" t="inlineStr">
        <is>
          <t>50(4)-V03</t>
        </is>
      </c>
      <c r="B315" t="inlineStr">
        <is>
          <t>50 (4).tif</t>
        </is>
      </c>
      <c r="C315" t="n">
        <v>372</v>
      </c>
      <c r="D315" t="n">
        <v>232</v>
      </c>
      <c r="E315" t="inlineStr">
        <is>
          <t>343,195,402,270</t>
        </is>
      </c>
      <c r="F315" t="n">
        <v>195</v>
      </c>
      <c r="G315" t="inlineStr">
        <is>
          <t>primary</t>
        </is>
      </c>
      <c r="H315" t="inlineStr">
        <is>
          <t>AUTO_VESSEL</t>
        </is>
      </c>
      <c r="I315" t="inlineStr">
        <is>
          <t>是</t>
        </is>
      </c>
      <c r="J315" t="inlineStr">
        <is>
          <t>纳入</t>
        </is>
      </c>
      <c r="K315" t="n">
        <v>151.1578449905482</v>
      </c>
      <c r="L315">
        <f>导管母表_860!G315</f>
        <v/>
      </c>
      <c r="M315" t="inlineStr">
        <is>
          <t>视野内部</t>
        </is>
      </c>
      <c r="N315" t="inlineStr">
        <is>
          <t>纳入A/D/Dh；若有Pair_ID则纳入CWR</t>
        </is>
      </c>
      <c r="O315" t="inlineStr">
        <is>
          <t>自动管线检出的合格导管腔。</t>
        </is>
      </c>
      <c r="P315" t="inlineStr">
        <is>
          <t>auto_pipeline;review_png_green</t>
        </is>
      </c>
      <c r="R315" t="inlineStr">
        <is>
          <t>样品50</t>
        </is>
      </c>
    </row>
    <row r="316">
      <c r="A316" t="inlineStr">
        <is>
          <t>50(4)-V04</t>
        </is>
      </c>
      <c r="B316" t="inlineStr">
        <is>
          <t>50 (4).tif</t>
        </is>
      </c>
      <c r="C316" t="n">
        <v>564</v>
      </c>
      <c r="D316" t="n">
        <v>214</v>
      </c>
      <c r="E316" t="inlineStr">
        <is>
          <t>532,179,597,250</t>
        </is>
      </c>
      <c r="F316" t="n">
        <v>179</v>
      </c>
      <c r="G316" t="inlineStr">
        <is>
          <t>primary</t>
        </is>
      </c>
      <c r="H316" t="inlineStr">
        <is>
          <t>AUTO_VESSEL</t>
        </is>
      </c>
      <c r="I316" t="inlineStr">
        <is>
          <t>是</t>
        </is>
      </c>
      <c r="J316" t="inlineStr">
        <is>
          <t>纳入</t>
        </is>
      </c>
      <c r="K316" t="n">
        <v>130.9310018903592</v>
      </c>
      <c r="L316">
        <f>导管母表_860!G316</f>
        <v/>
      </c>
      <c r="M316" t="inlineStr">
        <is>
          <t>视野内部</t>
        </is>
      </c>
      <c r="N316" t="inlineStr">
        <is>
          <t>纳入A/D/Dh；若有Pair_ID则纳入CWR</t>
        </is>
      </c>
      <c r="O316" t="inlineStr">
        <is>
          <t>自动管线检出的合格导管腔。</t>
        </is>
      </c>
      <c r="P316" t="inlineStr">
        <is>
          <t>auto_pipeline;review_png_green</t>
        </is>
      </c>
      <c r="R316" t="inlineStr">
        <is>
          <t>样品50</t>
        </is>
      </c>
    </row>
    <row r="317">
      <c r="A317" t="inlineStr">
        <is>
          <t>50(5)-V01</t>
        </is>
      </c>
      <c r="B317" t="inlineStr">
        <is>
          <t>50 (5).tif</t>
        </is>
      </c>
      <c r="C317" t="n">
        <v>191</v>
      </c>
      <c r="D317" t="n">
        <v>103</v>
      </c>
      <c r="E317" t="inlineStr">
        <is>
          <t>110,13,273,194</t>
        </is>
      </c>
      <c r="F317" t="n">
        <v>13</v>
      </c>
      <c r="G317" t="inlineStr">
        <is>
          <t>primary</t>
        </is>
      </c>
      <c r="H317" t="inlineStr">
        <is>
          <t>AUTO_VESSEL</t>
        </is>
      </c>
      <c r="I317" t="inlineStr">
        <is>
          <t>是</t>
        </is>
      </c>
      <c r="J317" t="inlineStr">
        <is>
          <t>纳入</t>
        </is>
      </c>
      <c r="K317" t="n">
        <v>1004.111531190926</v>
      </c>
      <c r="L317">
        <f>导管母表_860!G317</f>
        <v/>
      </c>
      <c r="M317" t="inlineStr">
        <is>
          <t>近边缘（&lt;25 px）</t>
        </is>
      </c>
      <c r="N317" t="inlineStr">
        <is>
          <t>纳入A/D/Dh；若有Pair_ID则纳入CWR</t>
        </is>
      </c>
      <c r="O317" t="inlineStr">
        <is>
          <t>自动管线检出的合格导管腔。</t>
        </is>
      </c>
      <c r="P317" t="inlineStr">
        <is>
          <t>auto_pipeline;review_png_green</t>
        </is>
      </c>
      <c r="R317" t="inlineStr">
        <is>
          <t>样品50</t>
        </is>
      </c>
    </row>
    <row r="318">
      <c r="A318" t="inlineStr">
        <is>
          <t>50(5)-V02</t>
        </is>
      </c>
      <c r="B318" t="inlineStr">
        <is>
          <t>50 (5).tif</t>
        </is>
      </c>
      <c r="C318" t="n">
        <v>78</v>
      </c>
      <c r="D318" t="n">
        <v>64</v>
      </c>
      <c r="E318" t="inlineStr">
        <is>
          <t>42,26,115,103</t>
        </is>
      </c>
      <c r="F318" t="n">
        <v>26</v>
      </c>
      <c r="G318" t="inlineStr">
        <is>
          <t>primary</t>
        </is>
      </c>
      <c r="H318" t="inlineStr">
        <is>
          <t>AUTO_VESSEL</t>
        </is>
      </c>
      <c r="I318" t="inlineStr">
        <is>
          <t>是</t>
        </is>
      </c>
      <c r="J318" t="inlineStr">
        <is>
          <t>纳入</t>
        </is>
      </c>
      <c r="K318" t="n">
        <v>201.6304347826087</v>
      </c>
      <c r="L318">
        <f>导管母表_860!G318</f>
        <v/>
      </c>
      <c r="M318" t="inlineStr">
        <is>
          <t>视野内部</t>
        </is>
      </c>
      <c r="N318" t="inlineStr">
        <is>
          <t>纳入A/D/Dh；若有Pair_ID则纳入CWR</t>
        </is>
      </c>
      <c r="O318" t="inlineStr">
        <is>
          <t>自动管线检出的合格导管腔。</t>
        </is>
      </c>
      <c r="P318" t="inlineStr">
        <is>
          <t>auto_pipeline;review_png_green</t>
        </is>
      </c>
      <c r="R318" t="inlineStr">
        <is>
          <t>样品50</t>
        </is>
      </c>
    </row>
    <row r="319">
      <c r="A319" t="inlineStr">
        <is>
          <t>50(5)-V03</t>
        </is>
      </c>
      <c r="B319" t="inlineStr">
        <is>
          <t>50 (5).tif</t>
        </is>
      </c>
      <c r="C319" t="n">
        <v>155</v>
      </c>
      <c r="D319" t="n">
        <v>611</v>
      </c>
      <c r="E319" t="inlineStr">
        <is>
          <t>121,579,190,644</t>
        </is>
      </c>
      <c r="F319" t="n">
        <v>121</v>
      </c>
      <c r="G319" t="inlineStr">
        <is>
          <t>primary</t>
        </is>
      </c>
      <c r="H319" t="inlineStr">
        <is>
          <t>AUTO_VESSEL</t>
        </is>
      </c>
      <c r="I319" t="inlineStr">
        <is>
          <t>是</t>
        </is>
      </c>
      <c r="J319" t="inlineStr">
        <is>
          <t>纳入</t>
        </is>
      </c>
      <c r="K319" t="n">
        <v>160.8695652173913</v>
      </c>
      <c r="L319">
        <f>导管母表_860!G319</f>
        <v/>
      </c>
      <c r="M319" t="inlineStr">
        <is>
          <t>视野内部</t>
        </is>
      </c>
      <c r="N319" t="inlineStr">
        <is>
          <t>纳入A/D/Dh；若有Pair_ID则纳入CWR</t>
        </is>
      </c>
      <c r="O319" t="inlineStr">
        <is>
          <t>自动管线检出的合格导管腔。</t>
        </is>
      </c>
      <c r="P319" t="inlineStr">
        <is>
          <t>auto_pipeline;review_png_green</t>
        </is>
      </c>
      <c r="R319" t="inlineStr">
        <is>
          <t>样品50</t>
        </is>
      </c>
    </row>
    <row r="320">
      <c r="A320" t="inlineStr">
        <is>
          <t>50(5)-V04</t>
        </is>
      </c>
      <c r="B320" t="inlineStr">
        <is>
          <t>50 (5).tif</t>
        </is>
      </c>
      <c r="C320" t="n">
        <v>944</v>
      </c>
      <c r="D320" t="n">
        <v>208</v>
      </c>
      <c r="E320" t="inlineStr">
        <is>
          <t>911,173,978,244</t>
        </is>
      </c>
      <c r="F320" t="n">
        <v>46</v>
      </c>
      <c r="G320" t="inlineStr">
        <is>
          <t>primary</t>
        </is>
      </c>
      <c r="H320" t="inlineStr">
        <is>
          <t>AUTO_VESSEL</t>
        </is>
      </c>
      <c r="I320" t="inlineStr">
        <is>
          <t>是</t>
        </is>
      </c>
      <c r="J320" t="inlineStr">
        <is>
          <t>纳入</t>
        </is>
      </c>
      <c r="K320" t="n">
        <v>119.7069943289225</v>
      </c>
      <c r="L320">
        <f>导管母表_860!G320</f>
        <v/>
      </c>
      <c r="M320" t="inlineStr">
        <is>
          <t>视野内部</t>
        </is>
      </c>
      <c r="N320" t="inlineStr">
        <is>
          <t>纳入A/D/Dh；若有Pair_ID则纳入CWR</t>
        </is>
      </c>
      <c r="O320" t="inlineStr">
        <is>
          <t>自动管线检出的合格导管腔。</t>
        </is>
      </c>
      <c r="P320" t="inlineStr">
        <is>
          <t>auto_pipeline;review_png_green</t>
        </is>
      </c>
      <c r="R320" t="inlineStr">
        <is>
          <t>样品50</t>
        </is>
      </c>
    </row>
    <row r="321">
      <c r="A321" t="inlineStr">
        <is>
          <t>50(6)-V01</t>
        </is>
      </c>
      <c r="B321" t="inlineStr">
        <is>
          <t>50 (6).tif</t>
        </is>
      </c>
      <c r="C321" t="n">
        <v>524</v>
      </c>
      <c r="D321" t="n">
        <v>322</v>
      </c>
      <c r="E321" t="inlineStr">
        <is>
          <t>456,262,593,383</t>
        </is>
      </c>
      <c r="F321" t="n">
        <v>262</v>
      </c>
      <c r="G321" t="inlineStr">
        <is>
          <t>primary</t>
        </is>
      </c>
      <c r="H321" t="inlineStr">
        <is>
          <t>AUTO_VESSEL</t>
        </is>
      </c>
      <c r="I321" t="inlineStr">
        <is>
          <t>是</t>
        </is>
      </c>
      <c r="J321" t="inlineStr">
        <is>
          <t>纳入</t>
        </is>
      </c>
      <c r="K321" t="n">
        <v>605.3166351606806</v>
      </c>
      <c r="L321">
        <f>导管母表_860!G321</f>
        <v/>
      </c>
      <c r="M321" t="inlineStr">
        <is>
          <t>视野内部</t>
        </is>
      </c>
      <c r="N321" t="inlineStr">
        <is>
          <t>纳入A/D/Dh；若有Pair_ID则纳入CWR</t>
        </is>
      </c>
      <c r="O321" t="inlineStr">
        <is>
          <t>自动管线检出的合格导管腔。</t>
        </is>
      </c>
      <c r="P321" t="inlineStr">
        <is>
          <t>auto_pipeline;review_png_green</t>
        </is>
      </c>
      <c r="Q321" t="inlineStr">
        <is>
          <t>50(6)-P01</t>
        </is>
      </c>
      <c r="R321" t="inlineStr">
        <is>
          <t>样品50</t>
        </is>
      </c>
    </row>
    <row r="322">
      <c r="A322" t="inlineStr">
        <is>
          <t>50(6)-V02</t>
        </is>
      </c>
      <c r="B322" t="inlineStr">
        <is>
          <t>50 (6).tif</t>
        </is>
      </c>
      <c r="C322" t="n">
        <v>442</v>
      </c>
      <c r="D322" t="n">
        <v>427</v>
      </c>
      <c r="E322" t="inlineStr">
        <is>
          <t>382,376,503,479</t>
        </is>
      </c>
      <c r="F322" t="n">
        <v>289</v>
      </c>
      <c r="G322" t="inlineStr">
        <is>
          <t>primary</t>
        </is>
      </c>
      <c r="H322" t="inlineStr">
        <is>
          <t>AUTO_VESSEL</t>
        </is>
      </c>
      <c r="I322" t="inlineStr">
        <is>
          <t>是</t>
        </is>
      </c>
      <c r="J322" t="inlineStr">
        <is>
          <t>纳入</t>
        </is>
      </c>
      <c r="K322" t="n">
        <v>453.7098298676748</v>
      </c>
      <c r="L322">
        <f>导管母表_860!G322</f>
        <v/>
      </c>
      <c r="M322" t="inlineStr">
        <is>
          <t>视野内部</t>
        </is>
      </c>
      <c r="N322" t="inlineStr">
        <is>
          <t>纳入A/D/Dh；若有Pair_ID则纳入CWR</t>
        </is>
      </c>
      <c r="O322" t="inlineStr">
        <is>
          <t>自动管线检出的合格导管腔。</t>
        </is>
      </c>
      <c r="P322" t="inlineStr">
        <is>
          <t>auto_pipeline;review_png_green</t>
        </is>
      </c>
      <c r="Q322" t="inlineStr">
        <is>
          <t>50(6)-P01</t>
        </is>
      </c>
      <c r="R322" t="inlineStr">
        <is>
          <t>样品50</t>
        </is>
      </c>
    </row>
    <row r="323">
      <c r="A323" t="inlineStr">
        <is>
          <t>50(6)-V03</t>
        </is>
      </c>
      <c r="B323" t="inlineStr">
        <is>
          <t>50 (6).tif</t>
        </is>
      </c>
      <c r="C323" t="n">
        <v>904</v>
      </c>
      <c r="D323" t="n">
        <v>245</v>
      </c>
      <c r="E323" t="inlineStr">
        <is>
          <t>852,189,957,302</t>
        </is>
      </c>
      <c r="F323" t="n">
        <v>67</v>
      </c>
      <c r="G323" t="inlineStr">
        <is>
          <t>primary</t>
        </is>
      </c>
      <c r="H323" t="inlineStr">
        <is>
          <t>AUTO_VESSEL</t>
        </is>
      </c>
      <c r="I323" t="inlineStr">
        <is>
          <t>是</t>
        </is>
      </c>
      <c r="J323" t="inlineStr">
        <is>
          <t>纳入</t>
        </is>
      </c>
      <c r="K323" t="n">
        <v>399.1257088846881</v>
      </c>
      <c r="L323">
        <f>导管母表_860!G323</f>
        <v/>
      </c>
      <c r="M323" t="inlineStr">
        <is>
          <t>视野内部</t>
        </is>
      </c>
      <c r="N323" t="inlineStr">
        <is>
          <t>纳入A/D/Dh；若有Pair_ID则纳入CWR</t>
        </is>
      </c>
      <c r="O323" t="inlineStr">
        <is>
          <t>自动管线检出的合格导管腔。</t>
        </is>
      </c>
      <c r="P323" t="inlineStr">
        <is>
          <t>auto_pipeline;review_png_green</t>
        </is>
      </c>
      <c r="R323" t="inlineStr">
        <is>
          <t>样品50</t>
        </is>
      </c>
    </row>
    <row r="324">
      <c r="A324" t="inlineStr">
        <is>
          <t>50(6)-V04</t>
        </is>
      </c>
      <c r="B324" t="inlineStr">
        <is>
          <t>50 (6).tif</t>
        </is>
      </c>
      <c r="C324" t="n">
        <v>391</v>
      </c>
      <c r="D324" t="n">
        <v>330</v>
      </c>
      <c r="E324" t="inlineStr">
        <is>
          <t>357,295,426,366</t>
        </is>
      </c>
      <c r="F324" t="n">
        <v>295</v>
      </c>
      <c r="G324" t="inlineStr">
        <is>
          <t>primary</t>
        </is>
      </c>
      <c r="H324" t="inlineStr">
        <is>
          <t>AUTO_VESSEL</t>
        </is>
      </c>
      <c r="I324" t="inlineStr">
        <is>
          <t>是</t>
        </is>
      </c>
      <c r="J324" t="inlineStr">
        <is>
          <t>纳入</t>
        </is>
      </c>
      <c r="K324" t="n">
        <v>120.9593572778828</v>
      </c>
      <c r="L324">
        <f>导管母表_860!G324</f>
        <v/>
      </c>
      <c r="M324" t="inlineStr">
        <is>
          <t>视野内部</t>
        </is>
      </c>
      <c r="N324" t="inlineStr">
        <is>
          <t>纳入A/D/Dh；若有Pair_ID则纳入CWR</t>
        </is>
      </c>
      <c r="O324" t="inlineStr">
        <is>
          <t>自动管线检出的合格导管腔。</t>
        </is>
      </c>
      <c r="P324" t="inlineStr">
        <is>
          <t>auto_pipeline;review_png_green</t>
        </is>
      </c>
      <c r="R324" t="inlineStr">
        <is>
          <t>样品50</t>
        </is>
      </c>
    </row>
    <row r="325">
      <c r="A325" t="inlineStr">
        <is>
          <t>50(6)-V05</t>
        </is>
      </c>
      <c r="B325" t="inlineStr">
        <is>
          <t>50 (6).tif</t>
        </is>
      </c>
      <c r="C325" t="n">
        <v>962</v>
      </c>
      <c r="D325" t="n">
        <v>124</v>
      </c>
      <c r="E325" t="inlineStr">
        <is>
          <t>933,97,992,152</t>
        </is>
      </c>
      <c r="F325" t="n">
        <v>32</v>
      </c>
      <c r="G325" t="inlineStr">
        <is>
          <t>primary</t>
        </is>
      </c>
      <c r="H325" t="inlineStr">
        <is>
          <t>AUTO_VESSEL</t>
        </is>
      </c>
      <c r="I325" t="inlineStr">
        <is>
          <t>是</t>
        </is>
      </c>
      <c r="J325" t="inlineStr">
        <is>
          <t>纳入</t>
        </is>
      </c>
      <c r="K325" t="n">
        <v>114.9102079395085</v>
      </c>
      <c r="L325">
        <f>导管母表_860!G325</f>
        <v/>
      </c>
      <c r="M325" t="inlineStr">
        <is>
          <t>视野内部</t>
        </is>
      </c>
      <c r="N325" t="inlineStr">
        <is>
          <t>纳入A/D/Dh；若有Pair_ID则纳入CWR</t>
        </is>
      </c>
      <c r="O325" t="inlineStr">
        <is>
          <t>自动管线检出的合格导管腔。</t>
        </is>
      </c>
      <c r="P325" t="inlineStr">
        <is>
          <t>auto_pipeline;review_png_green</t>
        </is>
      </c>
      <c r="R325" t="inlineStr">
        <is>
          <t>样品50</t>
        </is>
      </c>
    </row>
    <row r="326">
      <c r="A326" t="inlineStr">
        <is>
          <t>50(6)-V06</t>
        </is>
      </c>
      <c r="B326" t="inlineStr">
        <is>
          <t>50 (6).tif</t>
        </is>
      </c>
      <c r="C326" t="n">
        <v>506</v>
      </c>
      <c r="D326" t="n">
        <v>371</v>
      </c>
      <c r="E326" t="inlineStr">
        <is>
          <t>477,359,536,384</t>
        </is>
      </c>
      <c r="F326" t="n">
        <v>359</v>
      </c>
      <c r="G326" t="inlineStr">
        <is>
          <t>primary</t>
        </is>
      </c>
      <c r="H326" t="inlineStr">
        <is>
          <t>AUTO_VESSEL</t>
        </is>
      </c>
      <c r="I326" t="inlineStr">
        <is>
          <t>是</t>
        </is>
      </c>
      <c r="J326" t="inlineStr">
        <is>
          <t>纳入</t>
        </is>
      </c>
      <c r="K326" t="n">
        <v>44.65973534971645</v>
      </c>
      <c r="L326">
        <f>导管母表_860!G326</f>
        <v/>
      </c>
      <c r="M326" t="inlineStr">
        <is>
          <t>视野内部</t>
        </is>
      </c>
      <c r="N326" t="inlineStr">
        <is>
          <t>纳入A/D/Dh；若有Pair_ID则纳入CWR</t>
        </is>
      </c>
      <c r="O326" t="inlineStr">
        <is>
          <t>自动管线检出的合格导管腔。</t>
        </is>
      </c>
      <c r="P326" t="inlineStr">
        <is>
          <t>auto_pipeline;review_png_green</t>
        </is>
      </c>
      <c r="R326" t="inlineStr">
        <is>
          <t>样品50</t>
        </is>
      </c>
    </row>
    <row r="327">
      <c r="A327" t="inlineStr">
        <is>
          <t>50(7)-V01</t>
        </is>
      </c>
      <c r="B327" t="inlineStr">
        <is>
          <t>50 (7).tif</t>
        </is>
      </c>
      <c r="C327" t="n">
        <v>510</v>
      </c>
      <c r="D327" t="n">
        <v>459</v>
      </c>
      <c r="E327" t="inlineStr">
        <is>
          <t>435,390,586,529</t>
        </is>
      </c>
      <c r="F327" t="n">
        <v>239</v>
      </c>
      <c r="G327" t="inlineStr">
        <is>
          <t>primary</t>
        </is>
      </c>
      <c r="H327" t="inlineStr">
        <is>
          <t>AUTO_VESSEL</t>
        </is>
      </c>
      <c r="I327" t="inlineStr">
        <is>
          <t>是</t>
        </is>
      </c>
      <c r="J327" t="inlineStr">
        <is>
          <t>纳入</t>
        </is>
      </c>
      <c r="K327" t="n">
        <v>767.8638941398866</v>
      </c>
      <c r="L327">
        <f>导管母表_860!G327</f>
        <v/>
      </c>
      <c r="M327" t="inlineStr">
        <is>
          <t>视野内部</t>
        </is>
      </c>
      <c r="N327" t="inlineStr">
        <is>
          <t>纳入A/D/Dh；若有Pair_ID则纳入CWR</t>
        </is>
      </c>
      <c r="O327" t="inlineStr">
        <is>
          <t>自动管线检出的合格导管腔。</t>
        </is>
      </c>
      <c r="P327" t="inlineStr">
        <is>
          <t>auto_pipeline;review_png_green</t>
        </is>
      </c>
      <c r="Q327" t="inlineStr">
        <is>
          <t>50(7)-P01</t>
        </is>
      </c>
      <c r="R327" t="inlineStr">
        <is>
          <t>样品50</t>
        </is>
      </c>
    </row>
    <row r="328">
      <c r="A328" t="inlineStr">
        <is>
          <t>50(7)-V02</t>
        </is>
      </c>
      <c r="B328" t="inlineStr">
        <is>
          <t>50 (7).tif</t>
        </is>
      </c>
      <c r="C328" t="n">
        <v>501</v>
      </c>
      <c r="D328" t="n">
        <v>300</v>
      </c>
      <c r="E328" t="inlineStr">
        <is>
          <t>427,232,576,369</t>
        </is>
      </c>
      <c r="F328" t="n">
        <v>232</v>
      </c>
      <c r="G328" t="inlineStr">
        <is>
          <t>primary</t>
        </is>
      </c>
      <c r="H328" t="inlineStr">
        <is>
          <t>AUTO_VESSEL</t>
        </is>
      </c>
      <c r="I328" t="inlineStr">
        <is>
          <t>是</t>
        </is>
      </c>
      <c r="J328" t="inlineStr">
        <is>
          <t>纳入</t>
        </is>
      </c>
      <c r="K328" t="n">
        <v>744.9669187145557</v>
      </c>
      <c r="L328">
        <f>导管母表_860!G328</f>
        <v/>
      </c>
      <c r="M328" t="inlineStr">
        <is>
          <t>视野内部</t>
        </is>
      </c>
      <c r="N328" t="inlineStr">
        <is>
          <t>纳入A/D/Dh；若有Pair_ID则纳入CWR</t>
        </is>
      </c>
      <c r="O328" t="inlineStr">
        <is>
          <t>自动管线检出的合格导管腔。</t>
        </is>
      </c>
      <c r="P328" t="inlineStr">
        <is>
          <t>auto_pipeline;review_png_green</t>
        </is>
      </c>
      <c r="Q328" t="inlineStr">
        <is>
          <t>50(7)-P01</t>
        </is>
      </c>
      <c r="R328" t="inlineStr">
        <is>
          <t>样品50</t>
        </is>
      </c>
    </row>
    <row r="329">
      <c r="A329" t="inlineStr">
        <is>
          <t>50(7)-V03</t>
        </is>
      </c>
      <c r="B329" t="inlineStr">
        <is>
          <t>50 (7).tif</t>
        </is>
      </c>
      <c r="C329" t="n">
        <v>443</v>
      </c>
      <c r="D329" t="n">
        <v>81</v>
      </c>
      <c r="E329" t="inlineStr">
        <is>
          <t>401,15,486,148</t>
        </is>
      </c>
      <c r="F329" t="n">
        <v>15</v>
      </c>
      <c r="G329" t="inlineStr">
        <is>
          <t>primary</t>
        </is>
      </c>
      <c r="H329" t="inlineStr">
        <is>
          <t>AUTO_VESSEL</t>
        </is>
      </c>
      <c r="I329" t="inlineStr">
        <is>
          <t>是</t>
        </is>
      </c>
      <c r="J329" t="inlineStr">
        <is>
          <t>纳入</t>
        </is>
      </c>
      <c r="K329" t="n">
        <v>369.0926275992439</v>
      </c>
      <c r="L329">
        <f>导管母表_860!G329</f>
        <v/>
      </c>
      <c r="M329" t="inlineStr">
        <is>
          <t>近边缘（&lt;25 px）</t>
        </is>
      </c>
      <c r="N329" t="inlineStr">
        <is>
          <t>纳入A/D/Dh；若有Pair_ID则纳入CWR</t>
        </is>
      </c>
      <c r="O329" t="inlineStr">
        <is>
          <t>自动管线检出的合格导管腔。</t>
        </is>
      </c>
      <c r="P329" t="inlineStr">
        <is>
          <t>auto_pipeline;review_png_green</t>
        </is>
      </c>
      <c r="R329" t="inlineStr">
        <is>
          <t>样品50</t>
        </is>
      </c>
    </row>
    <row r="330">
      <c r="A330" t="inlineStr">
        <is>
          <t>50(7)-V04</t>
        </is>
      </c>
      <c r="B330" t="inlineStr">
        <is>
          <t>50 (7).tif</t>
        </is>
      </c>
      <c r="C330" t="n">
        <v>953</v>
      </c>
      <c r="D330" t="n">
        <v>459</v>
      </c>
      <c r="E330" t="inlineStr">
        <is>
          <t>917,424,990,495</t>
        </is>
      </c>
      <c r="F330" t="n">
        <v>34</v>
      </c>
      <c r="G330" t="inlineStr">
        <is>
          <t>primary</t>
        </is>
      </c>
      <c r="H330" t="inlineStr">
        <is>
          <t>AUTO_VESSEL</t>
        </is>
      </c>
      <c r="I330" t="inlineStr">
        <is>
          <t>是</t>
        </is>
      </c>
      <c r="J330" t="inlineStr">
        <is>
          <t>纳入</t>
        </is>
      </c>
      <c r="K330" t="n">
        <v>174.5982986767486</v>
      </c>
      <c r="L330">
        <f>导管母表_860!G330</f>
        <v/>
      </c>
      <c r="M330" t="inlineStr">
        <is>
          <t>视野内部</t>
        </is>
      </c>
      <c r="N330" t="inlineStr">
        <is>
          <t>纳入A/D/Dh；若有Pair_ID则纳入CWR</t>
        </is>
      </c>
      <c r="O330" t="inlineStr">
        <is>
          <t>自动管线检出的合格导管腔。</t>
        </is>
      </c>
      <c r="P330" t="inlineStr">
        <is>
          <t>auto_pipeline;review_png_green</t>
        </is>
      </c>
      <c r="R330" t="inlineStr">
        <is>
          <t>样品50</t>
        </is>
      </c>
    </row>
    <row r="331">
      <c r="A331" t="inlineStr">
        <is>
          <t>50(8)-V01</t>
        </is>
      </c>
      <c r="B331" t="inlineStr">
        <is>
          <t>50 (8).tif</t>
        </is>
      </c>
      <c r="C331" t="n">
        <v>558</v>
      </c>
      <c r="D331" t="n">
        <v>328</v>
      </c>
      <c r="E331" t="inlineStr">
        <is>
          <t>477,250,640,407</t>
        </is>
      </c>
      <c r="F331" t="n">
        <v>250</v>
      </c>
      <c r="G331" t="inlineStr">
        <is>
          <t>primary</t>
        </is>
      </c>
      <c r="H331" t="inlineStr">
        <is>
          <t>AUTO_VESSEL</t>
        </is>
      </c>
      <c r="I331" t="inlineStr">
        <is>
          <t>是</t>
        </is>
      </c>
      <c r="J331" t="inlineStr">
        <is>
          <t>纳入</t>
        </is>
      </c>
      <c r="K331" t="n">
        <v>916.4461247637051</v>
      </c>
      <c r="L331">
        <f>导管母表_860!G331</f>
        <v/>
      </c>
      <c r="M331" t="inlineStr">
        <is>
          <t>视野内部</t>
        </is>
      </c>
      <c r="N331" t="inlineStr">
        <is>
          <t>纳入A/D/Dh；若有Pair_ID则纳入CWR</t>
        </is>
      </c>
      <c r="O331" t="inlineStr">
        <is>
          <t>自动管线检出的合格导管腔。</t>
        </is>
      </c>
      <c r="P331" t="inlineStr">
        <is>
          <t>auto_pipeline;review_png_green</t>
        </is>
      </c>
      <c r="Q331" t="inlineStr">
        <is>
          <t>50(8)-P01</t>
        </is>
      </c>
      <c r="R331" t="inlineStr">
        <is>
          <t>样品50</t>
        </is>
      </c>
    </row>
    <row r="332">
      <c r="A332" t="inlineStr">
        <is>
          <t>50(8)-V02</t>
        </is>
      </c>
      <c r="B332" t="inlineStr">
        <is>
          <t>50 (8).tif</t>
        </is>
      </c>
      <c r="C332" t="n">
        <v>734</v>
      </c>
      <c r="D332" t="n">
        <v>390</v>
      </c>
      <c r="E332" t="inlineStr">
        <is>
          <t>668,331,801,450</t>
        </is>
      </c>
      <c r="F332" t="n">
        <v>223</v>
      </c>
      <c r="G332" t="inlineStr">
        <is>
          <t>primary</t>
        </is>
      </c>
      <c r="H332" t="inlineStr">
        <is>
          <t>AUTO_VESSEL</t>
        </is>
      </c>
      <c r="I332" t="inlineStr">
        <is>
          <t>是</t>
        </is>
      </c>
      <c r="J332" t="inlineStr">
        <is>
          <t>纳入</t>
        </is>
      </c>
      <c r="K332" t="n">
        <v>570.8648393194707</v>
      </c>
      <c r="L332">
        <f>导管母表_860!G332</f>
        <v/>
      </c>
      <c r="M332" t="inlineStr">
        <is>
          <t>视野内部</t>
        </is>
      </c>
      <c r="N332" t="inlineStr">
        <is>
          <t>纳入A/D/Dh；若有Pair_ID则纳入CWR</t>
        </is>
      </c>
      <c r="O332" t="inlineStr">
        <is>
          <t>自动管线检出的合格导管腔。</t>
        </is>
      </c>
      <c r="P332" t="inlineStr">
        <is>
          <t>auto_pipeline;review_png_green</t>
        </is>
      </c>
      <c r="R332" t="inlineStr">
        <is>
          <t>样品50</t>
        </is>
      </c>
    </row>
    <row r="333">
      <c r="A333" t="inlineStr">
        <is>
          <t>50(8)-V03</t>
        </is>
      </c>
      <c r="B333" t="inlineStr">
        <is>
          <t>50 (8).tif</t>
        </is>
      </c>
      <c r="C333" t="n">
        <v>407</v>
      </c>
      <c r="D333" t="n">
        <v>379</v>
      </c>
      <c r="E333" t="inlineStr">
        <is>
          <t>347,325,468,434</t>
        </is>
      </c>
      <c r="F333" t="n">
        <v>325</v>
      </c>
      <c r="G333" t="inlineStr">
        <is>
          <t>primary</t>
        </is>
      </c>
      <c r="H333" t="inlineStr">
        <is>
          <t>AUTO_VESSEL</t>
        </is>
      </c>
      <c r="I333" t="inlineStr">
        <is>
          <t>是</t>
        </is>
      </c>
      <c r="J333" t="inlineStr">
        <is>
          <t>纳入</t>
        </is>
      </c>
      <c r="K333" t="n">
        <v>481.4744801512288</v>
      </c>
      <c r="L333">
        <f>导管母表_860!G333</f>
        <v/>
      </c>
      <c r="M333" t="inlineStr">
        <is>
          <t>视野内部</t>
        </is>
      </c>
      <c r="N333" t="inlineStr">
        <is>
          <t>纳入A/D/Dh；若有Pair_ID则纳入CWR</t>
        </is>
      </c>
      <c r="O333" t="inlineStr">
        <is>
          <t>自动管线检出的合格导管腔。</t>
        </is>
      </c>
      <c r="P333" t="inlineStr">
        <is>
          <t>auto_pipeline;review_png_green</t>
        </is>
      </c>
      <c r="Q333" t="inlineStr">
        <is>
          <t>50(8)-P01</t>
        </is>
      </c>
      <c r="R333" t="inlineStr">
        <is>
          <t>样品50</t>
        </is>
      </c>
    </row>
    <row r="334">
      <c r="A334" t="inlineStr">
        <is>
          <t>50(8)-V04</t>
        </is>
      </c>
      <c r="B334" t="inlineStr">
        <is>
          <t>50 (8).tif</t>
        </is>
      </c>
      <c r="C334" t="n">
        <v>58</v>
      </c>
      <c r="D334" t="n">
        <v>392</v>
      </c>
      <c r="E334" t="inlineStr">
        <is>
          <t>10,347,107,438</t>
        </is>
      </c>
      <c r="F334" t="n">
        <v>10</v>
      </c>
      <c r="G334" t="inlineStr">
        <is>
          <t>primary</t>
        </is>
      </c>
      <c r="H334" t="inlineStr">
        <is>
          <t>AUTO_VESSEL</t>
        </is>
      </c>
      <c r="I334" t="inlineStr">
        <is>
          <t>是</t>
        </is>
      </c>
      <c r="J334" t="inlineStr">
        <is>
          <t>纳入</t>
        </is>
      </c>
      <c r="K334" t="n">
        <v>135.4678638941399</v>
      </c>
      <c r="L334">
        <f>导管母表_860!G334</f>
        <v/>
      </c>
      <c r="M334" t="inlineStr">
        <is>
          <t>近边缘（&lt;25 px）</t>
        </is>
      </c>
      <c r="N334" t="inlineStr">
        <is>
          <t>纳入A/D/Dh；若有Pair_ID则纳入CWR</t>
        </is>
      </c>
      <c r="O334" t="inlineStr">
        <is>
          <t>自动管线检出的合格导管腔。</t>
        </is>
      </c>
      <c r="P334" t="inlineStr">
        <is>
          <t>auto_pipeline;review_png_green</t>
        </is>
      </c>
      <c r="R334" t="inlineStr">
        <is>
          <t>样品50</t>
        </is>
      </c>
    </row>
    <row r="335">
      <c r="A335" t="inlineStr">
        <is>
          <t>51(1)-V01</t>
        </is>
      </c>
      <c r="B335" t="inlineStr">
        <is>
          <t>51 (1).tif</t>
        </is>
      </c>
      <c r="C335" t="n">
        <v>839</v>
      </c>
      <c r="D335" t="n">
        <v>194</v>
      </c>
      <c r="E335" t="inlineStr">
        <is>
          <t>758,109,921,280</t>
        </is>
      </c>
      <c r="F335" t="n">
        <v>103</v>
      </c>
      <c r="G335" t="inlineStr">
        <is>
          <t>primary</t>
        </is>
      </c>
      <c r="H335" t="inlineStr">
        <is>
          <t>AUTO_VESSEL</t>
        </is>
      </c>
      <c r="I335" t="inlineStr">
        <is>
          <t>是</t>
        </is>
      </c>
      <c r="J335" t="inlineStr">
        <is>
          <t>纳入</t>
        </is>
      </c>
      <c r="K335" t="n">
        <v>996.9754253308129</v>
      </c>
      <c r="L335">
        <f>导管母表_860!G335</f>
        <v/>
      </c>
      <c r="M335" t="inlineStr">
        <is>
          <t>视野内部</t>
        </is>
      </c>
      <c r="N335" t="inlineStr">
        <is>
          <t>纳入A/D/Dh；若有Pair_ID则纳入CWR</t>
        </is>
      </c>
      <c r="O335" t="inlineStr">
        <is>
          <t>自动管线检出的合格导管腔。</t>
        </is>
      </c>
      <c r="P335" t="inlineStr">
        <is>
          <t>auto_pipeline;review_png_green</t>
        </is>
      </c>
      <c r="R335" t="inlineStr">
        <is>
          <t>样品51</t>
        </is>
      </c>
    </row>
    <row r="336">
      <c r="A336" t="inlineStr">
        <is>
          <t>51(1)-V02</t>
        </is>
      </c>
      <c r="B336" t="inlineStr">
        <is>
          <t>51 (1).tif</t>
        </is>
      </c>
      <c r="C336" t="n">
        <v>447</v>
      </c>
      <c r="D336" t="n">
        <v>350</v>
      </c>
      <c r="E336" t="inlineStr">
        <is>
          <t>396,297,499,404</t>
        </is>
      </c>
      <c r="F336" t="n">
        <v>297</v>
      </c>
      <c r="G336" t="inlineStr">
        <is>
          <t>primary</t>
        </is>
      </c>
      <c r="H336" t="inlineStr">
        <is>
          <t>AUTO_VESSEL</t>
        </is>
      </c>
      <c r="I336" t="inlineStr">
        <is>
          <t>是</t>
        </is>
      </c>
      <c r="J336" t="inlineStr">
        <is>
          <t>纳入</t>
        </is>
      </c>
      <c r="K336" t="n">
        <v>398.9366729678639</v>
      </c>
      <c r="L336">
        <f>导管母表_860!G336</f>
        <v/>
      </c>
      <c r="M336" t="inlineStr">
        <is>
          <t>视野内部</t>
        </is>
      </c>
      <c r="N336" t="inlineStr">
        <is>
          <t>纳入A/D/Dh；若有Pair_ID则纳入CWR</t>
        </is>
      </c>
      <c r="O336" t="inlineStr">
        <is>
          <t>自动管线检出的合格导管腔。</t>
        </is>
      </c>
      <c r="P336" t="inlineStr">
        <is>
          <t>auto_pipeline;review_png_green</t>
        </is>
      </c>
      <c r="R336" t="inlineStr">
        <is>
          <t>样品51</t>
        </is>
      </c>
    </row>
    <row r="337">
      <c r="A337" t="inlineStr">
        <is>
          <t>51(1)-V03</t>
        </is>
      </c>
      <c r="B337" t="inlineStr">
        <is>
          <t>51 (1).tif</t>
        </is>
      </c>
      <c r="C337" t="n">
        <v>143</v>
      </c>
      <c r="D337" t="n">
        <v>448</v>
      </c>
      <c r="E337" t="inlineStr">
        <is>
          <t>84,406,203,491</t>
        </is>
      </c>
      <c r="F337" t="n">
        <v>84</v>
      </c>
      <c r="G337" t="inlineStr">
        <is>
          <t>primary</t>
        </is>
      </c>
      <c r="H337" t="inlineStr">
        <is>
          <t>AUTO_VESSEL</t>
        </is>
      </c>
      <c r="I337" t="inlineStr">
        <is>
          <t>是</t>
        </is>
      </c>
      <c r="J337" t="inlineStr">
        <is>
          <t>纳入</t>
        </is>
      </c>
      <c r="K337" t="n">
        <v>367.6984877126654</v>
      </c>
      <c r="L337">
        <f>导管母表_860!G337</f>
        <v/>
      </c>
      <c r="M337" t="inlineStr">
        <is>
          <t>视野内部</t>
        </is>
      </c>
      <c r="N337" t="inlineStr">
        <is>
          <t>纳入A/D/Dh；若有Pair_ID则纳入CWR</t>
        </is>
      </c>
      <c r="O337" t="inlineStr">
        <is>
          <t>自动管线检出的合格导管腔。</t>
        </is>
      </c>
      <c r="P337" t="inlineStr">
        <is>
          <t>auto_pipeline;review_png_green</t>
        </is>
      </c>
      <c r="R337" t="inlineStr">
        <is>
          <t>样品51</t>
        </is>
      </c>
    </row>
    <row r="338">
      <c r="A338" t="inlineStr">
        <is>
          <t>51(1)-V04</t>
        </is>
      </c>
      <c r="B338" t="inlineStr">
        <is>
          <t>51 (1).tif</t>
        </is>
      </c>
      <c r="C338" t="n">
        <v>519</v>
      </c>
      <c r="D338" t="n">
        <v>430</v>
      </c>
      <c r="E338" t="inlineStr">
        <is>
          <t>468,380,571,481</t>
        </is>
      </c>
      <c r="F338" t="n">
        <v>287</v>
      </c>
      <c r="G338" t="inlineStr">
        <is>
          <t>primary</t>
        </is>
      </c>
      <c r="H338" t="inlineStr">
        <is>
          <t>AUTO_VESSEL</t>
        </is>
      </c>
      <c r="I338" t="inlineStr">
        <is>
          <t>是</t>
        </is>
      </c>
      <c r="J338" t="inlineStr">
        <is>
          <t>纳入</t>
        </is>
      </c>
      <c r="K338" t="n">
        <v>361.507561436673</v>
      </c>
      <c r="L338">
        <f>导管母表_860!G338</f>
        <v/>
      </c>
      <c r="M338" t="inlineStr">
        <is>
          <t>视野内部</t>
        </is>
      </c>
      <c r="N338" t="inlineStr">
        <is>
          <t>纳入A/D/Dh；若有Pair_ID则纳入CWR</t>
        </is>
      </c>
      <c r="O338" t="inlineStr">
        <is>
          <t>自动管线检出的合格导管腔。</t>
        </is>
      </c>
      <c r="P338" t="inlineStr">
        <is>
          <t>auto_pipeline;review_png_green</t>
        </is>
      </c>
      <c r="R338" t="inlineStr">
        <is>
          <t>样品51</t>
        </is>
      </c>
    </row>
    <row r="339">
      <c r="A339" t="inlineStr">
        <is>
          <t>51(1)-V05</t>
        </is>
      </c>
      <c r="B339" t="inlineStr">
        <is>
          <t>51 (1).tif</t>
        </is>
      </c>
      <c r="C339" t="n">
        <v>580</v>
      </c>
      <c r="D339" t="n">
        <v>585</v>
      </c>
      <c r="E339" t="inlineStr">
        <is>
          <t>529,545,632,626</t>
        </is>
      </c>
      <c r="F339" t="n">
        <v>142</v>
      </c>
      <c r="G339" t="inlineStr">
        <is>
          <t>primary</t>
        </is>
      </c>
      <c r="H339" t="inlineStr">
        <is>
          <t>AUTO_VESSEL</t>
        </is>
      </c>
      <c r="I339" t="inlineStr">
        <is>
          <t>是</t>
        </is>
      </c>
      <c r="J339" t="inlineStr">
        <is>
          <t>纳入</t>
        </is>
      </c>
      <c r="K339" t="n">
        <v>302.7882797731569</v>
      </c>
      <c r="L339">
        <f>导管母表_860!G339</f>
        <v/>
      </c>
      <c r="M339" t="inlineStr">
        <is>
          <t>视野内部</t>
        </is>
      </c>
      <c r="N339" t="inlineStr">
        <is>
          <t>纳入A/D/Dh；若有Pair_ID则纳入CWR</t>
        </is>
      </c>
      <c r="O339" t="inlineStr">
        <is>
          <t>自动管线检出的合格导管腔。</t>
        </is>
      </c>
      <c r="P339" t="inlineStr">
        <is>
          <t>auto_pipeline;review_png_green</t>
        </is>
      </c>
      <c r="R339" t="inlineStr">
        <is>
          <t>样品51</t>
        </is>
      </c>
    </row>
    <row r="340">
      <c r="A340" t="inlineStr">
        <is>
          <t>51(1)-V06</t>
        </is>
      </c>
      <c r="B340" t="inlineStr">
        <is>
          <t>51 (1).tif</t>
        </is>
      </c>
      <c r="C340" t="n">
        <v>123</v>
      </c>
      <c r="D340" t="n">
        <v>354</v>
      </c>
      <c r="E340" t="inlineStr">
        <is>
          <t>82,314,165,395</t>
        </is>
      </c>
      <c r="F340" t="n">
        <v>82</v>
      </c>
      <c r="G340" t="inlineStr">
        <is>
          <t>primary</t>
        </is>
      </c>
      <c r="H340" t="inlineStr">
        <is>
          <t>AUTO_VESSEL</t>
        </is>
      </c>
      <c r="I340" t="inlineStr">
        <is>
          <t>是</t>
        </is>
      </c>
      <c r="J340" t="inlineStr">
        <is>
          <t>纳入</t>
        </is>
      </c>
      <c r="K340" t="n">
        <v>242.1550094517958</v>
      </c>
      <c r="L340">
        <f>导管母表_860!G340</f>
        <v/>
      </c>
      <c r="M340" t="inlineStr">
        <is>
          <t>视野内部</t>
        </is>
      </c>
      <c r="N340" t="inlineStr">
        <is>
          <t>纳入A/D/Dh；若有Pair_ID则纳入CWR</t>
        </is>
      </c>
      <c r="O340" t="inlineStr">
        <is>
          <t>自动管线检出的合格导管腔。</t>
        </is>
      </c>
      <c r="P340" t="inlineStr">
        <is>
          <t>auto_pipeline;review_png_green</t>
        </is>
      </c>
      <c r="R340" t="inlineStr">
        <is>
          <t>样品51</t>
        </is>
      </c>
    </row>
    <row r="341">
      <c r="A341" t="inlineStr">
        <is>
          <t>51(2)-V01</t>
        </is>
      </c>
      <c r="B341" t="inlineStr">
        <is>
          <t>51 (2).tif</t>
        </is>
      </c>
      <c r="C341" t="n">
        <v>790</v>
      </c>
      <c r="D341" t="n">
        <v>384</v>
      </c>
      <c r="E341" t="inlineStr">
        <is>
          <t>718,309,863,460</t>
        </is>
      </c>
      <c r="F341" t="n">
        <v>161</v>
      </c>
      <c r="G341" t="inlineStr">
        <is>
          <t>primary</t>
        </is>
      </c>
      <c r="H341" t="inlineStr">
        <is>
          <t>AUTO_VESSEL</t>
        </is>
      </c>
      <c r="I341" t="inlineStr">
        <is>
          <t>是</t>
        </is>
      </c>
      <c r="J341" t="inlineStr">
        <is>
          <t>纳入</t>
        </is>
      </c>
      <c r="K341" t="n">
        <v>776.2287334593573</v>
      </c>
      <c r="L341">
        <f>导管母表_860!G341</f>
        <v/>
      </c>
      <c r="M341" t="inlineStr">
        <is>
          <t>视野内部</t>
        </is>
      </c>
      <c r="N341" t="inlineStr">
        <is>
          <t>纳入A/D/Dh；若有Pair_ID则纳入CWR</t>
        </is>
      </c>
      <c r="O341" t="inlineStr">
        <is>
          <t>自动管线检出的合格导管腔。</t>
        </is>
      </c>
      <c r="P341" t="inlineStr">
        <is>
          <t>auto_pipeline;review_png_green</t>
        </is>
      </c>
      <c r="R341" t="inlineStr">
        <is>
          <t>样品51</t>
        </is>
      </c>
    </row>
    <row r="342">
      <c r="A342" t="inlineStr">
        <is>
          <t>51(2)-V02</t>
        </is>
      </c>
      <c r="B342" t="inlineStr">
        <is>
          <t>51 (2).tif</t>
        </is>
      </c>
      <c r="C342" t="n">
        <v>469</v>
      </c>
      <c r="D342" t="n">
        <v>466</v>
      </c>
      <c r="E342" t="inlineStr">
        <is>
          <t>401,397,538,536</t>
        </is>
      </c>
      <c r="F342" t="n">
        <v>232</v>
      </c>
      <c r="G342" t="inlineStr">
        <is>
          <t>primary</t>
        </is>
      </c>
      <c r="H342" t="inlineStr">
        <is>
          <t>AUTO_VESSEL</t>
        </is>
      </c>
      <c r="I342" t="inlineStr">
        <is>
          <t>是</t>
        </is>
      </c>
      <c r="J342" t="inlineStr">
        <is>
          <t>纳入</t>
        </is>
      </c>
      <c r="K342" t="n">
        <v>694.4943289224952</v>
      </c>
      <c r="L342">
        <f>导管母表_860!G342</f>
        <v/>
      </c>
      <c r="M342" t="inlineStr">
        <is>
          <t>视野内部</t>
        </is>
      </c>
      <c r="N342" t="inlineStr">
        <is>
          <t>纳入A/D/Dh；若有Pair_ID则纳入CWR</t>
        </is>
      </c>
      <c r="O342" t="inlineStr">
        <is>
          <t>自动管线检出的合格导管腔。</t>
        </is>
      </c>
      <c r="P342" t="inlineStr">
        <is>
          <t>auto_pipeline;review_png_green</t>
        </is>
      </c>
      <c r="R342" t="inlineStr">
        <is>
          <t>样品51</t>
        </is>
      </c>
    </row>
    <row r="343">
      <c r="A343" t="inlineStr">
        <is>
          <t>51(2)-V03</t>
        </is>
      </c>
      <c r="B343" t="inlineStr">
        <is>
          <t>51 (2).tif</t>
        </is>
      </c>
      <c r="C343" t="n">
        <v>585</v>
      </c>
      <c r="D343" t="n">
        <v>331</v>
      </c>
      <c r="E343" t="inlineStr">
        <is>
          <t>525,273,646,390</t>
        </is>
      </c>
      <c r="F343" t="n">
        <v>273</v>
      </c>
      <c r="G343" t="inlineStr">
        <is>
          <t>primary</t>
        </is>
      </c>
      <c r="H343" t="inlineStr">
        <is>
          <t>AUTO_VESSEL</t>
        </is>
      </c>
      <c r="I343" t="inlineStr">
        <is>
          <t>是</t>
        </is>
      </c>
      <c r="J343" t="inlineStr">
        <is>
          <t>纳入</t>
        </is>
      </c>
      <c r="K343" t="n">
        <v>516.6587901701323</v>
      </c>
      <c r="L343">
        <f>导管母表_860!G343</f>
        <v/>
      </c>
      <c r="M343" t="inlineStr">
        <is>
          <t>视野内部</t>
        </is>
      </c>
      <c r="N343" t="inlineStr">
        <is>
          <t>纳入A/D/Dh；若有Pair_ID则纳入CWR</t>
        </is>
      </c>
      <c r="O343" t="inlineStr">
        <is>
          <t>自动管线检出的合格导管腔。</t>
        </is>
      </c>
      <c r="P343" t="inlineStr">
        <is>
          <t>auto_pipeline;review_png_green</t>
        </is>
      </c>
      <c r="R343" t="inlineStr">
        <is>
          <t>样品51</t>
        </is>
      </c>
    </row>
    <row r="344">
      <c r="A344" t="inlineStr">
        <is>
          <t>51(2)-V04</t>
        </is>
      </c>
      <c r="B344" t="inlineStr">
        <is>
          <t>51 (2).tif</t>
        </is>
      </c>
      <c r="C344" t="n">
        <v>269</v>
      </c>
      <c r="D344" t="n">
        <v>492</v>
      </c>
      <c r="E344" t="inlineStr">
        <is>
          <t>232,462,307,523</t>
        </is>
      </c>
      <c r="F344" t="n">
        <v>232</v>
      </c>
      <c r="G344" t="inlineStr">
        <is>
          <t>primary</t>
        </is>
      </c>
      <c r="H344" t="inlineStr">
        <is>
          <t>AUTO_VESSEL</t>
        </is>
      </c>
      <c r="I344" t="inlineStr">
        <is>
          <t>是</t>
        </is>
      </c>
      <c r="J344" t="inlineStr">
        <is>
          <t>纳入</t>
        </is>
      </c>
      <c r="K344" t="n">
        <v>128.4971644612476</v>
      </c>
      <c r="L344">
        <f>导管母表_860!G344</f>
        <v/>
      </c>
      <c r="M344" t="inlineStr">
        <is>
          <t>视野内部</t>
        </is>
      </c>
      <c r="N344" t="inlineStr">
        <is>
          <t>纳入A/D/Dh；若有Pair_ID则纳入CWR</t>
        </is>
      </c>
      <c r="O344" t="inlineStr">
        <is>
          <t>自动管线检出的合格导管腔。</t>
        </is>
      </c>
      <c r="P344" t="inlineStr">
        <is>
          <t>auto_pipeline;review_png_green</t>
        </is>
      </c>
      <c r="R344" t="inlineStr">
        <is>
          <t>样品51</t>
        </is>
      </c>
    </row>
    <row r="345">
      <c r="A345" t="inlineStr">
        <is>
          <t>51(2)-V05</t>
        </is>
      </c>
      <c r="B345" t="inlineStr">
        <is>
          <t>51 (2).tif</t>
        </is>
      </c>
      <c r="C345" t="n">
        <v>481</v>
      </c>
      <c r="D345" t="n">
        <v>584</v>
      </c>
      <c r="E345" t="inlineStr">
        <is>
          <t>446,553,517,616</t>
        </is>
      </c>
      <c r="F345" t="n">
        <v>152</v>
      </c>
      <c r="G345" t="inlineStr">
        <is>
          <t>primary</t>
        </is>
      </c>
      <c r="H345" t="inlineStr">
        <is>
          <t>AUTO_VESSEL</t>
        </is>
      </c>
      <c r="I345" t="inlineStr">
        <is>
          <t>是</t>
        </is>
      </c>
      <c r="J345" t="inlineStr">
        <is>
          <t>纳入</t>
        </is>
      </c>
      <c r="K345" t="n">
        <v>121.7391304347826</v>
      </c>
      <c r="L345">
        <f>导管母表_860!G345</f>
        <v/>
      </c>
      <c r="M345" t="inlineStr">
        <is>
          <t>视野内部</t>
        </is>
      </c>
      <c r="N345" t="inlineStr">
        <is>
          <t>纳入A/D/Dh；若有Pair_ID则纳入CWR</t>
        </is>
      </c>
      <c r="O345" t="inlineStr">
        <is>
          <t>自动管线检出的合格导管腔。</t>
        </is>
      </c>
      <c r="P345" t="inlineStr">
        <is>
          <t>auto_pipeline;review_png_green</t>
        </is>
      </c>
      <c r="R345" t="inlineStr">
        <is>
          <t>样品51</t>
        </is>
      </c>
    </row>
    <row r="346">
      <c r="A346" t="inlineStr">
        <is>
          <t>51(2)-V06</t>
        </is>
      </c>
      <c r="B346" t="inlineStr">
        <is>
          <t>51 (2).tif</t>
        </is>
      </c>
      <c r="C346" t="n">
        <v>902</v>
      </c>
      <c r="D346" t="n">
        <v>405</v>
      </c>
      <c r="E346" t="inlineStr">
        <is>
          <t>873,376,932,435</t>
        </is>
      </c>
      <c r="F346" t="n">
        <v>92</v>
      </c>
      <c r="G346" t="inlineStr">
        <is>
          <t>primary</t>
        </is>
      </c>
      <c r="H346" t="inlineStr">
        <is>
          <t>AUTO_VESSEL</t>
        </is>
      </c>
      <c r="I346" t="inlineStr">
        <is>
          <t>是</t>
        </is>
      </c>
      <c r="J346" t="inlineStr">
        <is>
          <t>纳入</t>
        </is>
      </c>
      <c r="K346" t="n">
        <v>109.4754253308129</v>
      </c>
      <c r="L346">
        <f>导管母表_860!G346</f>
        <v/>
      </c>
      <c r="M346" t="inlineStr">
        <is>
          <t>视野内部</t>
        </is>
      </c>
      <c r="N346" t="inlineStr">
        <is>
          <t>纳入A/D/Dh；若有Pair_ID则纳入CWR</t>
        </is>
      </c>
      <c r="O346" t="inlineStr">
        <is>
          <t>自动管线检出的合格导管腔。</t>
        </is>
      </c>
      <c r="P346" t="inlineStr">
        <is>
          <t>auto_pipeline;review_png_green</t>
        </is>
      </c>
      <c r="R346" t="inlineStr">
        <is>
          <t>样品51</t>
        </is>
      </c>
    </row>
    <row r="347">
      <c r="A347" t="inlineStr">
        <is>
          <t>51(3)-V01</t>
        </is>
      </c>
      <c r="B347" t="inlineStr">
        <is>
          <t>51 (3).tif</t>
        </is>
      </c>
      <c r="C347" t="n">
        <v>579</v>
      </c>
      <c r="D347" t="n">
        <v>329</v>
      </c>
      <c r="E347" t="inlineStr">
        <is>
          <t>506,258,653,401</t>
        </is>
      </c>
      <c r="F347" t="n">
        <v>258</v>
      </c>
      <c r="G347" t="inlineStr">
        <is>
          <t>primary</t>
        </is>
      </c>
      <c r="H347" t="inlineStr">
        <is>
          <t>AUTO_VESSEL</t>
        </is>
      </c>
      <c r="I347" t="inlineStr">
        <is>
          <t>是</t>
        </is>
      </c>
      <c r="J347" t="inlineStr">
        <is>
          <t>纳入</t>
        </is>
      </c>
      <c r="K347" t="n">
        <v>765.9971644612476</v>
      </c>
      <c r="L347">
        <f>导管母表_860!G347</f>
        <v/>
      </c>
      <c r="M347" t="inlineStr">
        <is>
          <t>视野内部</t>
        </is>
      </c>
      <c r="N347" t="inlineStr">
        <is>
          <t>纳入A/D/Dh；若有Pair_ID则纳入CWR</t>
        </is>
      </c>
      <c r="O347" t="inlineStr">
        <is>
          <t>自动管线检出的合格导管腔。</t>
        </is>
      </c>
      <c r="P347" t="inlineStr">
        <is>
          <t>auto_pipeline;review_png_green</t>
        </is>
      </c>
      <c r="R347" t="inlineStr">
        <is>
          <t>样品51</t>
        </is>
      </c>
    </row>
    <row r="348">
      <c r="A348" t="inlineStr">
        <is>
          <t>51(3)-V02</t>
        </is>
      </c>
      <c r="B348" t="inlineStr">
        <is>
          <t>51 (3).tif</t>
        </is>
      </c>
      <c r="C348" t="n">
        <v>407</v>
      </c>
      <c r="D348" t="n">
        <v>447</v>
      </c>
      <c r="E348" t="inlineStr">
        <is>
          <t>335,381,480,514</t>
        </is>
      </c>
      <c r="F348" t="n">
        <v>254</v>
      </c>
      <c r="G348" t="inlineStr">
        <is>
          <t>primary</t>
        </is>
      </c>
      <c r="H348" t="inlineStr">
        <is>
          <t>AUTO_VESSEL</t>
        </is>
      </c>
      <c r="I348" t="inlineStr">
        <is>
          <t>是</t>
        </is>
      </c>
      <c r="J348" t="inlineStr">
        <is>
          <t>纳入</t>
        </is>
      </c>
      <c r="K348" t="n">
        <v>690.7372400756144</v>
      </c>
      <c r="L348">
        <f>导管母表_860!G348</f>
        <v/>
      </c>
      <c r="M348" t="inlineStr">
        <is>
          <t>视野内部</t>
        </is>
      </c>
      <c r="N348" t="inlineStr">
        <is>
          <t>纳入A/D/Dh；若有Pair_ID则纳入CWR</t>
        </is>
      </c>
      <c r="O348" t="inlineStr">
        <is>
          <t>自动管线检出的合格导管腔。</t>
        </is>
      </c>
      <c r="P348" t="inlineStr">
        <is>
          <t>auto_pipeline;review_png_green</t>
        </is>
      </c>
      <c r="R348" t="inlineStr">
        <is>
          <t>样品51</t>
        </is>
      </c>
    </row>
    <row r="349">
      <c r="A349" t="inlineStr">
        <is>
          <t>51(3)-V03</t>
        </is>
      </c>
      <c r="B349" t="inlineStr">
        <is>
          <t>51 (3).tif</t>
        </is>
      </c>
      <c r="C349" t="n">
        <v>681</v>
      </c>
      <c r="D349" t="n">
        <v>156</v>
      </c>
      <c r="E349" t="inlineStr">
        <is>
          <t>621,95,742,218</t>
        </is>
      </c>
      <c r="F349" t="n">
        <v>95</v>
      </c>
      <c r="G349" t="inlineStr">
        <is>
          <t>primary</t>
        </is>
      </c>
      <c r="H349" t="inlineStr">
        <is>
          <t>AUTO_VESSEL</t>
        </is>
      </c>
      <c r="I349" t="inlineStr">
        <is>
          <t>是</t>
        </is>
      </c>
      <c r="J349" t="inlineStr">
        <is>
          <t>纳入</t>
        </is>
      </c>
      <c r="K349" t="n">
        <v>542.7930056710775</v>
      </c>
      <c r="L349">
        <f>导管母表_860!G349</f>
        <v/>
      </c>
      <c r="M349" t="inlineStr">
        <is>
          <t>视野内部</t>
        </is>
      </c>
      <c r="N349" t="inlineStr">
        <is>
          <t>纳入A/D/Dh；若有Pair_ID则纳入CWR</t>
        </is>
      </c>
      <c r="O349" t="inlineStr">
        <is>
          <t>自动管线检出的合格导管腔。</t>
        </is>
      </c>
      <c r="P349" t="inlineStr">
        <is>
          <t>auto_pipeline;review_png_green</t>
        </is>
      </c>
      <c r="R349" t="inlineStr">
        <is>
          <t>样品51</t>
        </is>
      </c>
    </row>
    <row r="350">
      <c r="A350" t="inlineStr">
        <is>
          <t>51(3)-V04</t>
        </is>
      </c>
      <c r="B350" t="inlineStr">
        <is>
          <t>51 (3).tif</t>
        </is>
      </c>
      <c r="C350" t="n">
        <v>824</v>
      </c>
      <c r="D350" t="n">
        <v>65</v>
      </c>
      <c r="E350" t="inlineStr">
        <is>
          <t>776,12,873,119</t>
        </is>
      </c>
      <c r="F350" t="n">
        <v>12</v>
      </c>
      <c r="G350" t="inlineStr">
        <is>
          <t>primary</t>
        </is>
      </c>
      <c r="H350" t="inlineStr">
        <is>
          <t>AUTO_VESSEL</t>
        </is>
      </c>
      <c r="I350" t="inlineStr">
        <is>
          <t>是</t>
        </is>
      </c>
      <c r="J350" t="inlineStr">
        <is>
          <t>纳入</t>
        </is>
      </c>
      <c r="K350" t="n">
        <v>373.9130434782609</v>
      </c>
      <c r="L350">
        <f>导管母表_860!G350</f>
        <v/>
      </c>
      <c r="M350" t="inlineStr">
        <is>
          <t>近边缘（&lt;25 px）</t>
        </is>
      </c>
      <c r="N350" t="inlineStr">
        <is>
          <t>纳入A/D/Dh；若有Pair_ID则纳入CWR</t>
        </is>
      </c>
      <c r="O350" t="inlineStr">
        <is>
          <t>自动管线检出的合格导管腔。</t>
        </is>
      </c>
      <c r="P350" t="inlineStr">
        <is>
          <t>auto_pipeline;review_png_green</t>
        </is>
      </c>
      <c r="R350" t="inlineStr">
        <is>
          <t>样品51</t>
        </is>
      </c>
    </row>
    <row r="351">
      <c r="A351" t="inlineStr">
        <is>
          <t>51(3)-V05</t>
        </is>
      </c>
      <c r="B351" t="inlineStr">
        <is>
          <t>51 (3).tif</t>
        </is>
      </c>
      <c r="C351" t="n">
        <v>132</v>
      </c>
      <c r="D351" t="n">
        <v>605</v>
      </c>
      <c r="E351" t="inlineStr">
        <is>
          <t>96,573,169,638</t>
        </is>
      </c>
      <c r="F351" t="n">
        <v>96</v>
      </c>
      <c r="G351" t="inlineStr">
        <is>
          <t>primary</t>
        </is>
      </c>
      <c r="H351" t="inlineStr">
        <is>
          <t>AUTO_VESSEL</t>
        </is>
      </c>
      <c r="I351" t="inlineStr">
        <is>
          <t>是</t>
        </is>
      </c>
      <c r="J351" t="inlineStr">
        <is>
          <t>纳入</t>
        </is>
      </c>
      <c r="K351" t="n">
        <v>160.1606805293006</v>
      </c>
      <c r="L351">
        <f>导管母表_860!G351</f>
        <v/>
      </c>
      <c r="M351" t="inlineStr">
        <is>
          <t>视野内部</t>
        </is>
      </c>
      <c r="N351" t="inlineStr">
        <is>
          <t>纳入A/D/Dh；若有Pair_ID则纳入CWR</t>
        </is>
      </c>
      <c r="O351" t="inlineStr">
        <is>
          <t>自动管线检出的合格导管腔。</t>
        </is>
      </c>
      <c r="P351" t="inlineStr">
        <is>
          <t>auto_pipeline;review_png_green</t>
        </is>
      </c>
      <c r="R351" t="inlineStr">
        <is>
          <t>样品51</t>
        </is>
      </c>
    </row>
    <row r="352">
      <c r="A352" t="inlineStr">
        <is>
          <t>51(3)-V06</t>
        </is>
      </c>
      <c r="B352" t="inlineStr">
        <is>
          <t>51 (3).tif</t>
        </is>
      </c>
      <c r="C352" t="n">
        <v>437</v>
      </c>
      <c r="D352" t="n">
        <v>171</v>
      </c>
      <c r="E352" t="inlineStr">
        <is>
          <t>390,143,485,200</t>
        </is>
      </c>
      <c r="F352" t="n">
        <v>143</v>
      </c>
      <c r="G352" t="inlineStr">
        <is>
          <t>primary</t>
        </is>
      </c>
      <c r="H352" t="inlineStr">
        <is>
          <t>AUTO_VESSEL</t>
        </is>
      </c>
      <c r="I352" t="inlineStr">
        <is>
          <t>是</t>
        </is>
      </c>
      <c r="J352" t="inlineStr">
        <is>
          <t>纳入</t>
        </is>
      </c>
      <c r="K352" t="n">
        <v>131.8998109640832</v>
      </c>
      <c r="L352">
        <f>导管母表_860!G352</f>
        <v/>
      </c>
      <c r="M352" t="inlineStr">
        <is>
          <t>视野内部</t>
        </is>
      </c>
      <c r="N352" t="inlineStr">
        <is>
          <t>纳入A/D/Dh；若有Pair_ID则纳入CWR</t>
        </is>
      </c>
      <c r="O352" t="inlineStr">
        <is>
          <t>自动管线检出的合格导管腔。</t>
        </is>
      </c>
      <c r="P352" t="inlineStr">
        <is>
          <t>auto_pipeline;review_png_green</t>
        </is>
      </c>
      <c r="R352" t="inlineStr">
        <is>
          <t>样品51</t>
        </is>
      </c>
    </row>
    <row r="353">
      <c r="A353" t="inlineStr">
        <is>
          <t>51(4)-V01</t>
        </is>
      </c>
      <c r="B353" t="inlineStr">
        <is>
          <t>51 (4).tif</t>
        </is>
      </c>
      <c r="C353" t="n">
        <v>548</v>
      </c>
      <c r="D353" t="n">
        <v>367</v>
      </c>
      <c r="E353" t="inlineStr">
        <is>
          <t>478,316,619,419</t>
        </is>
      </c>
      <c r="F353" t="n">
        <v>316</v>
      </c>
      <c r="G353" t="inlineStr">
        <is>
          <t>primary</t>
        </is>
      </c>
      <c r="H353" t="inlineStr">
        <is>
          <t>AUTO_VESSEL</t>
        </is>
      </c>
      <c r="I353" t="inlineStr">
        <is>
          <t>是</t>
        </is>
      </c>
      <c r="J353" t="inlineStr">
        <is>
          <t>纳入</t>
        </is>
      </c>
      <c r="K353" t="n">
        <v>511.8147448015123</v>
      </c>
      <c r="L353">
        <f>导管母表_860!G353</f>
        <v/>
      </c>
      <c r="M353" t="inlineStr">
        <is>
          <t>视野内部</t>
        </is>
      </c>
      <c r="N353" t="inlineStr">
        <is>
          <t>纳入A/D/Dh；若有Pair_ID则纳入CWR</t>
        </is>
      </c>
      <c r="O353" t="inlineStr">
        <is>
          <t>自动管线检出的合格导管腔。</t>
        </is>
      </c>
      <c r="P353" t="inlineStr">
        <is>
          <t>auto_pipeline;review_png_green</t>
        </is>
      </c>
      <c r="R353" t="inlineStr">
        <is>
          <t>样品51</t>
        </is>
      </c>
    </row>
    <row r="354">
      <c r="A354" t="inlineStr">
        <is>
          <t>51(4)-V02</t>
        </is>
      </c>
      <c r="B354" t="inlineStr">
        <is>
          <t>51 (4).tif</t>
        </is>
      </c>
      <c r="C354" t="n">
        <v>417</v>
      </c>
      <c r="D354" t="n">
        <v>357</v>
      </c>
      <c r="E354" t="inlineStr">
        <is>
          <t>373,312,462,403</t>
        </is>
      </c>
      <c r="F354" t="n">
        <v>312</v>
      </c>
      <c r="G354" t="inlineStr">
        <is>
          <t>primary</t>
        </is>
      </c>
      <c r="H354" t="inlineStr">
        <is>
          <t>AUTO_VESSEL</t>
        </is>
      </c>
      <c r="I354" t="inlineStr">
        <is>
          <t>是</t>
        </is>
      </c>
      <c r="J354" t="inlineStr">
        <is>
          <t>纳入</t>
        </is>
      </c>
      <c r="K354" t="n">
        <v>290.8317580340264</v>
      </c>
      <c r="L354">
        <f>导管母表_860!G354</f>
        <v/>
      </c>
      <c r="M354" t="inlineStr">
        <is>
          <t>视野内部</t>
        </is>
      </c>
      <c r="N354" t="inlineStr">
        <is>
          <t>纳入A/D/Dh；若有Pair_ID则纳入CWR</t>
        </is>
      </c>
      <c r="O354" t="inlineStr">
        <is>
          <t>自动管线检出的合格导管腔。</t>
        </is>
      </c>
      <c r="P354" t="inlineStr">
        <is>
          <t>auto_pipeline;review_png_green</t>
        </is>
      </c>
      <c r="R354" t="inlineStr">
        <is>
          <t>样品51</t>
        </is>
      </c>
    </row>
    <row r="355">
      <c r="A355" t="inlineStr">
        <is>
          <t>51(5)-V01</t>
        </is>
      </c>
      <c r="B355" t="inlineStr">
        <is>
          <t>51 (5).tif</t>
        </is>
      </c>
      <c r="C355" t="n">
        <v>608</v>
      </c>
      <c r="D355" t="n">
        <v>420</v>
      </c>
      <c r="E355" t="inlineStr">
        <is>
          <t>523,351,694,490</t>
        </is>
      </c>
      <c r="F355" t="n">
        <v>278</v>
      </c>
      <c r="G355" t="inlineStr">
        <is>
          <t>primary</t>
        </is>
      </c>
      <c r="H355" t="inlineStr">
        <is>
          <t>AUTO_VESSEL</t>
        </is>
      </c>
      <c r="I355" t="inlineStr">
        <is>
          <t>是</t>
        </is>
      </c>
      <c r="J355" t="inlineStr">
        <is>
          <t>纳入</t>
        </is>
      </c>
      <c r="K355" t="n">
        <v>870.179584120983</v>
      </c>
      <c r="L355">
        <f>导管母表_860!G355</f>
        <v/>
      </c>
      <c r="M355" t="inlineStr">
        <is>
          <t>视野内部</t>
        </is>
      </c>
      <c r="N355" t="inlineStr">
        <is>
          <t>纳入A/D/Dh；若有Pair_ID则纳入CWR</t>
        </is>
      </c>
      <c r="O355" t="inlineStr">
        <is>
          <t>自动管线检出的合格导管腔。</t>
        </is>
      </c>
      <c r="P355" t="inlineStr">
        <is>
          <t>auto_pipeline;review_png_green</t>
        </is>
      </c>
      <c r="Q355" t="inlineStr">
        <is>
          <t>51(5)-P01</t>
        </is>
      </c>
      <c r="R355" t="inlineStr">
        <is>
          <t>样品51</t>
        </is>
      </c>
    </row>
    <row r="356">
      <c r="A356" t="inlineStr">
        <is>
          <t>51(5)-V02</t>
        </is>
      </c>
      <c r="B356" t="inlineStr">
        <is>
          <t>51 (5).tif</t>
        </is>
      </c>
      <c r="C356" t="n">
        <v>163</v>
      </c>
      <c r="D356" t="n">
        <v>272</v>
      </c>
      <c r="E356" t="inlineStr">
        <is>
          <t>88,201,239,344</t>
        </is>
      </c>
      <c r="F356" t="n">
        <v>88</v>
      </c>
      <c r="G356" t="inlineStr">
        <is>
          <t>primary</t>
        </is>
      </c>
      <c r="H356" t="inlineStr">
        <is>
          <t>AUTO_VESSEL</t>
        </is>
      </c>
      <c r="I356" t="inlineStr">
        <is>
          <t>是</t>
        </is>
      </c>
      <c r="J356" t="inlineStr">
        <is>
          <t>纳入</t>
        </is>
      </c>
      <c r="K356" t="n">
        <v>772.4952741020794</v>
      </c>
      <c r="L356">
        <f>导管母表_860!G356</f>
        <v/>
      </c>
      <c r="M356" t="inlineStr">
        <is>
          <t>视野内部</t>
        </is>
      </c>
      <c r="N356" t="inlineStr">
        <is>
          <t>纳入A/D/Dh；若有Pair_ID则纳入CWR</t>
        </is>
      </c>
      <c r="O356" t="inlineStr">
        <is>
          <t>自动管线检出的合格导管腔。</t>
        </is>
      </c>
      <c r="P356" t="inlineStr">
        <is>
          <t>auto_pipeline;review_png_green</t>
        </is>
      </c>
      <c r="R356" t="inlineStr">
        <is>
          <t>样品51</t>
        </is>
      </c>
    </row>
    <row r="357">
      <c r="A357" t="inlineStr">
        <is>
          <t>51(5)-V03</t>
        </is>
      </c>
      <c r="B357" t="inlineStr">
        <is>
          <t>51 (5).tif</t>
        </is>
      </c>
      <c r="C357" t="n">
        <v>447</v>
      </c>
      <c r="D357" t="n">
        <v>345</v>
      </c>
      <c r="E357" t="inlineStr">
        <is>
          <t>375,275,520,416</t>
        </is>
      </c>
      <c r="F357" t="n">
        <v>275</v>
      </c>
      <c r="G357" t="inlineStr">
        <is>
          <t>primary</t>
        </is>
      </c>
      <c r="H357" t="inlineStr">
        <is>
          <t>AUTO_VESSEL</t>
        </is>
      </c>
      <c r="I357" t="inlineStr">
        <is>
          <t>是</t>
        </is>
      </c>
      <c r="J357" t="inlineStr">
        <is>
          <t>纳入</t>
        </is>
      </c>
      <c r="K357" t="n">
        <v>748.1568998109641</v>
      </c>
      <c r="L357">
        <f>导管母表_860!G357</f>
        <v/>
      </c>
      <c r="M357" t="inlineStr">
        <is>
          <t>视野内部</t>
        </is>
      </c>
      <c r="N357" t="inlineStr">
        <is>
          <t>纳入A/D/Dh；若有Pair_ID则纳入CWR</t>
        </is>
      </c>
      <c r="O357" t="inlineStr">
        <is>
          <t>自动管线检出的合格导管腔。</t>
        </is>
      </c>
      <c r="P357" t="inlineStr">
        <is>
          <t>auto_pipeline;review_png_green</t>
        </is>
      </c>
      <c r="Q357" t="inlineStr">
        <is>
          <t>51(5)-P01</t>
        </is>
      </c>
      <c r="R357" t="inlineStr">
        <is>
          <t>样品51</t>
        </is>
      </c>
    </row>
    <row r="358">
      <c r="A358" t="inlineStr">
        <is>
          <t>51(5)-V04</t>
        </is>
      </c>
      <c r="B358" t="inlineStr">
        <is>
          <t>51 (5).tif</t>
        </is>
      </c>
      <c r="C358" t="n">
        <v>847</v>
      </c>
      <c r="D358" t="n">
        <v>213</v>
      </c>
      <c r="E358" t="inlineStr">
        <is>
          <t>815,173,880,254</t>
        </is>
      </c>
      <c r="F358" t="n">
        <v>144</v>
      </c>
      <c r="G358" t="inlineStr">
        <is>
          <t>primary</t>
        </is>
      </c>
      <c r="H358" t="inlineStr">
        <is>
          <t>AUTO_VESSEL</t>
        </is>
      </c>
      <c r="I358" t="inlineStr">
        <is>
          <t>是</t>
        </is>
      </c>
      <c r="J358" t="inlineStr">
        <is>
          <t>纳入</t>
        </is>
      </c>
      <c r="K358" t="n">
        <v>132.7977315689981</v>
      </c>
      <c r="L358">
        <f>导管母表_860!G358</f>
        <v/>
      </c>
      <c r="M358" t="inlineStr">
        <is>
          <t>视野内部</t>
        </is>
      </c>
      <c r="N358" t="inlineStr">
        <is>
          <t>纳入A/D/Dh；若有Pair_ID则纳入CWR</t>
        </is>
      </c>
      <c r="O358" t="inlineStr">
        <is>
          <t>自动管线检出的合格导管腔。</t>
        </is>
      </c>
      <c r="P358" t="inlineStr">
        <is>
          <t>auto_pipeline;review_png_green</t>
        </is>
      </c>
      <c r="R358" t="inlineStr">
        <is>
          <t>样品51</t>
        </is>
      </c>
    </row>
    <row r="359">
      <c r="A359" t="inlineStr">
        <is>
          <t>51(5)-V05</t>
        </is>
      </c>
      <c r="B359" t="inlineStr">
        <is>
          <t>51 (5).tif</t>
        </is>
      </c>
      <c r="C359" t="n">
        <v>668</v>
      </c>
      <c r="D359" t="n">
        <v>336</v>
      </c>
      <c r="E359" t="inlineStr">
        <is>
          <t>628,307,709,366</t>
        </is>
      </c>
      <c r="F359" t="n">
        <v>307</v>
      </c>
      <c r="G359" t="inlineStr">
        <is>
          <t>primary</t>
        </is>
      </c>
      <c r="H359" t="inlineStr">
        <is>
          <t>AUTO_VESSEL</t>
        </is>
      </c>
      <c r="I359" t="inlineStr">
        <is>
          <t>是</t>
        </is>
      </c>
      <c r="J359" t="inlineStr">
        <is>
          <t>纳入</t>
        </is>
      </c>
      <c r="K359" t="n">
        <v>123.5349716446125</v>
      </c>
      <c r="L359">
        <f>导管母表_860!G359</f>
        <v/>
      </c>
      <c r="M359" t="inlineStr">
        <is>
          <t>视野内部</t>
        </is>
      </c>
      <c r="N359" t="inlineStr">
        <is>
          <t>纳入A/D/Dh；若有Pair_ID则纳入CWR</t>
        </is>
      </c>
      <c r="O359" t="inlineStr">
        <is>
          <t>自动管线检出的合格导管腔。</t>
        </is>
      </c>
      <c r="P359" t="inlineStr">
        <is>
          <t>auto_pipeline;review_png_green</t>
        </is>
      </c>
      <c r="R359" t="inlineStr">
        <is>
          <t>样品51</t>
        </is>
      </c>
    </row>
    <row r="360">
      <c r="A360" t="inlineStr">
        <is>
          <t>51(5)-V06</t>
        </is>
      </c>
      <c r="B360" t="inlineStr">
        <is>
          <t>51 (5).tif</t>
        </is>
      </c>
      <c r="C360" t="n">
        <v>872</v>
      </c>
      <c r="D360" t="n">
        <v>457</v>
      </c>
      <c r="E360" t="inlineStr">
        <is>
          <t>824,433,921,482</t>
        </is>
      </c>
      <c r="F360" t="n">
        <v>103</v>
      </c>
      <c r="G360" t="inlineStr">
        <is>
          <t>primary</t>
        </is>
      </c>
      <c r="H360" t="inlineStr">
        <is>
          <t>AUTO_VESSEL</t>
        </is>
      </c>
      <c r="I360" t="inlineStr">
        <is>
          <t>是</t>
        </is>
      </c>
      <c r="J360" t="inlineStr">
        <is>
          <t>纳入</t>
        </is>
      </c>
      <c r="K360" t="n">
        <v>121.17202268431</v>
      </c>
      <c r="L360">
        <f>导管母表_860!G360</f>
        <v/>
      </c>
      <c r="M360" t="inlineStr">
        <is>
          <t>视野内部</t>
        </is>
      </c>
      <c r="N360" t="inlineStr">
        <is>
          <t>纳入A/D/Dh；若有Pair_ID则纳入CWR</t>
        </is>
      </c>
      <c r="O360" t="inlineStr">
        <is>
          <t>自动管线检出的合格导管腔。</t>
        </is>
      </c>
      <c r="P360" t="inlineStr">
        <is>
          <t>auto_pipeline;review_png_green</t>
        </is>
      </c>
      <c r="R360" t="inlineStr">
        <is>
          <t>样品51</t>
        </is>
      </c>
    </row>
    <row r="361">
      <c r="A361" t="inlineStr">
        <is>
          <t>51(5)-V07</t>
        </is>
      </c>
      <c r="B361" t="inlineStr">
        <is>
          <t>51 (5).tif</t>
        </is>
      </c>
      <c r="C361" t="n">
        <v>710</v>
      </c>
      <c r="D361" t="n">
        <v>407</v>
      </c>
      <c r="E361" t="inlineStr">
        <is>
          <t>672,375,749,440</t>
        </is>
      </c>
      <c r="F361" t="n">
        <v>275</v>
      </c>
      <c r="G361" t="inlineStr">
        <is>
          <t>primary</t>
        </is>
      </c>
      <c r="H361" t="inlineStr">
        <is>
          <t>AUTO_VESSEL</t>
        </is>
      </c>
      <c r="I361" t="inlineStr">
        <is>
          <t>是</t>
        </is>
      </c>
      <c r="J361" t="inlineStr">
        <is>
          <t>纳入</t>
        </is>
      </c>
      <c r="K361" t="n">
        <v>104.9858223062382</v>
      </c>
      <c r="L361">
        <f>导管母表_860!G361</f>
        <v/>
      </c>
      <c r="M361" t="inlineStr">
        <is>
          <t>视野内部</t>
        </is>
      </c>
      <c r="N361" t="inlineStr">
        <is>
          <t>纳入A/D/Dh；若有Pair_ID则纳入CWR</t>
        </is>
      </c>
      <c r="O361" t="inlineStr">
        <is>
          <t>自动管线检出的合格导管腔。</t>
        </is>
      </c>
      <c r="P361" t="inlineStr">
        <is>
          <t>auto_pipeline;review_png_green</t>
        </is>
      </c>
      <c r="R361" t="inlineStr">
        <is>
          <t>样品51</t>
        </is>
      </c>
    </row>
    <row r="362">
      <c r="A362" t="inlineStr">
        <is>
          <t>51(6)-V01</t>
        </is>
      </c>
      <c r="B362" t="inlineStr">
        <is>
          <t>51 (6).tif</t>
        </is>
      </c>
      <c r="C362" t="n">
        <v>502</v>
      </c>
      <c r="D362" t="n">
        <v>397</v>
      </c>
      <c r="E362" t="inlineStr">
        <is>
          <t>408,308,597,487</t>
        </is>
      </c>
      <c r="F362" t="n">
        <v>281</v>
      </c>
      <c r="G362" t="inlineStr">
        <is>
          <t>primary</t>
        </is>
      </c>
      <c r="H362" t="inlineStr">
        <is>
          <t>AUTO_VESSEL</t>
        </is>
      </c>
      <c r="I362" t="inlineStr">
        <is>
          <t>是</t>
        </is>
      </c>
      <c r="J362" t="inlineStr">
        <is>
          <t>纳入</t>
        </is>
      </c>
      <c r="K362" t="n">
        <v>1237.098298676749</v>
      </c>
      <c r="L362">
        <f>导管母表_860!G362</f>
        <v/>
      </c>
      <c r="M362" t="inlineStr">
        <is>
          <t>视野内部</t>
        </is>
      </c>
      <c r="N362" t="inlineStr">
        <is>
          <t>纳入A/D/Dh；若有Pair_ID则纳入CWR</t>
        </is>
      </c>
      <c r="O362" t="inlineStr">
        <is>
          <t>自动管线检出的合格导管腔。</t>
        </is>
      </c>
      <c r="P362" t="inlineStr">
        <is>
          <t>auto_pipeline;review_png_green</t>
        </is>
      </c>
      <c r="Q362" t="inlineStr">
        <is>
          <t>51(6)-P01</t>
        </is>
      </c>
      <c r="R362" t="inlineStr">
        <is>
          <t>样品51</t>
        </is>
      </c>
    </row>
    <row r="363">
      <c r="A363" t="inlineStr">
        <is>
          <t>51(6)-V02</t>
        </is>
      </c>
      <c r="B363" t="inlineStr">
        <is>
          <t>51 (6).tif</t>
        </is>
      </c>
      <c r="C363" t="n">
        <v>378</v>
      </c>
      <c r="D363" t="n">
        <v>269</v>
      </c>
      <c r="E363" t="inlineStr">
        <is>
          <t>305,193,452,346</t>
        </is>
      </c>
      <c r="F363" t="n">
        <v>193</v>
      </c>
      <c r="G363" t="inlineStr">
        <is>
          <t>primary</t>
        </is>
      </c>
      <c r="H363" t="inlineStr">
        <is>
          <t>AUTO_VESSEL</t>
        </is>
      </c>
      <c r="I363" t="inlineStr">
        <is>
          <t>是</t>
        </is>
      </c>
      <c r="J363" t="inlineStr">
        <is>
          <t>纳入</t>
        </is>
      </c>
      <c r="K363" t="n">
        <v>801.0160680529301</v>
      </c>
      <c r="L363">
        <f>导管母表_860!G363</f>
        <v/>
      </c>
      <c r="M363" t="inlineStr">
        <is>
          <t>视野内部</t>
        </is>
      </c>
      <c r="N363" t="inlineStr">
        <is>
          <t>纳入A/D/Dh；若有Pair_ID则纳入CWR</t>
        </is>
      </c>
      <c r="O363" t="inlineStr">
        <is>
          <t>自动管线检出的合格导管腔。</t>
        </is>
      </c>
      <c r="P363" t="inlineStr">
        <is>
          <t>auto_pipeline;review_png_green</t>
        </is>
      </c>
      <c r="Q363" t="inlineStr">
        <is>
          <t>51(6)-P01</t>
        </is>
      </c>
      <c r="R363" t="inlineStr">
        <is>
          <t>样品51</t>
        </is>
      </c>
    </row>
    <row r="364">
      <c r="A364" t="inlineStr">
        <is>
          <t>51(6)-V03</t>
        </is>
      </c>
      <c r="B364" t="inlineStr">
        <is>
          <t>51 (6).tif</t>
        </is>
      </c>
      <c r="C364" t="n">
        <v>919</v>
      </c>
      <c r="D364" t="n">
        <v>139</v>
      </c>
      <c r="E364" t="inlineStr">
        <is>
          <t>864,79,975,200</t>
        </is>
      </c>
      <c r="F364" t="n">
        <v>49</v>
      </c>
      <c r="G364" t="inlineStr">
        <is>
          <t>primary</t>
        </is>
      </c>
      <c r="H364" t="inlineStr">
        <is>
          <t>AUTO_VESSEL</t>
        </is>
      </c>
      <c r="I364" t="inlineStr">
        <is>
          <t>是</t>
        </is>
      </c>
      <c r="J364" t="inlineStr">
        <is>
          <t>纳入</t>
        </is>
      </c>
      <c r="K364" t="n">
        <v>488.7996219281663</v>
      </c>
      <c r="L364">
        <f>导管母表_860!G364</f>
        <v/>
      </c>
      <c r="M364" t="inlineStr">
        <is>
          <t>视野内部</t>
        </is>
      </c>
      <c r="N364" t="inlineStr">
        <is>
          <t>纳入A/D/Dh；若有Pair_ID则纳入CWR</t>
        </is>
      </c>
      <c r="O364" t="inlineStr">
        <is>
          <t>自动管线检出的合格导管腔。</t>
        </is>
      </c>
      <c r="P364" t="inlineStr">
        <is>
          <t>auto_pipeline;review_png_green</t>
        </is>
      </c>
      <c r="R364" t="inlineStr">
        <is>
          <t>样品51</t>
        </is>
      </c>
    </row>
    <row r="365">
      <c r="A365" t="inlineStr">
        <is>
          <t>51(6)-V04</t>
        </is>
      </c>
      <c r="B365" t="inlineStr">
        <is>
          <t>51 (6).tif</t>
        </is>
      </c>
      <c r="C365" t="n">
        <v>181</v>
      </c>
      <c r="D365" t="n">
        <v>283</v>
      </c>
      <c r="E365" t="inlineStr">
        <is>
          <t>126,233,237,334</t>
        </is>
      </c>
      <c r="F365" t="n">
        <v>126</v>
      </c>
      <c r="G365" t="inlineStr">
        <is>
          <t>primary</t>
        </is>
      </c>
      <c r="H365" t="inlineStr">
        <is>
          <t>AUTO_VESSEL</t>
        </is>
      </c>
      <c r="I365" t="inlineStr">
        <is>
          <t>是</t>
        </is>
      </c>
      <c r="J365" t="inlineStr">
        <is>
          <t>纳入</t>
        </is>
      </c>
      <c r="K365" t="n">
        <v>398.9603024574669</v>
      </c>
      <c r="L365">
        <f>导管母表_860!G365</f>
        <v/>
      </c>
      <c r="M365" t="inlineStr">
        <is>
          <t>视野内部</t>
        </is>
      </c>
      <c r="N365" t="inlineStr">
        <is>
          <t>纳入A/D/Dh；若有Pair_ID则纳入CWR</t>
        </is>
      </c>
      <c r="O365" t="inlineStr">
        <is>
          <t>自动管线检出的合格导管腔。</t>
        </is>
      </c>
      <c r="P365" t="inlineStr">
        <is>
          <t>auto_pipeline;review_png_green</t>
        </is>
      </c>
      <c r="R365" t="inlineStr">
        <is>
          <t>样品51</t>
        </is>
      </c>
    </row>
    <row r="366">
      <c r="A366" t="inlineStr">
        <is>
          <t>51(6)-V05</t>
        </is>
      </c>
      <c r="B366" t="inlineStr">
        <is>
          <t>51 (6).tif</t>
        </is>
      </c>
      <c r="C366" t="n">
        <v>281</v>
      </c>
      <c r="D366" t="n">
        <v>332</v>
      </c>
      <c r="E366" t="inlineStr">
        <is>
          <t>254,284,309,381</t>
        </is>
      </c>
      <c r="F366" t="n">
        <v>254</v>
      </c>
      <c r="G366" t="inlineStr">
        <is>
          <t>primary</t>
        </is>
      </c>
      <c r="H366" t="inlineStr">
        <is>
          <t>AUTO_VESSEL</t>
        </is>
      </c>
      <c r="I366" t="inlineStr">
        <is>
          <t>是</t>
        </is>
      </c>
      <c r="J366" t="inlineStr">
        <is>
          <t>纳入</t>
        </is>
      </c>
      <c r="K366" t="n">
        <v>170.6521739130435</v>
      </c>
      <c r="L366">
        <f>导管母表_860!G366</f>
        <v/>
      </c>
      <c r="M366" t="inlineStr">
        <is>
          <t>视野内部</t>
        </is>
      </c>
      <c r="N366" t="inlineStr">
        <is>
          <t>纳入A/D/Dh；若有Pair_ID则纳入CWR</t>
        </is>
      </c>
      <c r="O366" t="inlineStr">
        <is>
          <t>自动管线检出的合格导管腔。</t>
        </is>
      </c>
      <c r="P366" t="inlineStr">
        <is>
          <t>auto_pipeline;review_png_green</t>
        </is>
      </c>
      <c r="R366" t="inlineStr">
        <is>
          <t>样品51</t>
        </is>
      </c>
    </row>
    <row r="367">
      <c r="A367" t="inlineStr">
        <is>
          <t>51(6)-V06</t>
        </is>
      </c>
      <c r="B367" t="inlineStr">
        <is>
          <t>51 (6).tif</t>
        </is>
      </c>
      <c r="C367" t="n">
        <v>700</v>
      </c>
      <c r="D367" t="n">
        <v>231</v>
      </c>
      <c r="E367" t="inlineStr">
        <is>
          <t>665,198,736,265</t>
        </is>
      </c>
      <c r="F367" t="n">
        <v>198</v>
      </c>
      <c r="G367" t="inlineStr">
        <is>
          <t>primary</t>
        </is>
      </c>
      <c r="H367" t="inlineStr">
        <is>
          <t>AUTO_VESSEL</t>
        </is>
      </c>
      <c r="I367" t="inlineStr">
        <is>
          <t>是</t>
        </is>
      </c>
      <c r="J367" t="inlineStr">
        <is>
          <t>纳入</t>
        </is>
      </c>
      <c r="K367" t="n">
        <v>119.7542533081285</v>
      </c>
      <c r="L367">
        <f>导管母表_860!G367</f>
        <v/>
      </c>
      <c r="M367" t="inlineStr">
        <is>
          <t>视野内部</t>
        </is>
      </c>
      <c r="N367" t="inlineStr">
        <is>
          <t>纳入A/D/Dh；若有Pair_ID则纳入CWR</t>
        </is>
      </c>
      <c r="O367" t="inlineStr">
        <is>
          <t>自动管线检出的合格导管腔。</t>
        </is>
      </c>
      <c r="P367" t="inlineStr">
        <is>
          <t>auto_pipeline;review_png_green</t>
        </is>
      </c>
      <c r="R367" t="inlineStr">
        <is>
          <t>样品51</t>
        </is>
      </c>
    </row>
    <row r="368">
      <c r="A368" t="inlineStr">
        <is>
          <t>51(6)-V07</t>
        </is>
      </c>
      <c r="B368" t="inlineStr">
        <is>
          <t>51 (6).tif</t>
        </is>
      </c>
      <c r="C368" t="n">
        <v>726</v>
      </c>
      <c r="D368" t="n">
        <v>626</v>
      </c>
      <c r="E368" t="inlineStr">
        <is>
          <t>687,602,766,651</t>
        </is>
      </c>
      <c r="F368" t="n">
        <v>117</v>
      </c>
      <c r="G368" t="inlineStr">
        <is>
          <t>primary</t>
        </is>
      </c>
      <c r="H368" t="inlineStr">
        <is>
          <t>AUTO_VESSEL</t>
        </is>
      </c>
      <c r="I368" t="inlineStr">
        <is>
          <t>是</t>
        </is>
      </c>
      <c r="J368" t="inlineStr">
        <is>
          <t>纳入</t>
        </is>
      </c>
      <c r="K368" t="n">
        <v>118.0293005671078</v>
      </c>
      <c r="L368">
        <f>导管母表_860!G368</f>
        <v/>
      </c>
      <c r="M368" t="inlineStr">
        <is>
          <t>视野内部</t>
        </is>
      </c>
      <c r="N368" t="inlineStr">
        <is>
          <t>纳入A/D/Dh；若有Pair_ID则纳入CWR</t>
        </is>
      </c>
      <c r="O368" t="inlineStr">
        <is>
          <t>自动管线检出的合格导管腔。</t>
        </is>
      </c>
      <c r="P368" t="inlineStr">
        <is>
          <t>auto_pipeline;review_png_green</t>
        </is>
      </c>
      <c r="R368" t="inlineStr">
        <is>
          <t>样品51</t>
        </is>
      </c>
    </row>
    <row r="369">
      <c r="A369" t="inlineStr">
        <is>
          <t>51(7)-V01</t>
        </is>
      </c>
      <c r="B369" t="inlineStr">
        <is>
          <t>51 (7).tif</t>
        </is>
      </c>
      <c r="C369" t="n">
        <v>544</v>
      </c>
      <c r="D369" t="n">
        <v>433</v>
      </c>
      <c r="E369" t="inlineStr">
        <is>
          <t>481,368,608,499</t>
        </is>
      </c>
      <c r="F369" t="n">
        <v>269</v>
      </c>
      <c r="G369" t="inlineStr">
        <is>
          <t>primary</t>
        </is>
      </c>
      <c r="H369" t="inlineStr">
        <is>
          <t>AUTO_VESSEL</t>
        </is>
      </c>
      <c r="I369" t="inlineStr">
        <is>
          <t>是</t>
        </is>
      </c>
      <c r="J369" t="inlineStr">
        <is>
          <t>纳入</t>
        </is>
      </c>
      <c r="K369" t="n">
        <v>608.0576559546314</v>
      </c>
      <c r="L369">
        <f>导管母表_860!G369</f>
        <v/>
      </c>
      <c r="M369" t="inlineStr">
        <is>
          <t>视野内部</t>
        </is>
      </c>
      <c r="N369" t="inlineStr">
        <is>
          <t>纳入A/D/Dh；若有Pair_ID则纳入CWR</t>
        </is>
      </c>
      <c r="O369" t="inlineStr">
        <is>
          <t>自动管线检出的合格导管腔。</t>
        </is>
      </c>
      <c r="P369" t="inlineStr">
        <is>
          <t>auto_pipeline;review_png_green</t>
        </is>
      </c>
      <c r="R369" t="inlineStr">
        <is>
          <t>样品51</t>
        </is>
      </c>
    </row>
    <row r="370">
      <c r="A370" t="inlineStr">
        <is>
          <t>51(7)-V02</t>
        </is>
      </c>
      <c r="B370" t="inlineStr">
        <is>
          <t>51 (7).tif</t>
        </is>
      </c>
      <c r="C370" t="n">
        <v>786</v>
      </c>
      <c r="D370" t="n">
        <v>454</v>
      </c>
      <c r="E370" t="inlineStr">
        <is>
          <t>722,392,851,517</t>
        </is>
      </c>
      <c r="F370" t="n">
        <v>173</v>
      </c>
      <c r="G370" t="inlineStr">
        <is>
          <t>primary</t>
        </is>
      </c>
      <c r="H370" t="inlineStr">
        <is>
          <t>AUTO_VESSEL</t>
        </is>
      </c>
      <c r="I370" t="inlineStr">
        <is>
          <t>是</t>
        </is>
      </c>
      <c r="J370" t="inlineStr">
        <is>
          <t>纳入</t>
        </is>
      </c>
      <c r="K370" t="n">
        <v>586.2712665406427</v>
      </c>
      <c r="L370">
        <f>导管母表_860!G370</f>
        <v/>
      </c>
      <c r="M370" t="inlineStr">
        <is>
          <t>视野内部</t>
        </is>
      </c>
      <c r="N370" t="inlineStr">
        <is>
          <t>纳入A/D/Dh；若有Pair_ID则纳入CWR</t>
        </is>
      </c>
      <c r="O370" t="inlineStr">
        <is>
          <t>自动管线检出的合格导管腔。</t>
        </is>
      </c>
      <c r="P370" t="inlineStr">
        <is>
          <t>auto_pipeline;review_png_green</t>
        </is>
      </c>
      <c r="R370" t="inlineStr">
        <is>
          <t>样品51</t>
        </is>
      </c>
    </row>
    <row r="371">
      <c r="A371" t="inlineStr">
        <is>
          <t>51(7)-V03</t>
        </is>
      </c>
      <c r="B371" t="inlineStr">
        <is>
          <t>51 (7).tif</t>
        </is>
      </c>
      <c r="C371" t="n">
        <v>429</v>
      </c>
      <c r="D371" t="n">
        <v>335</v>
      </c>
      <c r="E371" t="inlineStr">
        <is>
          <t>376,276,483,395</t>
        </is>
      </c>
      <c r="F371" t="n">
        <v>276</v>
      </c>
      <c r="G371" t="inlineStr">
        <is>
          <t>primary</t>
        </is>
      </c>
      <c r="H371" t="inlineStr">
        <is>
          <t>AUTO_VESSEL</t>
        </is>
      </c>
      <c r="I371" t="inlineStr">
        <is>
          <t>是</t>
        </is>
      </c>
      <c r="J371" t="inlineStr">
        <is>
          <t>纳入</t>
        </is>
      </c>
      <c r="K371" t="n">
        <v>463.9886578449905</v>
      </c>
      <c r="L371">
        <f>导管母表_860!G371</f>
        <v/>
      </c>
      <c r="M371" t="inlineStr">
        <is>
          <t>视野内部</t>
        </is>
      </c>
      <c r="N371" t="inlineStr">
        <is>
          <t>纳入A/D/Dh；若有Pair_ID则纳入CWR</t>
        </is>
      </c>
      <c r="O371" t="inlineStr">
        <is>
          <t>自动管线检出的合格导管腔。</t>
        </is>
      </c>
      <c r="P371" t="inlineStr">
        <is>
          <t>auto_pipeline;review_png_green</t>
        </is>
      </c>
      <c r="R371" t="inlineStr">
        <is>
          <t>样品51</t>
        </is>
      </c>
    </row>
    <row r="372">
      <c r="A372" t="inlineStr">
        <is>
          <t>51(7)-V04</t>
        </is>
      </c>
      <c r="B372" t="inlineStr">
        <is>
          <t>51 (7).tif</t>
        </is>
      </c>
      <c r="C372" t="n">
        <v>544</v>
      </c>
      <c r="D372" t="n">
        <v>146</v>
      </c>
      <c r="E372" t="inlineStr">
        <is>
          <t>516,99,573,194</t>
        </is>
      </c>
      <c r="F372" t="n">
        <v>99</v>
      </c>
      <c r="G372" t="inlineStr">
        <is>
          <t>primary</t>
        </is>
      </c>
      <c r="H372" t="inlineStr">
        <is>
          <t>AUTO_VESSEL</t>
        </is>
      </c>
      <c r="I372" t="inlineStr">
        <is>
          <t>是</t>
        </is>
      </c>
      <c r="J372" t="inlineStr">
        <is>
          <t>纳入</t>
        </is>
      </c>
      <c r="K372" t="n">
        <v>195.4158790170132</v>
      </c>
      <c r="L372">
        <f>导管母表_860!G372</f>
        <v/>
      </c>
      <c r="M372" t="inlineStr">
        <is>
          <t>视野内部</t>
        </is>
      </c>
      <c r="N372" t="inlineStr">
        <is>
          <t>纳入A/D/Dh；若有Pair_ID则纳入CWR</t>
        </is>
      </c>
      <c r="O372" t="inlineStr">
        <is>
          <t>自动管线检出的合格导管腔。</t>
        </is>
      </c>
      <c r="P372" t="inlineStr">
        <is>
          <t>auto_pipeline;review_png_green</t>
        </is>
      </c>
      <c r="R372" t="inlineStr">
        <is>
          <t>样品51</t>
        </is>
      </c>
    </row>
    <row r="373">
      <c r="A373" t="inlineStr">
        <is>
          <t>51(7)-V05</t>
        </is>
      </c>
      <c r="B373" t="inlineStr">
        <is>
          <t>51 (7).tif</t>
        </is>
      </c>
      <c r="C373" t="n">
        <v>504</v>
      </c>
      <c r="D373" t="n">
        <v>259</v>
      </c>
      <c r="E373" t="inlineStr">
        <is>
          <t>460,236,549,283</t>
        </is>
      </c>
      <c r="F373" t="n">
        <v>236</v>
      </c>
      <c r="G373" t="inlineStr">
        <is>
          <t>primary</t>
        </is>
      </c>
      <c r="H373" t="inlineStr">
        <is>
          <t>AUTO_VESSEL</t>
        </is>
      </c>
      <c r="I373" t="inlineStr">
        <is>
          <t>是</t>
        </is>
      </c>
      <c r="J373" t="inlineStr">
        <is>
          <t>纳入</t>
        </is>
      </c>
      <c r="K373" t="n">
        <v>140.4773156899811</v>
      </c>
      <c r="L373">
        <f>导管母表_860!G373</f>
        <v/>
      </c>
      <c r="M373" t="inlineStr">
        <is>
          <t>视野内部</t>
        </is>
      </c>
      <c r="N373" t="inlineStr">
        <is>
          <t>纳入A/D/Dh；若有Pair_ID则纳入CWR</t>
        </is>
      </c>
      <c r="O373" t="inlineStr">
        <is>
          <t>自动管线检出的合格导管腔。</t>
        </is>
      </c>
      <c r="P373" t="inlineStr">
        <is>
          <t>auto_pipeline;review_png_green</t>
        </is>
      </c>
      <c r="R373" t="inlineStr">
        <is>
          <t>样品51</t>
        </is>
      </c>
    </row>
    <row r="374">
      <c r="A374" t="inlineStr">
        <is>
          <t>51(7)-V06</t>
        </is>
      </c>
      <c r="B374" t="inlineStr">
        <is>
          <t>51 (7).tif</t>
        </is>
      </c>
      <c r="C374" t="n">
        <v>203</v>
      </c>
      <c r="D374" t="n">
        <v>421</v>
      </c>
      <c r="E374" t="inlineStr">
        <is>
          <t>165,383,242,460</t>
        </is>
      </c>
      <c r="F374" t="n">
        <v>165</v>
      </c>
      <c r="G374" t="inlineStr">
        <is>
          <t>primary</t>
        </is>
      </c>
      <c r="H374" t="inlineStr">
        <is>
          <t>AUTO_VESSEL</t>
        </is>
      </c>
      <c r="I374" t="inlineStr">
        <is>
          <t>是</t>
        </is>
      </c>
      <c r="J374" t="inlineStr">
        <is>
          <t>纳入</t>
        </is>
      </c>
      <c r="K374" t="n">
        <v>128.6862003780718</v>
      </c>
      <c r="L374">
        <f>导管母表_860!G374</f>
        <v/>
      </c>
      <c r="M374" t="inlineStr">
        <is>
          <t>视野内部</t>
        </is>
      </c>
      <c r="N374" t="inlineStr">
        <is>
          <t>纳入A/D/Dh；若有Pair_ID则纳入CWR</t>
        </is>
      </c>
      <c r="O374" t="inlineStr">
        <is>
          <t>自动管线检出的合格导管腔。</t>
        </is>
      </c>
      <c r="P374" t="inlineStr">
        <is>
          <t>auto_pipeline;review_png_green</t>
        </is>
      </c>
      <c r="R374" t="inlineStr">
        <is>
          <t>样品51</t>
        </is>
      </c>
    </row>
    <row r="375">
      <c r="A375" t="inlineStr">
        <is>
          <t>51(8)-V01</t>
        </is>
      </c>
      <c r="B375" t="inlineStr">
        <is>
          <t>51 (8).tif</t>
        </is>
      </c>
      <c r="C375" t="n">
        <v>579</v>
      </c>
      <c r="D375" t="n">
        <v>334</v>
      </c>
      <c r="E375" t="inlineStr">
        <is>
          <t>496,258,663,411</t>
        </is>
      </c>
      <c r="F375" t="n">
        <v>258</v>
      </c>
      <c r="G375" t="inlineStr">
        <is>
          <t>primary</t>
        </is>
      </c>
      <c r="H375" t="inlineStr">
        <is>
          <t>AUTO_VESSEL</t>
        </is>
      </c>
      <c r="I375" t="inlineStr">
        <is>
          <t>是</t>
        </is>
      </c>
      <c r="J375" t="inlineStr">
        <is>
          <t>纳入</t>
        </is>
      </c>
      <c r="K375" t="n">
        <v>935.7750472589792</v>
      </c>
      <c r="L375">
        <f>导管母表_860!G375</f>
        <v/>
      </c>
      <c r="M375" t="inlineStr">
        <is>
          <t>视野内部</t>
        </is>
      </c>
      <c r="N375" t="inlineStr">
        <is>
          <t>纳入A/D/Dh；若有Pair_ID则纳入CWR</t>
        </is>
      </c>
      <c r="O375" t="inlineStr">
        <is>
          <t>自动管线检出的合格导管腔。</t>
        </is>
      </c>
      <c r="P375" t="inlineStr">
        <is>
          <t>auto_pipeline;review_png_green</t>
        </is>
      </c>
      <c r="R375" t="inlineStr">
        <is>
          <t>样品51</t>
        </is>
      </c>
    </row>
    <row r="376">
      <c r="A376" t="inlineStr">
        <is>
          <t>51(8)-V02</t>
        </is>
      </c>
      <c r="B376" t="inlineStr">
        <is>
          <t>51 (8).tif</t>
        </is>
      </c>
      <c r="C376" t="n">
        <v>163</v>
      </c>
      <c r="D376" t="n">
        <v>410</v>
      </c>
      <c r="E376" t="inlineStr">
        <is>
          <t>83,337,244,484</t>
        </is>
      </c>
      <c r="F376" t="n">
        <v>83</v>
      </c>
      <c r="G376" t="inlineStr">
        <is>
          <t>primary</t>
        </is>
      </c>
      <c r="H376" t="inlineStr">
        <is>
          <t>AUTO_VESSEL</t>
        </is>
      </c>
      <c r="I376" t="inlineStr">
        <is>
          <t>是</t>
        </is>
      </c>
      <c r="J376" t="inlineStr">
        <is>
          <t>纳入</t>
        </is>
      </c>
      <c r="K376" t="n">
        <v>844.9196597353497</v>
      </c>
      <c r="L376">
        <f>导管母表_860!G376</f>
        <v/>
      </c>
      <c r="M376" t="inlineStr">
        <is>
          <t>视野内部</t>
        </is>
      </c>
      <c r="N376" t="inlineStr">
        <is>
          <t>纳入A/D/Dh；若有Pair_ID则纳入CWR</t>
        </is>
      </c>
      <c r="O376" t="inlineStr">
        <is>
          <t>自动管线检出的合格导管腔。</t>
        </is>
      </c>
      <c r="P376" t="inlineStr">
        <is>
          <t>auto_pipeline;review_png_green</t>
        </is>
      </c>
      <c r="R376" t="inlineStr">
        <is>
          <t>样品51</t>
        </is>
      </c>
    </row>
    <row r="377">
      <c r="A377" t="inlineStr">
        <is>
          <t>51(8)-V03</t>
        </is>
      </c>
      <c r="B377" t="inlineStr">
        <is>
          <t>51 (8).tif</t>
        </is>
      </c>
      <c r="C377" t="n">
        <v>400</v>
      </c>
      <c r="D377" t="n">
        <v>376</v>
      </c>
      <c r="E377" t="inlineStr">
        <is>
          <t>333,309,468,444</t>
        </is>
      </c>
      <c r="F377" t="n">
        <v>309</v>
      </c>
      <c r="G377" t="inlineStr">
        <is>
          <t>primary</t>
        </is>
      </c>
      <c r="H377" t="inlineStr">
        <is>
          <t>AUTO_VESSEL</t>
        </is>
      </c>
      <c r="I377" t="inlineStr">
        <is>
          <t>是</t>
        </is>
      </c>
      <c r="J377" t="inlineStr">
        <is>
          <t>纳入</t>
        </is>
      </c>
      <c r="K377" t="n">
        <v>666.0680529300568</v>
      </c>
      <c r="L377">
        <f>导管母表_860!G377</f>
        <v/>
      </c>
      <c r="M377" t="inlineStr">
        <is>
          <t>视野内部</t>
        </is>
      </c>
      <c r="N377" t="inlineStr">
        <is>
          <t>纳入A/D/Dh；若有Pair_ID则纳入CWR</t>
        </is>
      </c>
      <c r="O377" t="inlineStr">
        <is>
          <t>自动管线检出的合格导管腔。</t>
        </is>
      </c>
      <c r="P377" t="inlineStr">
        <is>
          <t>auto_pipeline;review_png_green</t>
        </is>
      </c>
      <c r="R377" t="inlineStr">
        <is>
          <t>样品51</t>
        </is>
      </c>
    </row>
    <row r="378">
      <c r="A378" t="inlineStr">
        <is>
          <t>51(8)-V04</t>
        </is>
      </c>
      <c r="B378" t="inlineStr">
        <is>
          <t>51 (8).tif</t>
        </is>
      </c>
      <c r="C378" t="n">
        <v>947</v>
      </c>
      <c r="D378" t="n">
        <v>527</v>
      </c>
      <c r="E378" t="inlineStr">
        <is>
          <t>890,468,1005,587</t>
        </is>
      </c>
      <c r="F378" t="n">
        <v>19</v>
      </c>
      <c r="G378" t="inlineStr">
        <is>
          <t>primary</t>
        </is>
      </c>
      <c r="H378" t="inlineStr">
        <is>
          <t>AUTO_VESSEL</t>
        </is>
      </c>
      <c r="I378" t="inlineStr">
        <is>
          <t>是</t>
        </is>
      </c>
      <c r="J378" t="inlineStr">
        <is>
          <t>纳入</t>
        </is>
      </c>
      <c r="K378" t="n">
        <v>461.0822306238185</v>
      </c>
      <c r="L378">
        <f>导管母表_860!G378</f>
        <v/>
      </c>
      <c r="M378" t="inlineStr">
        <is>
          <t>近边缘（&lt;25 px）</t>
        </is>
      </c>
      <c r="N378" t="inlineStr">
        <is>
          <t>纳入A/D/Dh；若有Pair_ID则纳入CWR</t>
        </is>
      </c>
      <c r="O378" t="inlineStr">
        <is>
          <t>自动管线检出的合格导管腔。</t>
        </is>
      </c>
      <c r="P378" t="inlineStr">
        <is>
          <t>auto_pipeline;review_png_green</t>
        </is>
      </c>
      <c r="R378" t="inlineStr">
        <is>
          <t>样品51</t>
        </is>
      </c>
    </row>
    <row r="379">
      <c r="A379" t="inlineStr">
        <is>
          <t>51(8)-V05</t>
        </is>
      </c>
      <c r="B379" t="inlineStr">
        <is>
          <t>51 (8).tif</t>
        </is>
      </c>
      <c r="C379" t="n">
        <v>753</v>
      </c>
      <c r="D379" t="n">
        <v>74</v>
      </c>
      <c r="E379" t="inlineStr">
        <is>
          <t>690,33,817,116</t>
        </is>
      </c>
      <c r="F379" t="n">
        <v>33</v>
      </c>
      <c r="G379" t="inlineStr">
        <is>
          <t>primary</t>
        </is>
      </c>
      <c r="H379" t="inlineStr">
        <is>
          <t>AUTO_VESSEL</t>
        </is>
      </c>
      <c r="I379" t="inlineStr">
        <is>
          <t>是</t>
        </is>
      </c>
      <c r="J379" t="inlineStr">
        <is>
          <t>纳入</t>
        </is>
      </c>
      <c r="K379" t="n">
        <v>356.4272211720227</v>
      </c>
      <c r="L379">
        <f>导管母表_860!G379</f>
        <v/>
      </c>
      <c r="M379" t="inlineStr">
        <is>
          <t>视野内部</t>
        </is>
      </c>
      <c r="N379" t="inlineStr">
        <is>
          <t>纳入A/D/Dh；若有Pair_ID则纳入CWR</t>
        </is>
      </c>
      <c r="O379" t="inlineStr">
        <is>
          <t>自动管线检出的合格导管腔。</t>
        </is>
      </c>
      <c r="P379" t="inlineStr">
        <is>
          <t>auto_pipeline;review_png_green</t>
        </is>
      </c>
      <c r="R379" t="inlineStr">
        <is>
          <t>样品51</t>
        </is>
      </c>
    </row>
    <row r="380">
      <c r="A380" t="inlineStr">
        <is>
          <t>51(8)-V06</t>
        </is>
      </c>
      <c r="B380" t="inlineStr">
        <is>
          <t>51 (8).tif</t>
        </is>
      </c>
      <c r="C380" t="n">
        <v>281</v>
      </c>
      <c r="D380" t="n">
        <v>117</v>
      </c>
      <c r="E380" t="inlineStr">
        <is>
          <t>251,82,312,153</t>
        </is>
      </c>
      <c r="F380" t="n">
        <v>82</v>
      </c>
      <c r="G380" t="inlineStr">
        <is>
          <t>primary</t>
        </is>
      </c>
      <c r="H380" t="inlineStr">
        <is>
          <t>AUTO_VESSEL</t>
        </is>
      </c>
      <c r="I380" t="inlineStr">
        <is>
          <t>是</t>
        </is>
      </c>
      <c r="J380" t="inlineStr">
        <is>
          <t>纳入</t>
        </is>
      </c>
      <c r="K380" t="n">
        <v>153.9697542533081</v>
      </c>
      <c r="L380">
        <f>导管母表_860!G380</f>
        <v/>
      </c>
      <c r="M380" t="inlineStr">
        <is>
          <t>视野内部</t>
        </is>
      </c>
      <c r="N380" t="inlineStr">
        <is>
          <t>纳入A/D/Dh；若有Pair_ID则纳入CWR</t>
        </is>
      </c>
      <c r="O380" t="inlineStr">
        <is>
          <t>自动管线检出的合格导管腔。</t>
        </is>
      </c>
      <c r="P380" t="inlineStr">
        <is>
          <t>auto_pipeline;review_png_green</t>
        </is>
      </c>
      <c r="R380" t="inlineStr">
        <is>
          <t>样品51</t>
        </is>
      </c>
    </row>
    <row r="381">
      <c r="A381" t="inlineStr">
        <is>
          <t>52(1)-V01</t>
        </is>
      </c>
      <c r="B381" t="inlineStr">
        <is>
          <t>52 (1).tif</t>
        </is>
      </c>
      <c r="C381" t="n">
        <v>460</v>
      </c>
      <c r="D381" t="n">
        <v>392</v>
      </c>
      <c r="E381" t="inlineStr">
        <is>
          <t>395,330,526,455</t>
        </is>
      </c>
      <c r="F381" t="n">
        <v>313</v>
      </c>
      <c r="G381" t="inlineStr">
        <is>
          <t>primary</t>
        </is>
      </c>
      <c r="H381" t="inlineStr">
        <is>
          <t>AUTO_VESSEL</t>
        </is>
      </c>
      <c r="I381" t="inlineStr">
        <is>
          <t>是</t>
        </is>
      </c>
      <c r="J381" t="inlineStr">
        <is>
          <t>纳入</t>
        </is>
      </c>
      <c r="K381" t="n">
        <v>591.4933837429112</v>
      </c>
      <c r="L381">
        <f>导管母表_860!G381</f>
        <v/>
      </c>
      <c r="M381" t="inlineStr">
        <is>
          <t>视野内部</t>
        </is>
      </c>
      <c r="N381" t="inlineStr">
        <is>
          <t>纳入A/D/Dh；若有Pair_ID则纳入CWR</t>
        </is>
      </c>
      <c r="O381" t="inlineStr">
        <is>
          <t>自动管线检出的合格导管腔。</t>
        </is>
      </c>
      <c r="P381" t="inlineStr">
        <is>
          <t>auto_pipeline;review_png_green</t>
        </is>
      </c>
      <c r="R381" t="inlineStr">
        <is>
          <t>样品52</t>
        </is>
      </c>
    </row>
    <row r="382">
      <c r="A382" t="inlineStr">
        <is>
          <t>52(1)-V02</t>
        </is>
      </c>
      <c r="B382" t="inlineStr">
        <is>
          <t>52 (1).tif</t>
        </is>
      </c>
      <c r="C382" t="n">
        <v>276</v>
      </c>
      <c r="D382" t="n">
        <v>496</v>
      </c>
      <c r="E382" t="inlineStr">
        <is>
          <t>227,440,326,553</t>
        </is>
      </c>
      <c r="F382" t="n">
        <v>215</v>
      </c>
      <c r="G382" t="inlineStr">
        <is>
          <t>primary</t>
        </is>
      </c>
      <c r="H382" t="inlineStr">
        <is>
          <t>AUTO_VESSEL</t>
        </is>
      </c>
      <c r="I382" t="inlineStr">
        <is>
          <t>是</t>
        </is>
      </c>
      <c r="J382" t="inlineStr">
        <is>
          <t>纳入</t>
        </is>
      </c>
      <c r="K382" t="n">
        <v>389.1776937618147</v>
      </c>
      <c r="L382">
        <f>导管母表_860!G382</f>
        <v/>
      </c>
      <c r="M382" t="inlineStr">
        <is>
          <t>视野内部</t>
        </is>
      </c>
      <c r="N382" t="inlineStr">
        <is>
          <t>纳入A/D/Dh；若有Pair_ID则纳入CWR</t>
        </is>
      </c>
      <c r="O382" t="inlineStr">
        <is>
          <t>自动管线检出的合格导管腔。</t>
        </is>
      </c>
      <c r="P382" t="inlineStr">
        <is>
          <t>auto_pipeline;review_png_green</t>
        </is>
      </c>
      <c r="R382" t="inlineStr">
        <is>
          <t>样品52</t>
        </is>
      </c>
    </row>
    <row r="383">
      <c r="A383" t="inlineStr">
        <is>
          <t>52(1)-V03</t>
        </is>
      </c>
      <c r="B383" t="inlineStr">
        <is>
          <t>52 (1).tif</t>
        </is>
      </c>
      <c r="C383" t="n">
        <v>599</v>
      </c>
      <c r="D383" t="n">
        <v>333</v>
      </c>
      <c r="E383" t="inlineStr">
        <is>
          <t>553,282,646,385</t>
        </is>
      </c>
      <c r="F383" t="n">
        <v>282</v>
      </c>
      <c r="G383" t="inlineStr">
        <is>
          <t>primary</t>
        </is>
      </c>
      <c r="H383" t="inlineStr">
        <is>
          <t>AUTO_VESSEL</t>
        </is>
      </c>
      <c r="I383" t="inlineStr">
        <is>
          <t>是</t>
        </is>
      </c>
      <c r="J383" t="inlineStr">
        <is>
          <t>纳入</t>
        </is>
      </c>
      <c r="K383" t="n">
        <v>339.8393194706994</v>
      </c>
      <c r="L383">
        <f>导管母表_860!G383</f>
        <v/>
      </c>
      <c r="M383" t="inlineStr">
        <is>
          <t>视野内部</t>
        </is>
      </c>
      <c r="N383" t="inlineStr">
        <is>
          <t>纳入A/D/Dh；若有Pair_ID则纳入CWR</t>
        </is>
      </c>
      <c r="O383" t="inlineStr">
        <is>
          <t>自动管线检出的合格导管腔。</t>
        </is>
      </c>
      <c r="P383" t="inlineStr">
        <is>
          <t>auto_pipeline;review_png_green</t>
        </is>
      </c>
      <c r="R383" t="inlineStr">
        <is>
          <t>样品52</t>
        </is>
      </c>
    </row>
    <row r="384">
      <c r="A384" t="inlineStr">
        <is>
          <t>52(1)-V04</t>
        </is>
      </c>
      <c r="B384" t="inlineStr">
        <is>
          <t>52 (1).tif</t>
        </is>
      </c>
      <c r="C384" t="n">
        <v>187</v>
      </c>
      <c r="D384" t="n">
        <v>615</v>
      </c>
      <c r="E384" t="inlineStr">
        <is>
          <t>149,594,226,637</t>
        </is>
      </c>
      <c r="F384" t="n">
        <v>131</v>
      </c>
      <c r="G384" t="inlineStr">
        <is>
          <t>primary</t>
        </is>
      </c>
      <c r="H384" t="inlineStr">
        <is>
          <t>AUTO_VESSEL</t>
        </is>
      </c>
      <c r="I384" t="inlineStr">
        <is>
          <t>是</t>
        </is>
      </c>
      <c r="J384" t="inlineStr">
        <is>
          <t>纳入</t>
        </is>
      </c>
      <c r="K384" t="n">
        <v>109.9007561436673</v>
      </c>
      <c r="L384">
        <f>导管母表_860!G384</f>
        <v/>
      </c>
      <c r="M384" t="inlineStr">
        <is>
          <t>视野内部</t>
        </is>
      </c>
      <c r="N384" t="inlineStr">
        <is>
          <t>纳入A/D/Dh；若有Pair_ID则纳入CWR</t>
        </is>
      </c>
      <c r="O384" t="inlineStr">
        <is>
          <t>自动管线检出的合格导管腔。</t>
        </is>
      </c>
      <c r="P384" t="inlineStr">
        <is>
          <t>auto_pipeline;review_png_green</t>
        </is>
      </c>
      <c r="R384" t="inlineStr">
        <is>
          <t>样品52</t>
        </is>
      </c>
    </row>
    <row r="385">
      <c r="A385" t="inlineStr">
        <is>
          <t>52(2)-V01</t>
        </is>
      </c>
      <c r="B385" t="inlineStr">
        <is>
          <t>52 (2).tif</t>
        </is>
      </c>
      <c r="C385" t="n">
        <v>89</v>
      </c>
      <c r="D385" t="n">
        <v>137</v>
      </c>
      <c r="E385" t="inlineStr">
        <is>
          <t>27,79,152,196</t>
        </is>
      </c>
      <c r="F385" t="n">
        <v>27</v>
      </c>
      <c r="G385" t="inlineStr">
        <is>
          <t>primary</t>
        </is>
      </c>
      <c r="H385" t="inlineStr">
        <is>
          <t>AUTO_VESSEL</t>
        </is>
      </c>
      <c r="I385" t="inlineStr">
        <is>
          <t>是</t>
        </is>
      </c>
      <c r="J385" t="inlineStr">
        <is>
          <t>纳入</t>
        </is>
      </c>
      <c r="K385" t="n">
        <v>514.9574669187145</v>
      </c>
      <c r="L385">
        <f>导管母表_860!G385</f>
        <v/>
      </c>
      <c r="M385" t="inlineStr">
        <is>
          <t>视野内部</t>
        </is>
      </c>
      <c r="N385" t="inlineStr">
        <is>
          <t>纳入A/D/Dh；若有Pair_ID则纳入CWR</t>
        </is>
      </c>
      <c r="O385" t="inlineStr">
        <is>
          <t>自动管线检出的合格导管腔。</t>
        </is>
      </c>
      <c r="P385" t="inlineStr">
        <is>
          <t>auto_pipeline;review_png_green</t>
        </is>
      </c>
      <c r="R385" t="inlineStr">
        <is>
          <t>样品52</t>
        </is>
      </c>
    </row>
    <row r="386">
      <c r="A386" t="inlineStr">
        <is>
          <t>52(2)-V02</t>
        </is>
      </c>
      <c r="B386" t="inlineStr">
        <is>
          <t>52 (2).tif</t>
        </is>
      </c>
      <c r="C386" t="n">
        <v>429</v>
      </c>
      <c r="D386" t="n">
        <v>385</v>
      </c>
      <c r="E386" t="inlineStr">
        <is>
          <t>374,323,485,448</t>
        </is>
      </c>
      <c r="F386" t="n">
        <v>320</v>
      </c>
      <c r="G386" t="inlineStr">
        <is>
          <t>primary</t>
        </is>
      </c>
      <c r="H386" t="inlineStr">
        <is>
          <t>AUTO_VESSEL</t>
        </is>
      </c>
      <c r="I386" t="inlineStr">
        <is>
          <t>是</t>
        </is>
      </c>
      <c r="J386" t="inlineStr">
        <is>
          <t>纳入</t>
        </is>
      </c>
      <c r="K386" t="n">
        <v>506.0018903591683</v>
      </c>
      <c r="L386">
        <f>导管母表_860!G386</f>
        <v/>
      </c>
      <c r="M386" t="inlineStr">
        <is>
          <t>视野内部</t>
        </is>
      </c>
      <c r="N386" t="inlineStr">
        <is>
          <t>纳入A/D/Dh；若有Pair_ID则纳入CWR</t>
        </is>
      </c>
      <c r="O386" t="inlineStr">
        <is>
          <t>自动管线检出的合格导管腔。</t>
        </is>
      </c>
      <c r="P386" t="inlineStr">
        <is>
          <t>auto_pipeline;review_png_green</t>
        </is>
      </c>
      <c r="Q386" t="inlineStr">
        <is>
          <t>52(2)-P01</t>
        </is>
      </c>
      <c r="R386" t="inlineStr">
        <is>
          <t>样品52</t>
        </is>
      </c>
    </row>
    <row r="387">
      <c r="A387" t="inlineStr">
        <is>
          <t>52(2)-V03</t>
        </is>
      </c>
      <c r="B387" t="inlineStr">
        <is>
          <t>52 (2).tif</t>
        </is>
      </c>
      <c r="C387" t="n">
        <v>537</v>
      </c>
      <c r="D387" t="n">
        <v>302</v>
      </c>
      <c r="E387" t="inlineStr">
        <is>
          <t>498,251,577,354</t>
        </is>
      </c>
      <c r="F387" t="n">
        <v>251</v>
      </c>
      <c r="G387" t="inlineStr">
        <is>
          <t>primary</t>
        </is>
      </c>
      <c r="H387" t="inlineStr">
        <is>
          <t>AUTO_VESSEL</t>
        </is>
      </c>
      <c r="I387" t="inlineStr">
        <is>
          <t>是</t>
        </is>
      </c>
      <c r="J387" t="inlineStr">
        <is>
          <t>纳入</t>
        </is>
      </c>
      <c r="K387" t="n">
        <v>286.7438563327032</v>
      </c>
      <c r="L387">
        <f>导管母表_860!G387</f>
        <v/>
      </c>
      <c r="M387" t="inlineStr">
        <is>
          <t>视野内部</t>
        </is>
      </c>
      <c r="N387" t="inlineStr">
        <is>
          <t>纳入A/D/Dh；若有Pair_ID则纳入CWR</t>
        </is>
      </c>
      <c r="O387" t="inlineStr">
        <is>
          <t>自动管线检出的合格导管腔。</t>
        </is>
      </c>
      <c r="P387" t="inlineStr">
        <is>
          <t>auto_pipeline;review_png_green</t>
        </is>
      </c>
      <c r="Q387" t="inlineStr">
        <is>
          <t>52(2)-P01</t>
        </is>
      </c>
      <c r="R387" t="inlineStr">
        <is>
          <t>样品52</t>
        </is>
      </c>
    </row>
    <row r="388">
      <c r="A388" t="inlineStr">
        <is>
          <t>52(2)-V04</t>
        </is>
      </c>
      <c r="B388" t="inlineStr">
        <is>
          <t>52 (2).tif</t>
        </is>
      </c>
      <c r="C388" t="n">
        <v>922</v>
      </c>
      <c r="D388" t="n">
        <v>606</v>
      </c>
      <c r="E388" t="inlineStr">
        <is>
          <t>899,573,946,640</t>
        </is>
      </c>
      <c r="F388" t="n">
        <v>78</v>
      </c>
      <c r="G388" t="inlineStr">
        <is>
          <t>primary</t>
        </is>
      </c>
      <c r="H388" t="inlineStr">
        <is>
          <t>AUTO_VESSEL</t>
        </is>
      </c>
      <c r="I388" t="inlineStr">
        <is>
          <t>是</t>
        </is>
      </c>
      <c r="J388" t="inlineStr">
        <is>
          <t>纳入</t>
        </is>
      </c>
      <c r="K388" t="n">
        <v>112.9725897920605</v>
      </c>
      <c r="L388">
        <f>导管母表_860!G388</f>
        <v/>
      </c>
      <c r="M388" t="inlineStr">
        <is>
          <t>视野内部</t>
        </is>
      </c>
      <c r="N388" t="inlineStr">
        <is>
          <t>纳入A/D/Dh；若有Pair_ID则纳入CWR</t>
        </is>
      </c>
      <c r="O388" t="inlineStr">
        <is>
          <t>自动管线检出的合格导管腔。</t>
        </is>
      </c>
      <c r="P388" t="inlineStr">
        <is>
          <t>auto_pipeline;review_png_green</t>
        </is>
      </c>
      <c r="R388" t="inlineStr">
        <is>
          <t>样品52</t>
        </is>
      </c>
    </row>
    <row r="389">
      <c r="A389" t="inlineStr">
        <is>
          <t>52(3)-V01</t>
        </is>
      </c>
      <c r="B389" t="inlineStr">
        <is>
          <t>52 (3).tif</t>
        </is>
      </c>
      <c r="C389" t="n">
        <v>499</v>
      </c>
      <c r="D389" t="n">
        <v>265</v>
      </c>
      <c r="E389" t="inlineStr">
        <is>
          <t>427,201,572,330</t>
        </is>
      </c>
      <c r="F389" t="n">
        <v>201</v>
      </c>
      <c r="G389" t="inlineStr">
        <is>
          <t>primary</t>
        </is>
      </c>
      <c r="H389" t="inlineStr">
        <is>
          <t>AUTO_VESSEL</t>
        </is>
      </c>
      <c r="I389" t="inlineStr">
        <is>
          <t>是</t>
        </is>
      </c>
      <c r="J389" t="inlineStr">
        <is>
          <t>纳入</t>
        </is>
      </c>
      <c r="K389" t="n">
        <v>684.5463137996219</v>
      </c>
      <c r="L389">
        <f>导管母表_860!G389</f>
        <v/>
      </c>
      <c r="M389" t="inlineStr">
        <is>
          <t>视野内部</t>
        </is>
      </c>
      <c r="N389" t="inlineStr">
        <is>
          <t>纳入A/D/Dh；若有Pair_ID则纳入CWR</t>
        </is>
      </c>
      <c r="O389" t="inlineStr">
        <is>
          <t>自动管线检出的合格导管腔。</t>
        </is>
      </c>
      <c r="P389" t="inlineStr">
        <is>
          <t>auto_pipeline;review_png_green</t>
        </is>
      </c>
      <c r="Q389" t="inlineStr">
        <is>
          <t>52(3)-P01</t>
        </is>
      </c>
      <c r="R389" t="inlineStr">
        <is>
          <t>样品52</t>
        </is>
      </c>
    </row>
    <row r="390">
      <c r="A390" t="inlineStr">
        <is>
          <t>52(3)-V02</t>
        </is>
      </c>
      <c r="B390" t="inlineStr">
        <is>
          <t>52 (3).tif</t>
        </is>
      </c>
      <c r="C390" t="n">
        <v>469</v>
      </c>
      <c r="D390" t="n">
        <v>403</v>
      </c>
      <c r="E390" t="inlineStr">
        <is>
          <t>413,350,526,457</t>
        </is>
      </c>
      <c r="F390" t="n">
        <v>311</v>
      </c>
      <c r="G390" t="inlineStr">
        <is>
          <t>primary</t>
        </is>
      </c>
      <c r="H390" t="inlineStr">
        <is>
          <t>AUTO_VESSEL</t>
        </is>
      </c>
      <c r="I390" t="inlineStr">
        <is>
          <t>是</t>
        </is>
      </c>
      <c r="J390" t="inlineStr">
        <is>
          <t>纳入</t>
        </is>
      </c>
      <c r="K390" t="n">
        <v>440.9262759924385</v>
      </c>
      <c r="L390">
        <f>导管母表_860!G390</f>
        <v/>
      </c>
      <c r="M390" t="inlineStr">
        <is>
          <t>视野内部</t>
        </is>
      </c>
      <c r="N390" t="inlineStr">
        <is>
          <t>纳入A/D/Dh；若有Pair_ID则纳入CWR</t>
        </is>
      </c>
      <c r="O390" t="inlineStr">
        <is>
          <t>自动管线检出的合格导管腔。</t>
        </is>
      </c>
      <c r="P390" t="inlineStr">
        <is>
          <t>auto_pipeline;review_png_green</t>
        </is>
      </c>
      <c r="Q390" t="inlineStr">
        <is>
          <t>52(3)-P01</t>
        </is>
      </c>
      <c r="R390" t="inlineStr">
        <is>
          <t>样品52</t>
        </is>
      </c>
    </row>
    <row r="391">
      <c r="A391" t="inlineStr">
        <is>
          <t>52(3)-V03</t>
        </is>
      </c>
      <c r="B391" t="inlineStr">
        <is>
          <t>52 (3).tif</t>
        </is>
      </c>
      <c r="C391" t="n">
        <v>885</v>
      </c>
      <c r="D391" t="n">
        <v>480</v>
      </c>
      <c r="E391" t="inlineStr">
        <is>
          <t>850,429,921,532</t>
        </is>
      </c>
      <c r="F391" t="n">
        <v>103</v>
      </c>
      <c r="G391" t="inlineStr">
        <is>
          <t>primary</t>
        </is>
      </c>
      <c r="H391" t="inlineStr">
        <is>
          <t>AUTO_VESSEL</t>
        </is>
      </c>
      <c r="I391" t="inlineStr">
        <is>
          <t>是</t>
        </is>
      </c>
      <c r="J391" t="inlineStr">
        <is>
          <t>纳入</t>
        </is>
      </c>
      <c r="K391" t="n">
        <v>236.1531190926276</v>
      </c>
      <c r="L391">
        <f>导管母表_860!G391</f>
        <v/>
      </c>
      <c r="M391" t="inlineStr">
        <is>
          <t>视野内部</t>
        </is>
      </c>
      <c r="N391" t="inlineStr">
        <is>
          <t>纳入A/D/Dh；若有Pair_ID则纳入CWR</t>
        </is>
      </c>
      <c r="O391" t="inlineStr">
        <is>
          <t>自动管线检出的合格导管腔。</t>
        </is>
      </c>
      <c r="P391" t="inlineStr">
        <is>
          <t>auto_pipeline;review_png_green</t>
        </is>
      </c>
      <c r="R391" t="inlineStr">
        <is>
          <t>样品52</t>
        </is>
      </c>
    </row>
    <row r="392">
      <c r="A392" t="inlineStr">
        <is>
          <t>52(3)-V04</t>
        </is>
      </c>
      <c r="B392" t="inlineStr">
        <is>
          <t>52 (3).tif</t>
        </is>
      </c>
      <c r="C392" t="n">
        <v>256</v>
      </c>
      <c r="D392" t="n">
        <v>355</v>
      </c>
      <c r="E392" t="inlineStr">
        <is>
          <t>234,311,279,400</t>
        </is>
      </c>
      <c r="F392" t="n">
        <v>234</v>
      </c>
      <c r="G392" t="inlineStr">
        <is>
          <t>primary</t>
        </is>
      </c>
      <c r="H392" t="inlineStr">
        <is>
          <t>AUTO_VESSEL</t>
        </is>
      </c>
      <c r="I392" t="inlineStr">
        <is>
          <t>是</t>
        </is>
      </c>
      <c r="J392" t="inlineStr">
        <is>
          <t>纳入</t>
        </is>
      </c>
      <c r="K392" t="n">
        <v>127.0321361058601</v>
      </c>
      <c r="L392">
        <f>导管母表_860!G392</f>
        <v/>
      </c>
      <c r="M392" t="inlineStr">
        <is>
          <t>视野内部</t>
        </is>
      </c>
      <c r="N392" t="inlineStr">
        <is>
          <t>纳入A/D/Dh；若有Pair_ID则纳入CWR</t>
        </is>
      </c>
      <c r="O392" t="inlineStr">
        <is>
          <t>自动管线检出的合格导管腔。</t>
        </is>
      </c>
      <c r="P392" t="inlineStr">
        <is>
          <t>auto_pipeline;review_png_green</t>
        </is>
      </c>
      <c r="R392" t="inlineStr">
        <is>
          <t>样品52</t>
        </is>
      </c>
    </row>
    <row r="393">
      <c r="A393" t="inlineStr">
        <is>
          <t>52(4)-V01</t>
        </is>
      </c>
      <c r="B393" t="inlineStr">
        <is>
          <t>52 (4).tif</t>
        </is>
      </c>
      <c r="C393" t="n">
        <v>468</v>
      </c>
      <c r="D393" t="n">
        <v>134</v>
      </c>
      <c r="E393" t="inlineStr">
        <is>
          <t>402,68,535,201</t>
        </is>
      </c>
      <c r="F393" t="n">
        <v>68</v>
      </c>
      <c r="G393" t="inlineStr">
        <is>
          <t>primary</t>
        </is>
      </c>
      <c r="H393" t="inlineStr">
        <is>
          <t>AUTO_VESSEL</t>
        </is>
      </c>
      <c r="I393" t="inlineStr">
        <is>
          <t>是</t>
        </is>
      </c>
      <c r="J393" t="inlineStr">
        <is>
          <t>纳入</t>
        </is>
      </c>
      <c r="K393" t="n">
        <v>646.3137996219282</v>
      </c>
      <c r="L393">
        <f>导管母表_860!G393</f>
        <v/>
      </c>
      <c r="M393" t="inlineStr">
        <is>
          <t>视野内部</t>
        </is>
      </c>
      <c r="N393" t="inlineStr">
        <is>
          <t>纳入A/D/Dh；若有Pair_ID则纳入CWR</t>
        </is>
      </c>
      <c r="O393" t="inlineStr">
        <is>
          <t>自动管线检出的合格导管腔。</t>
        </is>
      </c>
      <c r="P393" t="inlineStr">
        <is>
          <t>auto_pipeline;review_png_green</t>
        </is>
      </c>
      <c r="R393" t="inlineStr">
        <is>
          <t>样品52</t>
        </is>
      </c>
    </row>
    <row r="394">
      <c r="A394" t="inlineStr">
        <is>
          <t>52(4)-V02</t>
        </is>
      </c>
      <c r="B394" t="inlineStr">
        <is>
          <t>52 (4).tif</t>
        </is>
      </c>
      <c r="C394" t="n">
        <v>538</v>
      </c>
      <c r="D394" t="n">
        <v>324</v>
      </c>
      <c r="E394" t="inlineStr">
        <is>
          <t>476,261,601,388</t>
        </is>
      </c>
      <c r="F394" t="n">
        <v>261</v>
      </c>
      <c r="G394" t="inlineStr">
        <is>
          <t>primary</t>
        </is>
      </c>
      <c r="H394" t="inlineStr">
        <is>
          <t>AUTO_VESSEL</t>
        </is>
      </c>
      <c r="I394" t="inlineStr">
        <is>
          <t>是</t>
        </is>
      </c>
      <c r="J394" t="inlineStr">
        <is>
          <t>纳入</t>
        </is>
      </c>
      <c r="K394" t="n">
        <v>579.2533081285444</v>
      </c>
      <c r="L394">
        <f>导管母表_860!G394</f>
        <v/>
      </c>
      <c r="M394" t="inlineStr">
        <is>
          <t>视野内部</t>
        </is>
      </c>
      <c r="N394" t="inlineStr">
        <is>
          <t>纳入A/D/Dh；若有Pair_ID则纳入CWR</t>
        </is>
      </c>
      <c r="O394" t="inlineStr">
        <is>
          <t>自动管线检出的合格导管腔。</t>
        </is>
      </c>
      <c r="P394" t="inlineStr">
        <is>
          <t>auto_pipeline;review_png_green</t>
        </is>
      </c>
      <c r="Q394" t="inlineStr">
        <is>
          <t>52(4)-P01</t>
        </is>
      </c>
      <c r="R394" t="inlineStr">
        <is>
          <t>样品52</t>
        </is>
      </c>
    </row>
    <row r="395">
      <c r="A395" t="inlineStr">
        <is>
          <t>52(4)-V03</t>
        </is>
      </c>
      <c r="B395" t="inlineStr">
        <is>
          <t>52 (4).tif</t>
        </is>
      </c>
      <c r="C395" t="n">
        <v>552</v>
      </c>
      <c r="D395" t="n">
        <v>470</v>
      </c>
      <c r="E395" t="inlineStr">
        <is>
          <t>485,416,620,525</t>
        </is>
      </c>
      <c r="F395" t="n">
        <v>243</v>
      </c>
      <c r="G395" t="inlineStr">
        <is>
          <t>primary</t>
        </is>
      </c>
      <c r="H395" t="inlineStr">
        <is>
          <t>AUTO_VESSEL</t>
        </is>
      </c>
      <c r="I395" t="inlineStr">
        <is>
          <t>是</t>
        </is>
      </c>
      <c r="J395" t="inlineStr">
        <is>
          <t>纳入</t>
        </is>
      </c>
      <c r="K395" t="n">
        <v>537.3818525519849</v>
      </c>
      <c r="L395">
        <f>导管母表_860!G395</f>
        <v/>
      </c>
      <c r="M395" t="inlineStr">
        <is>
          <t>视野内部</t>
        </is>
      </c>
      <c r="N395" t="inlineStr">
        <is>
          <t>纳入A/D/Dh；若有Pair_ID则纳入CWR</t>
        </is>
      </c>
      <c r="O395" t="inlineStr">
        <is>
          <t>自动管线检出的合格导管腔。</t>
        </is>
      </c>
      <c r="P395" t="inlineStr">
        <is>
          <t>auto_pipeline;review_png_green</t>
        </is>
      </c>
      <c r="Q395" t="inlineStr">
        <is>
          <t>52(4)-P01</t>
        </is>
      </c>
      <c r="R395" t="inlineStr">
        <is>
          <t>样品52</t>
        </is>
      </c>
    </row>
    <row r="396">
      <c r="A396" t="inlineStr">
        <is>
          <t>52(4)-V04</t>
        </is>
      </c>
      <c r="B396" t="inlineStr">
        <is>
          <t>52 (4).tif</t>
        </is>
      </c>
      <c r="C396" t="n">
        <v>117</v>
      </c>
      <c r="D396" t="n">
        <v>163</v>
      </c>
      <c r="E396" t="inlineStr">
        <is>
          <t>80,129,155,198</t>
        </is>
      </c>
      <c r="F396" t="n">
        <v>80</v>
      </c>
      <c r="G396" t="inlineStr">
        <is>
          <t>primary</t>
        </is>
      </c>
      <c r="H396" t="inlineStr">
        <is>
          <t>AUTO_VESSEL</t>
        </is>
      </c>
      <c r="I396" t="inlineStr">
        <is>
          <t>是</t>
        </is>
      </c>
      <c r="J396" t="inlineStr">
        <is>
          <t>纳入</t>
        </is>
      </c>
      <c r="K396" t="n">
        <v>186.3894139886579</v>
      </c>
      <c r="L396">
        <f>导管母表_860!G396</f>
        <v/>
      </c>
      <c r="M396" t="inlineStr">
        <is>
          <t>视野内部</t>
        </is>
      </c>
      <c r="N396" t="inlineStr">
        <is>
          <t>纳入A/D/Dh；若有Pair_ID则纳入CWR</t>
        </is>
      </c>
      <c r="O396" t="inlineStr">
        <is>
          <t>自动管线检出的合格导管腔。</t>
        </is>
      </c>
      <c r="P396" t="inlineStr">
        <is>
          <t>auto_pipeline;review_png_green</t>
        </is>
      </c>
      <c r="R396" t="inlineStr">
        <is>
          <t>样品52</t>
        </is>
      </c>
    </row>
    <row r="397">
      <c r="A397" t="inlineStr">
        <is>
          <t>52(4)-V05</t>
        </is>
      </c>
      <c r="B397" t="inlineStr">
        <is>
          <t>52 (4).tif</t>
        </is>
      </c>
      <c r="C397" t="n">
        <v>620</v>
      </c>
      <c r="D397" t="n">
        <v>278</v>
      </c>
      <c r="E397" t="inlineStr">
        <is>
          <t>593,238,648,319</t>
        </is>
      </c>
      <c r="F397" t="n">
        <v>238</v>
      </c>
      <c r="G397" t="inlineStr">
        <is>
          <t>primary</t>
        </is>
      </c>
      <c r="H397" t="inlineStr">
        <is>
          <t>AUTO_VESSEL</t>
        </is>
      </c>
      <c r="I397" t="inlineStr">
        <is>
          <t>是</t>
        </is>
      </c>
      <c r="J397" t="inlineStr">
        <is>
          <t>纳入</t>
        </is>
      </c>
      <c r="K397" t="n">
        <v>124.9291115311909</v>
      </c>
      <c r="L397">
        <f>导管母表_860!G397</f>
        <v/>
      </c>
      <c r="M397" t="inlineStr">
        <is>
          <t>视野内部</t>
        </is>
      </c>
      <c r="N397" t="inlineStr">
        <is>
          <t>纳入A/D/Dh；若有Pair_ID则纳入CWR</t>
        </is>
      </c>
      <c r="O397" t="inlineStr">
        <is>
          <t>自动管线检出的合格导管腔。</t>
        </is>
      </c>
      <c r="P397" t="inlineStr">
        <is>
          <t>auto_pipeline;review_png_green</t>
        </is>
      </c>
      <c r="R397" t="inlineStr">
        <is>
          <t>样品52</t>
        </is>
      </c>
    </row>
    <row r="398">
      <c r="A398" t="inlineStr">
        <is>
          <t>52(5)-V01</t>
        </is>
      </c>
      <c r="B398" t="inlineStr">
        <is>
          <t>52 (5).tif</t>
        </is>
      </c>
      <c r="C398" t="n">
        <v>568</v>
      </c>
      <c r="D398" t="n">
        <v>411</v>
      </c>
      <c r="E398" t="inlineStr">
        <is>
          <t>503,349,634,474</t>
        </is>
      </c>
      <c r="F398" t="n">
        <v>294</v>
      </c>
      <c r="G398" t="inlineStr">
        <is>
          <t>primary</t>
        </is>
      </c>
      <c r="H398" t="inlineStr">
        <is>
          <t>AUTO_VESSEL</t>
        </is>
      </c>
      <c r="I398" t="inlineStr">
        <is>
          <t>是</t>
        </is>
      </c>
      <c r="J398" t="inlineStr">
        <is>
          <t>纳入</t>
        </is>
      </c>
      <c r="K398" t="n">
        <v>597.0935727788279</v>
      </c>
      <c r="L398">
        <f>导管母表_860!G398</f>
        <v/>
      </c>
      <c r="M398" t="inlineStr">
        <is>
          <t>视野内部</t>
        </is>
      </c>
      <c r="N398" t="inlineStr">
        <is>
          <t>纳入A/D/Dh；若有Pair_ID则纳入CWR</t>
        </is>
      </c>
      <c r="O398" t="inlineStr">
        <is>
          <t>自动管线检出的合格导管腔。</t>
        </is>
      </c>
      <c r="P398" t="inlineStr">
        <is>
          <t>auto_pipeline;review_png_green</t>
        </is>
      </c>
      <c r="R398" t="inlineStr">
        <is>
          <t>样品52</t>
        </is>
      </c>
    </row>
    <row r="399">
      <c r="A399" t="inlineStr">
        <is>
          <t>52(5)-V02</t>
        </is>
      </c>
      <c r="B399" t="inlineStr">
        <is>
          <t>52 (5).tif</t>
        </is>
      </c>
      <c r="C399" t="n">
        <v>432</v>
      </c>
      <c r="D399" t="n">
        <v>322</v>
      </c>
      <c r="E399" t="inlineStr">
        <is>
          <t>374,259,491,386</t>
        </is>
      </c>
      <c r="F399" t="n">
        <v>259</v>
      </c>
      <c r="G399" t="inlineStr">
        <is>
          <t>primary</t>
        </is>
      </c>
      <c r="H399" t="inlineStr">
        <is>
          <t>AUTO_VESSEL</t>
        </is>
      </c>
      <c r="I399" t="inlineStr">
        <is>
          <t>是</t>
        </is>
      </c>
      <c r="J399" t="inlineStr">
        <is>
          <t>纳入</t>
        </is>
      </c>
      <c r="K399" t="n">
        <v>542.7693761814745</v>
      </c>
      <c r="L399">
        <f>导管母表_860!G399</f>
        <v/>
      </c>
      <c r="M399" t="inlineStr">
        <is>
          <t>视野内部</t>
        </is>
      </c>
      <c r="N399" t="inlineStr">
        <is>
          <t>纳入A/D/Dh；若有Pair_ID则纳入CWR</t>
        </is>
      </c>
      <c r="O399" t="inlineStr">
        <is>
          <t>自动管线检出的合格导管腔。</t>
        </is>
      </c>
      <c r="P399" t="inlineStr">
        <is>
          <t>auto_pipeline;review_png_green</t>
        </is>
      </c>
      <c r="R399" t="inlineStr">
        <is>
          <t>样品52</t>
        </is>
      </c>
    </row>
    <row r="400">
      <c r="A400" t="inlineStr">
        <is>
          <t>52(5)-V03</t>
        </is>
      </c>
      <c r="B400" t="inlineStr">
        <is>
          <t>52 (5).tif</t>
        </is>
      </c>
      <c r="C400" t="n">
        <v>977</v>
      </c>
      <c r="D400" t="n">
        <v>465</v>
      </c>
      <c r="E400" t="inlineStr">
        <is>
          <t>942,428,1013,503</t>
        </is>
      </c>
      <c r="F400" t="n">
        <v>11</v>
      </c>
      <c r="G400" t="inlineStr">
        <is>
          <t>primary</t>
        </is>
      </c>
      <c r="H400" t="inlineStr">
        <is>
          <t>AUTO_VESSEL</t>
        </is>
      </c>
      <c r="I400" t="inlineStr">
        <is>
          <t>是</t>
        </is>
      </c>
      <c r="J400" t="inlineStr">
        <is>
          <t>纳入</t>
        </is>
      </c>
      <c r="K400" t="n">
        <v>189.7920604914934</v>
      </c>
      <c r="L400">
        <f>导管母表_860!G400</f>
        <v/>
      </c>
      <c r="M400" t="inlineStr">
        <is>
          <t>近边缘（&lt;25 px）</t>
        </is>
      </c>
      <c r="N400" t="inlineStr">
        <is>
          <t>纳入A/D/Dh；若有Pair_ID则纳入CWR</t>
        </is>
      </c>
      <c r="O400" t="inlineStr">
        <is>
          <t>自动管线检出的合格导管腔。</t>
        </is>
      </c>
      <c r="P400" t="inlineStr">
        <is>
          <t>auto_pipeline;review_png_green</t>
        </is>
      </c>
      <c r="R400" t="inlineStr">
        <is>
          <t>样品52</t>
        </is>
      </c>
    </row>
    <row r="401">
      <c r="A401" t="inlineStr">
        <is>
          <t>52(5)-V04</t>
        </is>
      </c>
      <c r="B401" t="inlineStr">
        <is>
          <t>52 (5).tif</t>
        </is>
      </c>
      <c r="C401" t="n">
        <v>672</v>
      </c>
      <c r="D401" t="n">
        <v>455</v>
      </c>
      <c r="E401" t="inlineStr">
        <is>
          <t>648,420,697,491</t>
        </is>
      </c>
      <c r="F401" t="n">
        <v>277</v>
      </c>
      <c r="G401" t="inlineStr">
        <is>
          <t>primary</t>
        </is>
      </c>
      <c r="H401" t="inlineStr">
        <is>
          <t>AUTO_VESSEL</t>
        </is>
      </c>
      <c r="I401" t="inlineStr">
        <is>
          <t>是</t>
        </is>
      </c>
      <c r="J401" t="inlineStr">
        <is>
          <t>纳入</t>
        </is>
      </c>
      <c r="K401" t="n">
        <v>124.9054820415879</v>
      </c>
      <c r="L401">
        <f>导管母表_860!G401</f>
        <v/>
      </c>
      <c r="M401" t="inlineStr">
        <is>
          <t>视野内部</t>
        </is>
      </c>
      <c r="N401" t="inlineStr">
        <is>
          <t>纳入A/D/Dh；若有Pair_ID则纳入CWR</t>
        </is>
      </c>
      <c r="O401" t="inlineStr">
        <is>
          <t>自动管线检出的合格导管腔。</t>
        </is>
      </c>
      <c r="P401" t="inlineStr">
        <is>
          <t>auto_pipeline;review_png_green</t>
        </is>
      </c>
      <c r="R401" t="inlineStr">
        <is>
          <t>样品52</t>
        </is>
      </c>
    </row>
    <row r="402">
      <c r="A402" t="inlineStr">
        <is>
          <t>52(6)-V01</t>
        </is>
      </c>
      <c r="B402" t="inlineStr">
        <is>
          <t>52 (6).tif</t>
        </is>
      </c>
      <c r="C402" t="n">
        <v>461</v>
      </c>
      <c r="D402" t="n">
        <v>321</v>
      </c>
      <c r="E402" t="inlineStr">
        <is>
          <t>402,247,521,396</t>
        </is>
      </c>
      <c r="F402" t="n">
        <v>247</v>
      </c>
      <c r="G402" t="inlineStr">
        <is>
          <t>primary</t>
        </is>
      </c>
      <c r="H402" t="inlineStr">
        <is>
          <t>AUTO_VESSEL</t>
        </is>
      </c>
      <c r="I402" t="inlineStr">
        <is>
          <t>是</t>
        </is>
      </c>
      <c r="J402" t="inlineStr">
        <is>
          <t>纳入</t>
        </is>
      </c>
      <c r="K402" t="n">
        <v>645.8884688090737</v>
      </c>
      <c r="L402">
        <f>导管母表_860!G402</f>
        <v/>
      </c>
      <c r="M402" t="inlineStr">
        <is>
          <t>视野内部</t>
        </is>
      </c>
      <c r="N402" t="inlineStr">
        <is>
          <t>纳入A/D/Dh；若有Pair_ID则纳入CWR</t>
        </is>
      </c>
      <c r="O402" t="inlineStr">
        <is>
          <t>自动管线检出的合格导管腔。</t>
        </is>
      </c>
      <c r="P402" t="inlineStr">
        <is>
          <t>auto_pipeline;review_png_green</t>
        </is>
      </c>
      <c r="Q402" t="inlineStr">
        <is>
          <t>52(6)-P01</t>
        </is>
      </c>
      <c r="R402" t="inlineStr">
        <is>
          <t>样品52</t>
        </is>
      </c>
    </row>
    <row r="403">
      <c r="A403" t="inlineStr">
        <is>
          <t>52(6)-V02</t>
        </is>
      </c>
      <c r="B403" t="inlineStr">
        <is>
          <t>52 (6).tif</t>
        </is>
      </c>
      <c r="C403" t="n">
        <v>566</v>
      </c>
      <c r="D403" t="n">
        <v>394</v>
      </c>
      <c r="E403" t="inlineStr">
        <is>
          <t>512,333,621,456</t>
        </is>
      </c>
      <c r="F403" t="n">
        <v>312</v>
      </c>
      <c r="G403" t="inlineStr">
        <is>
          <t>primary</t>
        </is>
      </c>
      <c r="H403" t="inlineStr">
        <is>
          <t>AUTO_VESSEL</t>
        </is>
      </c>
      <c r="I403" t="inlineStr">
        <is>
          <t>是</t>
        </is>
      </c>
      <c r="J403" t="inlineStr">
        <is>
          <t>纳入</t>
        </is>
      </c>
      <c r="K403" t="n">
        <v>488.8468809073724</v>
      </c>
      <c r="L403">
        <f>导管母表_860!G403</f>
        <v/>
      </c>
      <c r="M403" t="inlineStr">
        <is>
          <t>视野内部</t>
        </is>
      </c>
      <c r="N403" t="inlineStr">
        <is>
          <t>纳入A/D/Dh；若有Pair_ID则纳入CWR</t>
        </is>
      </c>
      <c r="O403" t="inlineStr">
        <is>
          <t>自动管线检出的合格导管腔。</t>
        </is>
      </c>
      <c r="P403" t="inlineStr">
        <is>
          <t>auto_pipeline;review_png_green</t>
        </is>
      </c>
      <c r="Q403" t="inlineStr">
        <is>
          <t>52(6)-P01</t>
        </is>
      </c>
      <c r="R403" t="inlineStr">
        <is>
          <t>样品52</t>
        </is>
      </c>
    </row>
    <row r="404">
      <c r="A404" t="inlineStr">
        <is>
          <t>52(6)-V03</t>
        </is>
      </c>
      <c r="B404" t="inlineStr">
        <is>
          <t>52 (6).tif</t>
        </is>
      </c>
      <c r="C404" t="n">
        <v>908</v>
      </c>
      <c r="D404" t="n">
        <v>586</v>
      </c>
      <c r="E404" t="inlineStr">
        <is>
          <t>862,512,955,661</t>
        </is>
      </c>
      <c r="F404" t="n">
        <v>69</v>
      </c>
      <c r="G404" t="inlineStr">
        <is>
          <t>primary</t>
        </is>
      </c>
      <c r="H404" t="inlineStr">
        <is>
          <t>AUTO_VESSEL</t>
        </is>
      </c>
      <c r="I404" t="inlineStr">
        <is>
          <t>是</t>
        </is>
      </c>
      <c r="J404" t="inlineStr">
        <is>
          <t>纳入</t>
        </is>
      </c>
      <c r="K404" t="n">
        <v>484.8062381852552</v>
      </c>
      <c r="L404">
        <f>导管母表_860!G404</f>
        <v/>
      </c>
      <c r="M404" t="inlineStr">
        <is>
          <t>视野内部</t>
        </is>
      </c>
      <c r="N404" t="inlineStr">
        <is>
          <t>纳入A/D/Dh；若有Pair_ID则纳入CWR</t>
        </is>
      </c>
      <c r="O404" t="inlineStr">
        <is>
          <t>自动管线检出的合格导管腔。</t>
        </is>
      </c>
      <c r="P404" t="inlineStr">
        <is>
          <t>auto_pipeline;review_png_green</t>
        </is>
      </c>
      <c r="R404" t="inlineStr">
        <is>
          <t>样品52</t>
        </is>
      </c>
    </row>
    <row r="405">
      <c r="A405" t="inlineStr">
        <is>
          <t>52(6)-V04</t>
        </is>
      </c>
      <c r="B405" t="inlineStr">
        <is>
          <t>52 (6).tif</t>
        </is>
      </c>
      <c r="C405" t="n">
        <v>81</v>
      </c>
      <c r="D405" t="n">
        <v>501</v>
      </c>
      <c r="E405" t="inlineStr">
        <is>
          <t>30,445,133,558</t>
        </is>
      </c>
      <c r="F405" t="n">
        <v>30</v>
      </c>
      <c r="G405" t="inlineStr">
        <is>
          <t>primary</t>
        </is>
      </c>
      <c r="H405" t="inlineStr">
        <is>
          <t>AUTO_VESSEL</t>
        </is>
      </c>
      <c r="I405" t="inlineStr">
        <is>
          <t>是</t>
        </is>
      </c>
      <c r="J405" t="inlineStr">
        <is>
          <t>纳入</t>
        </is>
      </c>
      <c r="K405" t="n">
        <v>415.5718336483932</v>
      </c>
      <c r="L405">
        <f>导管母表_860!G405</f>
        <v/>
      </c>
      <c r="M405" t="inlineStr">
        <is>
          <t>视野内部</t>
        </is>
      </c>
      <c r="N405" t="inlineStr">
        <is>
          <t>纳入A/D/Dh；若有Pair_ID则纳入CWR</t>
        </is>
      </c>
      <c r="O405" t="inlineStr">
        <is>
          <t>自动管线检出的合格导管腔。</t>
        </is>
      </c>
      <c r="P405" t="inlineStr">
        <is>
          <t>auto_pipeline;review_png_green</t>
        </is>
      </c>
      <c r="R405" t="inlineStr">
        <is>
          <t>样品52</t>
        </is>
      </c>
    </row>
    <row r="406">
      <c r="A406" t="inlineStr">
        <is>
          <t>52(7)-V01</t>
        </is>
      </c>
      <c r="B406" t="inlineStr">
        <is>
          <t>52 (7).tif</t>
        </is>
      </c>
      <c r="C406" t="n">
        <v>569</v>
      </c>
      <c r="D406" t="n">
        <v>319</v>
      </c>
      <c r="E406" t="inlineStr">
        <is>
          <t>498,255,641,384</t>
        </is>
      </c>
      <c r="F406" t="n">
        <v>255</v>
      </c>
      <c r="G406" t="inlineStr">
        <is>
          <t>primary</t>
        </is>
      </c>
      <c r="H406" t="inlineStr">
        <is>
          <t>AUTO_VESSEL</t>
        </is>
      </c>
      <c r="I406" t="inlineStr">
        <is>
          <t>是</t>
        </is>
      </c>
      <c r="J406" t="inlineStr">
        <is>
          <t>纳入</t>
        </is>
      </c>
      <c r="K406" t="n">
        <v>674.3856332703214</v>
      </c>
      <c r="L406">
        <f>导管母表_860!G406</f>
        <v/>
      </c>
      <c r="M406" t="inlineStr">
        <is>
          <t>视野内部</t>
        </is>
      </c>
      <c r="N406" t="inlineStr">
        <is>
          <t>纳入A/D/Dh；若有Pair_ID则纳入CWR</t>
        </is>
      </c>
      <c r="O406" t="inlineStr">
        <is>
          <t>自动管线检出的合格导管腔。</t>
        </is>
      </c>
      <c r="P406" t="inlineStr">
        <is>
          <t>auto_pipeline;review_png_green</t>
        </is>
      </c>
      <c r="R406" t="inlineStr">
        <is>
          <t>样品52</t>
        </is>
      </c>
    </row>
    <row r="407">
      <c r="A407" t="inlineStr">
        <is>
          <t>52(7)-V02</t>
        </is>
      </c>
      <c r="B407" t="inlineStr">
        <is>
          <t>52 (7).tif</t>
        </is>
      </c>
      <c r="C407" t="n">
        <v>414</v>
      </c>
      <c r="D407" t="n">
        <v>304</v>
      </c>
      <c r="E407" t="inlineStr">
        <is>
          <t>357,244,472,365</t>
        </is>
      </c>
      <c r="F407" t="n">
        <v>244</v>
      </c>
      <c r="G407" t="inlineStr">
        <is>
          <t>primary</t>
        </is>
      </c>
      <c r="H407" t="inlineStr">
        <is>
          <t>AUTO_VESSEL</t>
        </is>
      </c>
      <c r="I407" t="inlineStr">
        <is>
          <t>是</t>
        </is>
      </c>
      <c r="J407" t="inlineStr">
        <is>
          <t>纳入</t>
        </is>
      </c>
      <c r="K407" t="n">
        <v>507.4196597353497</v>
      </c>
      <c r="L407">
        <f>导管母表_860!G407</f>
        <v/>
      </c>
      <c r="M407" t="inlineStr">
        <is>
          <t>视野内部</t>
        </is>
      </c>
      <c r="N407" t="inlineStr">
        <is>
          <t>纳入A/D/Dh；若有Pair_ID则纳入CWR</t>
        </is>
      </c>
      <c r="O407" t="inlineStr">
        <is>
          <t>自动管线检出的合格导管腔。</t>
        </is>
      </c>
      <c r="P407" t="inlineStr">
        <is>
          <t>auto_pipeline;review_png_green</t>
        </is>
      </c>
      <c r="R407" t="inlineStr">
        <is>
          <t>样品52</t>
        </is>
      </c>
    </row>
    <row r="408">
      <c r="A408" t="inlineStr">
        <is>
          <t>52(7)-V03</t>
        </is>
      </c>
      <c r="B408" t="inlineStr">
        <is>
          <t>52 (7).tif</t>
        </is>
      </c>
      <c r="C408" t="n">
        <v>780</v>
      </c>
      <c r="D408" t="n">
        <v>565</v>
      </c>
      <c r="E408" t="inlineStr">
        <is>
          <t>722,514,839,617</t>
        </is>
      </c>
      <c r="F408" t="n">
        <v>151</v>
      </c>
      <c r="G408" t="inlineStr">
        <is>
          <t>primary</t>
        </is>
      </c>
      <c r="H408" t="inlineStr">
        <is>
          <t>AUTO_VESSEL</t>
        </is>
      </c>
      <c r="I408" t="inlineStr">
        <is>
          <t>是</t>
        </is>
      </c>
      <c r="J408" t="inlineStr">
        <is>
          <t>纳入</t>
        </is>
      </c>
      <c r="K408" t="n">
        <v>427.2448015122873</v>
      </c>
      <c r="L408">
        <f>导管母表_860!G408</f>
        <v/>
      </c>
      <c r="M408" t="inlineStr">
        <is>
          <t>视野内部</t>
        </is>
      </c>
      <c r="N408" t="inlineStr">
        <is>
          <t>纳入A/D/Dh；若有Pair_ID则纳入CWR</t>
        </is>
      </c>
      <c r="O408" t="inlineStr">
        <is>
          <t>自动管线检出的合格导管腔。</t>
        </is>
      </c>
      <c r="P408" t="inlineStr">
        <is>
          <t>auto_pipeline;review_png_green</t>
        </is>
      </c>
      <c r="R408" t="inlineStr">
        <is>
          <t>样品52</t>
        </is>
      </c>
    </row>
    <row r="409">
      <c r="A409" t="inlineStr">
        <is>
          <t>52(7)-V04</t>
        </is>
      </c>
      <c r="B409" t="inlineStr">
        <is>
          <t>52 (7).tif</t>
        </is>
      </c>
      <c r="C409" t="n">
        <v>444</v>
      </c>
      <c r="D409" t="n">
        <v>390</v>
      </c>
      <c r="E409" t="inlineStr">
        <is>
          <t>404,368,485,413</t>
        </is>
      </c>
      <c r="F409" t="n">
        <v>355</v>
      </c>
      <c r="G409" t="inlineStr">
        <is>
          <t>primary</t>
        </is>
      </c>
      <c r="H409" t="inlineStr">
        <is>
          <t>AUTO_VESSEL</t>
        </is>
      </c>
      <c r="I409" t="inlineStr">
        <is>
          <t>是</t>
        </is>
      </c>
      <c r="J409" t="inlineStr">
        <is>
          <t>纳入</t>
        </is>
      </c>
      <c r="K409" t="n">
        <v>124.6928166351607</v>
      </c>
      <c r="L409">
        <f>导管母表_860!G409</f>
        <v/>
      </c>
      <c r="M409" t="inlineStr">
        <is>
          <t>视野内部</t>
        </is>
      </c>
      <c r="N409" t="inlineStr">
        <is>
          <t>纳入A/D/Dh；若有Pair_ID则纳入CWR</t>
        </is>
      </c>
      <c r="O409" t="inlineStr">
        <is>
          <t>自动管线检出的合格导管腔。</t>
        </is>
      </c>
      <c r="P409" t="inlineStr">
        <is>
          <t>auto_pipeline;review_png_green</t>
        </is>
      </c>
      <c r="R409" t="inlineStr">
        <is>
          <t>样品52</t>
        </is>
      </c>
    </row>
    <row r="410">
      <c r="A410" t="inlineStr">
        <is>
          <t>52(8)-V01</t>
        </is>
      </c>
      <c r="B410" t="inlineStr">
        <is>
          <t>52 (8).tif</t>
        </is>
      </c>
      <c r="C410" t="n">
        <v>452</v>
      </c>
      <c r="D410" t="n">
        <v>391</v>
      </c>
      <c r="E410" t="inlineStr">
        <is>
          <t>395,321,510,462</t>
        </is>
      </c>
      <c r="F410" t="n">
        <v>306</v>
      </c>
      <c r="G410" t="inlineStr">
        <is>
          <t>primary</t>
        </is>
      </c>
      <c r="H410" t="inlineStr">
        <is>
          <t>AUTO_VESSEL</t>
        </is>
      </c>
      <c r="I410" t="inlineStr">
        <is>
          <t>是</t>
        </is>
      </c>
      <c r="J410" t="inlineStr">
        <is>
          <t>纳入</t>
        </is>
      </c>
      <c r="K410" t="n">
        <v>590.5482041587902</v>
      </c>
      <c r="L410">
        <f>导管母表_860!G410</f>
        <v/>
      </c>
      <c r="M410" t="inlineStr">
        <is>
          <t>视野内部</t>
        </is>
      </c>
      <c r="N410" t="inlineStr">
        <is>
          <t>纳入A/D/Dh；若有Pair_ID则纳入CWR</t>
        </is>
      </c>
      <c r="O410" t="inlineStr">
        <is>
          <t>自动管线检出的合格导管腔。</t>
        </is>
      </c>
      <c r="P410" t="inlineStr">
        <is>
          <t>auto_pipeline;review_png_green</t>
        </is>
      </c>
      <c r="Q410" t="inlineStr">
        <is>
          <t>52(8)-P01</t>
        </is>
      </c>
      <c r="R410" t="inlineStr">
        <is>
          <t>样品52</t>
        </is>
      </c>
    </row>
    <row r="411">
      <c r="A411" t="inlineStr">
        <is>
          <t>52(8)-V02</t>
        </is>
      </c>
      <c r="B411" t="inlineStr">
        <is>
          <t>52 (8).tif</t>
        </is>
      </c>
      <c r="C411" t="n">
        <v>574</v>
      </c>
      <c r="D411" t="n">
        <v>405</v>
      </c>
      <c r="E411" t="inlineStr">
        <is>
          <t>517,336,632,475</t>
        </is>
      </c>
      <c r="F411" t="n">
        <v>293</v>
      </c>
      <c r="G411" t="inlineStr">
        <is>
          <t>primary</t>
        </is>
      </c>
      <c r="H411" t="inlineStr">
        <is>
          <t>AUTO_VESSEL</t>
        </is>
      </c>
      <c r="I411" t="inlineStr">
        <is>
          <t>是</t>
        </is>
      </c>
      <c r="J411" t="inlineStr">
        <is>
          <t>纳入</t>
        </is>
      </c>
      <c r="K411" t="n">
        <v>581.8525519848771</v>
      </c>
      <c r="L411">
        <f>导管母表_860!G411</f>
        <v/>
      </c>
      <c r="M411" t="inlineStr">
        <is>
          <t>视野内部</t>
        </is>
      </c>
      <c r="N411" t="inlineStr">
        <is>
          <t>纳入A/D/Dh；若有Pair_ID则纳入CWR</t>
        </is>
      </c>
      <c r="O411" t="inlineStr">
        <is>
          <t>自动管线检出的合格导管腔。</t>
        </is>
      </c>
      <c r="P411" t="inlineStr">
        <is>
          <t>auto_pipeline;review_png_green</t>
        </is>
      </c>
      <c r="Q411" t="inlineStr">
        <is>
          <t>52(8)-P01</t>
        </is>
      </c>
      <c r="R411" t="inlineStr">
        <is>
          <t>样品52</t>
        </is>
      </c>
    </row>
    <row r="412">
      <c r="A412" t="inlineStr">
        <is>
          <t>52(8)-V03</t>
        </is>
      </c>
      <c r="B412" t="inlineStr">
        <is>
          <t>52 (8).tif</t>
        </is>
      </c>
      <c r="C412" t="n">
        <v>956</v>
      </c>
      <c r="D412" t="n">
        <v>208</v>
      </c>
      <c r="E412" t="inlineStr">
        <is>
          <t>898,154,1015,263</t>
        </is>
      </c>
      <c r="F412" t="n">
        <v>9</v>
      </c>
      <c r="G412" t="inlineStr">
        <is>
          <t>primary</t>
        </is>
      </c>
      <c r="H412" t="inlineStr">
        <is>
          <t>AUTO_VESSEL</t>
        </is>
      </c>
      <c r="I412" t="inlineStr">
        <is>
          <t>是</t>
        </is>
      </c>
      <c r="J412" t="inlineStr">
        <is>
          <t>纳入</t>
        </is>
      </c>
      <c r="K412" t="n">
        <v>452.6937618147448</v>
      </c>
      <c r="L412">
        <f>导管母表_860!G412</f>
        <v/>
      </c>
      <c r="M412" t="inlineStr">
        <is>
          <t>近边缘（&lt;25 px）</t>
        </is>
      </c>
      <c r="N412" t="inlineStr">
        <is>
          <t>纳入A/D/Dh；若有Pair_ID则纳入CWR</t>
        </is>
      </c>
      <c r="O412" t="inlineStr">
        <is>
          <t>自动管线检出的合格导管腔。</t>
        </is>
      </c>
      <c r="P412" t="inlineStr">
        <is>
          <t>auto_pipeline;review_png_green</t>
        </is>
      </c>
      <c r="R412" t="inlineStr">
        <is>
          <t>样品52</t>
        </is>
      </c>
    </row>
    <row r="413">
      <c r="A413" t="inlineStr">
        <is>
          <t>53(1)-V01</t>
        </is>
      </c>
      <c r="B413" t="inlineStr">
        <is>
          <t>53 (1).tif</t>
        </is>
      </c>
      <c r="C413" t="n">
        <v>533</v>
      </c>
      <c r="D413" t="n">
        <v>423</v>
      </c>
      <c r="E413" t="inlineStr">
        <is>
          <t>474,350,593,497</t>
        </is>
      </c>
      <c r="F413" t="n">
        <v>271</v>
      </c>
      <c r="G413" t="inlineStr">
        <is>
          <t>primary</t>
        </is>
      </c>
      <c r="H413" t="inlineStr">
        <is>
          <t>AUTO_VESSEL</t>
        </is>
      </c>
      <c r="I413" t="inlineStr">
        <is>
          <t>是</t>
        </is>
      </c>
      <c r="J413" t="inlineStr">
        <is>
          <t>纳入</t>
        </is>
      </c>
      <c r="K413" t="n">
        <v>639.1540642722117</v>
      </c>
      <c r="L413">
        <f>导管母表_860!G413</f>
        <v/>
      </c>
      <c r="M413" t="inlineStr">
        <is>
          <t>视野内部</t>
        </is>
      </c>
      <c r="N413" t="inlineStr">
        <is>
          <t>纳入A/D/Dh；若有Pair_ID则纳入CWR</t>
        </is>
      </c>
      <c r="O413" t="inlineStr">
        <is>
          <t>自动管线检出的合格导管腔。</t>
        </is>
      </c>
      <c r="P413" t="inlineStr">
        <is>
          <t>auto_pipeline;review_png_green</t>
        </is>
      </c>
      <c r="Q413" t="inlineStr">
        <is>
          <t>53(1)-P01</t>
        </is>
      </c>
      <c r="R413" t="inlineStr">
        <is>
          <t>样品53</t>
        </is>
      </c>
    </row>
    <row r="414">
      <c r="A414" t="inlineStr">
        <is>
          <t>53(1)-V02</t>
        </is>
      </c>
      <c r="B414" t="inlineStr">
        <is>
          <t>53 (1).tif</t>
        </is>
      </c>
      <c r="C414" t="n">
        <v>443</v>
      </c>
      <c r="D414" t="n">
        <v>288</v>
      </c>
      <c r="E414" t="inlineStr">
        <is>
          <t>383,226,504,351</t>
        </is>
      </c>
      <c r="F414" t="n">
        <v>226</v>
      </c>
      <c r="G414" t="inlineStr">
        <is>
          <t>primary</t>
        </is>
      </c>
      <c r="H414" t="inlineStr">
        <is>
          <t>AUTO_VESSEL</t>
        </is>
      </c>
      <c r="I414" t="inlineStr">
        <is>
          <t>是</t>
        </is>
      </c>
      <c r="J414" t="inlineStr">
        <is>
          <t>纳入</t>
        </is>
      </c>
      <c r="K414" t="n">
        <v>551.9612476370511</v>
      </c>
      <c r="L414">
        <f>导管母表_860!G414</f>
        <v/>
      </c>
      <c r="M414" t="inlineStr">
        <is>
          <t>视野内部</t>
        </is>
      </c>
      <c r="N414" t="inlineStr">
        <is>
          <t>纳入A/D/Dh；若有Pair_ID则纳入CWR</t>
        </is>
      </c>
      <c r="O414" t="inlineStr">
        <is>
          <t>自动管线检出的合格导管腔。</t>
        </is>
      </c>
      <c r="P414" t="inlineStr">
        <is>
          <t>auto_pipeline;review_png_green</t>
        </is>
      </c>
      <c r="Q414" t="inlineStr">
        <is>
          <t>53(1)-P01</t>
        </is>
      </c>
      <c r="R414" t="inlineStr">
        <is>
          <t>样品53</t>
        </is>
      </c>
    </row>
    <row r="415">
      <c r="A415" t="inlineStr">
        <is>
          <t>53(1)-V03</t>
        </is>
      </c>
      <c r="B415" t="inlineStr">
        <is>
          <t>53 (1).tif</t>
        </is>
      </c>
      <c r="C415" t="n">
        <v>101</v>
      </c>
      <c r="D415" t="n">
        <v>563</v>
      </c>
      <c r="E415" t="inlineStr">
        <is>
          <t>43,499,160,628</t>
        </is>
      </c>
      <c r="F415" t="n">
        <v>43</v>
      </c>
      <c r="G415" t="inlineStr">
        <is>
          <t>primary</t>
        </is>
      </c>
      <c r="H415" t="inlineStr">
        <is>
          <t>AUTO_VESSEL</t>
        </is>
      </c>
      <c r="I415" t="inlineStr">
        <is>
          <t>是</t>
        </is>
      </c>
      <c r="J415" t="inlineStr">
        <is>
          <t>纳入</t>
        </is>
      </c>
      <c r="K415" t="n">
        <v>548.7948960302457</v>
      </c>
      <c r="L415">
        <f>导管母表_860!G415</f>
        <v/>
      </c>
      <c r="M415" t="inlineStr">
        <is>
          <t>视野内部</t>
        </is>
      </c>
      <c r="N415" t="inlineStr">
        <is>
          <t>纳入A/D/Dh；若有Pair_ID则纳入CWR</t>
        </is>
      </c>
      <c r="O415" t="inlineStr">
        <is>
          <t>自动管线检出的合格导管腔。</t>
        </is>
      </c>
      <c r="P415" t="inlineStr">
        <is>
          <t>auto_pipeline;review_png_green</t>
        </is>
      </c>
      <c r="R415" t="inlineStr">
        <is>
          <t>样品53</t>
        </is>
      </c>
    </row>
    <row r="416">
      <c r="A416" t="inlineStr">
        <is>
          <t>53(1)-V04</t>
        </is>
      </c>
      <c r="B416" t="inlineStr">
        <is>
          <t>53 (1).tif</t>
        </is>
      </c>
      <c r="C416" t="n">
        <v>926</v>
      </c>
      <c r="D416" t="n">
        <v>165</v>
      </c>
      <c r="E416" t="inlineStr">
        <is>
          <t>883,127,970,204</t>
        </is>
      </c>
      <c r="F416" t="n">
        <v>54</v>
      </c>
      <c r="G416" t="inlineStr">
        <is>
          <t>primary</t>
        </is>
      </c>
      <c r="H416" t="inlineStr">
        <is>
          <t>AUTO_VESSEL</t>
        </is>
      </c>
      <c r="I416" t="inlineStr">
        <is>
          <t>是</t>
        </is>
      </c>
      <c r="J416" t="inlineStr">
        <is>
          <t>纳入</t>
        </is>
      </c>
      <c r="K416" t="n">
        <v>241.8714555765596</v>
      </c>
      <c r="L416">
        <f>导管母表_860!G416</f>
        <v/>
      </c>
      <c r="M416" t="inlineStr">
        <is>
          <t>视野内部</t>
        </is>
      </c>
      <c r="N416" t="inlineStr">
        <is>
          <t>纳入A/D/Dh；若有Pair_ID则纳入CWR</t>
        </is>
      </c>
      <c r="O416" t="inlineStr">
        <is>
          <t>自动管线检出的合格导管腔。</t>
        </is>
      </c>
      <c r="P416" t="inlineStr">
        <is>
          <t>auto_pipeline;review_png_green</t>
        </is>
      </c>
      <c r="R416" t="inlineStr">
        <is>
          <t>样品53</t>
        </is>
      </c>
    </row>
    <row r="417">
      <c r="A417" t="inlineStr">
        <is>
          <t>53(2)-V01</t>
        </is>
      </c>
      <c r="B417" t="inlineStr">
        <is>
          <t>53 (2).tif</t>
        </is>
      </c>
      <c r="C417" t="n">
        <v>365</v>
      </c>
      <c r="D417" t="n">
        <v>182</v>
      </c>
      <c r="E417" t="inlineStr">
        <is>
          <t>296,112,435,253</t>
        </is>
      </c>
      <c r="F417" t="n">
        <v>112</v>
      </c>
      <c r="G417" t="inlineStr">
        <is>
          <t>primary</t>
        </is>
      </c>
      <c r="H417" t="inlineStr">
        <is>
          <t>AUTO_VESSEL</t>
        </is>
      </c>
      <c r="I417" t="inlineStr">
        <is>
          <t>是</t>
        </is>
      </c>
      <c r="J417" t="inlineStr">
        <is>
          <t>纳入</t>
        </is>
      </c>
      <c r="K417" t="n">
        <v>714.9102079395085</v>
      </c>
      <c r="L417">
        <f>导管母表_860!G417</f>
        <v/>
      </c>
      <c r="M417" t="inlineStr">
        <is>
          <t>视野内部</t>
        </is>
      </c>
      <c r="N417" t="inlineStr">
        <is>
          <t>纳入A/D/Dh；若有Pair_ID则纳入CWR</t>
        </is>
      </c>
      <c r="O417" t="inlineStr">
        <is>
          <t>自动管线检出的合格导管腔。</t>
        </is>
      </c>
      <c r="P417" t="inlineStr">
        <is>
          <t>auto_pipeline;review_png_green</t>
        </is>
      </c>
      <c r="R417" t="inlineStr">
        <is>
          <t>样品53</t>
        </is>
      </c>
    </row>
    <row r="418">
      <c r="A418" t="inlineStr">
        <is>
          <t>53(2)-V02</t>
        </is>
      </c>
      <c r="B418" t="inlineStr">
        <is>
          <t>53 (2).tif</t>
        </is>
      </c>
      <c r="C418" t="n">
        <v>585</v>
      </c>
      <c r="D418" t="n">
        <v>362</v>
      </c>
      <c r="E418" t="inlineStr">
        <is>
          <t>524,298,647,427</t>
        </is>
      </c>
      <c r="F418" t="n">
        <v>298</v>
      </c>
      <c r="G418" t="inlineStr">
        <is>
          <t>primary</t>
        </is>
      </c>
      <c r="H418" t="inlineStr">
        <is>
          <t>AUTO_VESSEL</t>
        </is>
      </c>
      <c r="I418" t="inlineStr">
        <is>
          <t>是</t>
        </is>
      </c>
      <c r="J418" t="inlineStr">
        <is>
          <t>纳入</t>
        </is>
      </c>
      <c r="K418" t="n">
        <v>578.9697542533081</v>
      </c>
      <c r="L418">
        <f>导管母表_860!G418</f>
        <v/>
      </c>
      <c r="M418" t="inlineStr">
        <is>
          <t>视野内部</t>
        </is>
      </c>
      <c r="N418" t="inlineStr">
        <is>
          <t>纳入A/D/Dh；若有Pair_ID则纳入CWR</t>
        </is>
      </c>
      <c r="O418" t="inlineStr">
        <is>
          <t>自动管线检出的合格导管腔。</t>
        </is>
      </c>
      <c r="P418" t="inlineStr">
        <is>
          <t>auto_pipeline;review_png_green</t>
        </is>
      </c>
      <c r="R418" t="inlineStr">
        <is>
          <t>样品53</t>
        </is>
      </c>
    </row>
    <row r="419">
      <c r="A419" t="inlineStr">
        <is>
          <t>53(2)-V03</t>
        </is>
      </c>
      <c r="B419" t="inlineStr">
        <is>
          <t>53 (2).tif</t>
        </is>
      </c>
      <c r="C419" t="n">
        <v>803</v>
      </c>
      <c r="D419" t="n">
        <v>398</v>
      </c>
      <c r="E419" t="inlineStr">
        <is>
          <t>742,344,865,453</t>
        </is>
      </c>
      <c r="F419" t="n">
        <v>159</v>
      </c>
      <c r="G419" t="inlineStr">
        <is>
          <t>primary</t>
        </is>
      </c>
      <c r="H419" t="inlineStr">
        <is>
          <t>AUTO_VESSEL</t>
        </is>
      </c>
      <c r="I419" t="inlineStr">
        <is>
          <t>是</t>
        </is>
      </c>
      <c r="J419" t="inlineStr">
        <is>
          <t>纳入</t>
        </is>
      </c>
      <c r="K419" t="n">
        <v>488.7523629489603</v>
      </c>
      <c r="L419">
        <f>导管母表_860!G419</f>
        <v/>
      </c>
      <c r="M419" t="inlineStr">
        <is>
          <t>视野内部</t>
        </is>
      </c>
      <c r="N419" t="inlineStr">
        <is>
          <t>纳入A/D/Dh；若有Pair_ID则纳入CWR</t>
        </is>
      </c>
      <c r="O419" t="inlineStr">
        <is>
          <t>自动管线检出的合格导管腔。</t>
        </is>
      </c>
      <c r="P419" t="inlineStr">
        <is>
          <t>auto_pipeline;review_png_green</t>
        </is>
      </c>
      <c r="R419" t="inlineStr">
        <is>
          <t>样品53</t>
        </is>
      </c>
    </row>
    <row r="420">
      <c r="A420" t="inlineStr">
        <is>
          <t>53(2)-V04</t>
        </is>
      </c>
      <c r="B420" t="inlineStr">
        <is>
          <t>53 (2).tif</t>
        </is>
      </c>
      <c r="C420" t="n">
        <v>442</v>
      </c>
      <c r="D420" t="n">
        <v>382</v>
      </c>
      <c r="E420" t="inlineStr">
        <is>
          <t>392,328,493,437</t>
        </is>
      </c>
      <c r="F420" t="n">
        <v>328</v>
      </c>
      <c r="G420" t="inlineStr">
        <is>
          <t>primary</t>
        </is>
      </c>
      <c r="H420" t="inlineStr">
        <is>
          <t>AUTO_VESSEL</t>
        </is>
      </c>
      <c r="I420" t="inlineStr">
        <is>
          <t>是</t>
        </is>
      </c>
      <c r="J420" t="inlineStr">
        <is>
          <t>纳入</t>
        </is>
      </c>
      <c r="K420" t="n">
        <v>401.2051039697542</v>
      </c>
      <c r="L420">
        <f>导管母表_860!G420</f>
        <v/>
      </c>
      <c r="M420" t="inlineStr">
        <is>
          <t>视野内部</t>
        </is>
      </c>
      <c r="N420" t="inlineStr">
        <is>
          <t>纳入A/D/Dh；若有Pair_ID则纳入CWR</t>
        </is>
      </c>
      <c r="O420" t="inlineStr">
        <is>
          <t>自动管线检出的合格导管腔。</t>
        </is>
      </c>
      <c r="P420" t="inlineStr">
        <is>
          <t>auto_pipeline;review_png_green</t>
        </is>
      </c>
      <c r="R420" t="inlineStr">
        <is>
          <t>样品53</t>
        </is>
      </c>
    </row>
    <row r="421">
      <c r="A421" t="inlineStr">
        <is>
          <t>53(2)-V05</t>
        </is>
      </c>
      <c r="B421" t="inlineStr">
        <is>
          <t>53 (2).tif</t>
        </is>
      </c>
      <c r="C421" t="n">
        <v>89</v>
      </c>
      <c r="D421" t="n">
        <v>554</v>
      </c>
      <c r="E421" t="inlineStr">
        <is>
          <t>36,506,143,603</t>
        </is>
      </c>
      <c r="F421" t="n">
        <v>36</v>
      </c>
      <c r="G421" t="inlineStr">
        <is>
          <t>primary</t>
        </is>
      </c>
      <c r="H421" t="inlineStr">
        <is>
          <t>AUTO_VESSEL</t>
        </is>
      </c>
      <c r="I421" t="inlineStr">
        <is>
          <t>是</t>
        </is>
      </c>
      <c r="J421" t="inlineStr">
        <is>
          <t>纳入</t>
        </is>
      </c>
      <c r="K421" t="n">
        <v>361.4130434782609</v>
      </c>
      <c r="L421">
        <f>导管母表_860!G421</f>
        <v/>
      </c>
      <c r="M421" t="inlineStr">
        <is>
          <t>视野内部</t>
        </is>
      </c>
      <c r="N421" t="inlineStr">
        <is>
          <t>纳入A/D/Dh；若有Pair_ID则纳入CWR</t>
        </is>
      </c>
      <c r="O421" t="inlineStr">
        <is>
          <t>自动管线检出的合格导管腔。</t>
        </is>
      </c>
      <c r="P421" t="inlineStr">
        <is>
          <t>auto_pipeline;review_png_green</t>
        </is>
      </c>
      <c r="R421" t="inlineStr">
        <is>
          <t>样品53</t>
        </is>
      </c>
    </row>
    <row r="422">
      <c r="A422" t="inlineStr">
        <is>
          <t>53(2)-V06</t>
        </is>
      </c>
      <c r="B422" t="inlineStr">
        <is>
          <t>53 (2).tif</t>
        </is>
      </c>
      <c r="C422" t="n">
        <v>892</v>
      </c>
      <c r="D422" t="n">
        <v>239</v>
      </c>
      <c r="E422" t="inlineStr">
        <is>
          <t>857,216,928,263</t>
        </is>
      </c>
      <c r="F422" t="n">
        <v>96</v>
      </c>
      <c r="G422" t="inlineStr">
        <is>
          <t>primary</t>
        </is>
      </c>
      <c r="H422" t="inlineStr">
        <is>
          <t>AUTO_VESSEL</t>
        </is>
      </c>
      <c r="I422" t="inlineStr">
        <is>
          <t>是</t>
        </is>
      </c>
      <c r="J422" t="inlineStr">
        <is>
          <t>纳入</t>
        </is>
      </c>
      <c r="K422" t="n">
        <v>111.9092627599244</v>
      </c>
      <c r="L422">
        <f>导管母表_860!G422</f>
        <v/>
      </c>
      <c r="M422" t="inlineStr">
        <is>
          <t>视野内部</t>
        </is>
      </c>
      <c r="N422" t="inlineStr">
        <is>
          <t>纳入A/D/Dh；若有Pair_ID则纳入CWR</t>
        </is>
      </c>
      <c r="O422" t="inlineStr">
        <is>
          <t>自动管线检出的合格导管腔。</t>
        </is>
      </c>
      <c r="P422" t="inlineStr">
        <is>
          <t>auto_pipeline;review_png_green</t>
        </is>
      </c>
      <c r="R422" t="inlineStr">
        <is>
          <t>样品53</t>
        </is>
      </c>
    </row>
    <row r="423">
      <c r="A423" t="inlineStr">
        <is>
          <t>53(3)-V01</t>
        </is>
      </c>
      <c r="B423" t="inlineStr">
        <is>
          <t>53 (3).tif</t>
        </is>
      </c>
      <c r="C423" t="n">
        <v>433</v>
      </c>
      <c r="D423" t="n">
        <v>370</v>
      </c>
      <c r="E423" t="inlineStr">
        <is>
          <t>361,298,506,443</t>
        </is>
      </c>
      <c r="F423" t="n">
        <v>298</v>
      </c>
      <c r="G423" t="inlineStr">
        <is>
          <t>primary</t>
        </is>
      </c>
      <c r="H423" t="inlineStr">
        <is>
          <t>AUTO_VESSEL</t>
        </is>
      </c>
      <c r="I423" t="inlineStr">
        <is>
          <t>是</t>
        </is>
      </c>
      <c r="J423" t="inlineStr">
        <is>
          <t>纳入</t>
        </is>
      </c>
      <c r="K423" t="n">
        <v>767.6984877126654</v>
      </c>
      <c r="L423">
        <f>导管母表_860!G423</f>
        <v/>
      </c>
      <c r="M423" t="inlineStr">
        <is>
          <t>视野内部</t>
        </is>
      </c>
      <c r="N423" t="inlineStr">
        <is>
          <t>纳入A/D/Dh；若有Pair_ID则纳入CWR</t>
        </is>
      </c>
      <c r="O423" t="inlineStr">
        <is>
          <t>自动管线检出的合格导管腔。</t>
        </is>
      </c>
      <c r="P423" t="inlineStr">
        <is>
          <t>auto_pipeline;review_png_green</t>
        </is>
      </c>
      <c r="Q423" t="inlineStr">
        <is>
          <t>53(3)-P01</t>
        </is>
      </c>
      <c r="R423" t="inlineStr">
        <is>
          <t>样品53</t>
        </is>
      </c>
    </row>
    <row r="424">
      <c r="A424" t="inlineStr">
        <is>
          <t>53(3)-V02</t>
        </is>
      </c>
      <c r="B424" t="inlineStr">
        <is>
          <t>53 (3).tif</t>
        </is>
      </c>
      <c r="C424" t="n">
        <v>572</v>
      </c>
      <c r="D424" t="n">
        <v>392</v>
      </c>
      <c r="E424" t="inlineStr">
        <is>
          <t>517,329,628,456</t>
        </is>
      </c>
      <c r="F424" t="n">
        <v>312</v>
      </c>
      <c r="G424" t="inlineStr">
        <is>
          <t>primary</t>
        </is>
      </c>
      <c r="H424" t="inlineStr">
        <is>
          <t>AUTO_VESSEL</t>
        </is>
      </c>
      <c r="I424" t="inlineStr">
        <is>
          <t>是</t>
        </is>
      </c>
      <c r="J424" t="inlineStr">
        <is>
          <t>纳入</t>
        </is>
      </c>
      <c r="K424" t="n">
        <v>512.8071833648394</v>
      </c>
      <c r="L424">
        <f>导管母表_860!G424</f>
        <v/>
      </c>
      <c r="M424" t="inlineStr">
        <is>
          <t>视野内部</t>
        </is>
      </c>
      <c r="N424" t="inlineStr">
        <is>
          <t>纳入A/D/Dh；若有Pair_ID则纳入CWR</t>
        </is>
      </c>
      <c r="O424" t="inlineStr">
        <is>
          <t>自动管线检出的合格导管腔。</t>
        </is>
      </c>
      <c r="P424" t="inlineStr">
        <is>
          <t>auto_pipeline;review_png_green</t>
        </is>
      </c>
      <c r="Q424" t="inlineStr">
        <is>
          <t>53(3)-P01</t>
        </is>
      </c>
      <c r="R424" t="inlineStr">
        <is>
          <t>样品53</t>
        </is>
      </c>
    </row>
    <row r="425">
      <c r="A425" t="inlineStr">
        <is>
          <t>53(3)-V03</t>
        </is>
      </c>
      <c r="B425" t="inlineStr">
        <is>
          <t>53 (3).tif</t>
        </is>
      </c>
      <c r="C425" t="n">
        <v>706</v>
      </c>
      <c r="D425" t="n">
        <v>387</v>
      </c>
      <c r="E425" t="inlineStr">
        <is>
          <t>653,337,760,438</t>
        </is>
      </c>
      <c r="F425" t="n">
        <v>264</v>
      </c>
      <c r="G425" t="inlineStr">
        <is>
          <t>primary</t>
        </is>
      </c>
      <c r="H425" t="inlineStr">
        <is>
          <t>AUTO_VESSEL</t>
        </is>
      </c>
      <c r="I425" t="inlineStr">
        <is>
          <t>是</t>
        </is>
      </c>
      <c r="J425" t="inlineStr">
        <is>
          <t>纳入</t>
        </is>
      </c>
      <c r="K425" t="n">
        <v>390.9735349716446</v>
      </c>
      <c r="L425">
        <f>导管母表_860!G425</f>
        <v/>
      </c>
      <c r="M425" t="inlineStr">
        <is>
          <t>视野内部</t>
        </is>
      </c>
      <c r="N425" t="inlineStr">
        <is>
          <t>纳入A/D/Dh；若有Pair_ID则纳入CWR</t>
        </is>
      </c>
      <c r="O425" t="inlineStr">
        <is>
          <t>自动管线检出的合格导管腔。</t>
        </is>
      </c>
      <c r="P425" t="inlineStr">
        <is>
          <t>auto_pipeline;review_png_green</t>
        </is>
      </c>
      <c r="R425" t="inlineStr">
        <is>
          <t>样品53</t>
        </is>
      </c>
    </row>
    <row r="426">
      <c r="A426" t="inlineStr">
        <is>
          <t>53(3)-V04</t>
        </is>
      </c>
      <c r="B426" t="inlineStr">
        <is>
          <t>53 (3).tif</t>
        </is>
      </c>
      <c r="C426" t="n">
        <v>61</v>
      </c>
      <c r="D426" t="n">
        <v>372</v>
      </c>
      <c r="E426" t="inlineStr">
        <is>
          <t>11,318,112,427</t>
        </is>
      </c>
      <c r="F426" t="n">
        <v>11</v>
      </c>
      <c r="G426" t="inlineStr">
        <is>
          <t>primary</t>
        </is>
      </c>
      <c r="H426" t="inlineStr">
        <is>
          <t>AUTO_VESSEL</t>
        </is>
      </c>
      <c r="I426" t="inlineStr">
        <is>
          <t>是</t>
        </is>
      </c>
      <c r="J426" t="inlineStr">
        <is>
          <t>纳入</t>
        </is>
      </c>
      <c r="K426" t="n">
        <v>341.4933837429111</v>
      </c>
      <c r="L426">
        <f>导管母表_860!G426</f>
        <v/>
      </c>
      <c r="M426" t="inlineStr">
        <is>
          <t>近边缘（&lt;25 px）</t>
        </is>
      </c>
      <c r="N426" t="inlineStr">
        <is>
          <t>纳入A/D/Dh；若有Pair_ID则纳入CWR</t>
        </is>
      </c>
      <c r="O426" t="inlineStr">
        <is>
          <t>自动管线检出的合格导管腔。</t>
        </is>
      </c>
      <c r="P426" t="inlineStr">
        <is>
          <t>auto_pipeline;review_png_green</t>
        </is>
      </c>
      <c r="R426" t="inlineStr">
        <is>
          <t>样品53</t>
        </is>
      </c>
    </row>
    <row r="427">
      <c r="A427" t="inlineStr">
        <is>
          <t>53(4)-V01</t>
        </is>
      </c>
      <c r="B427" t="inlineStr">
        <is>
          <t>53 (4).tif</t>
        </is>
      </c>
      <c r="C427" t="n">
        <v>427</v>
      </c>
      <c r="D427" t="n">
        <v>360</v>
      </c>
      <c r="E427" t="inlineStr">
        <is>
          <t>359,273,496,448</t>
        </is>
      </c>
      <c r="F427" t="n">
        <v>273</v>
      </c>
      <c r="G427" t="inlineStr">
        <is>
          <t>primary</t>
        </is>
      </c>
      <c r="H427" t="inlineStr">
        <is>
          <t>AUTO_VESSEL</t>
        </is>
      </c>
      <c r="I427" t="inlineStr">
        <is>
          <t>是</t>
        </is>
      </c>
      <c r="J427" t="inlineStr">
        <is>
          <t>纳入</t>
        </is>
      </c>
      <c r="K427" t="n">
        <v>878.1190926275992</v>
      </c>
      <c r="L427">
        <f>导管母表_860!G427</f>
        <v/>
      </c>
      <c r="M427" t="inlineStr">
        <is>
          <t>视野内部</t>
        </is>
      </c>
      <c r="N427" t="inlineStr">
        <is>
          <t>纳入A/D/Dh；若有Pair_ID则纳入CWR</t>
        </is>
      </c>
      <c r="O427" t="inlineStr">
        <is>
          <t>自动管线检出的合格导管腔。</t>
        </is>
      </c>
      <c r="P427" t="inlineStr">
        <is>
          <t>auto_pipeline;review_png_green</t>
        </is>
      </c>
      <c r="R427" t="inlineStr">
        <is>
          <t>样品53</t>
        </is>
      </c>
    </row>
    <row r="428">
      <c r="A428" t="inlineStr">
        <is>
          <t>53(4)-V02</t>
        </is>
      </c>
      <c r="B428" t="inlineStr">
        <is>
          <t>53 (4).tif</t>
        </is>
      </c>
      <c r="C428" t="n">
        <v>103</v>
      </c>
      <c r="D428" t="n">
        <v>325</v>
      </c>
      <c r="E428" t="inlineStr">
        <is>
          <t>40,263,167,388</t>
        </is>
      </c>
      <c r="F428" t="n">
        <v>40</v>
      </c>
      <c r="G428" t="inlineStr">
        <is>
          <t>primary</t>
        </is>
      </c>
      <c r="H428" t="inlineStr">
        <is>
          <t>AUTO_VESSEL</t>
        </is>
      </c>
      <c r="I428" t="inlineStr">
        <is>
          <t>是</t>
        </is>
      </c>
      <c r="J428" t="inlineStr">
        <is>
          <t>纳入</t>
        </is>
      </c>
      <c r="K428" t="n">
        <v>567.6039697542533</v>
      </c>
      <c r="L428">
        <f>导管母表_860!G428</f>
        <v/>
      </c>
      <c r="M428" t="inlineStr">
        <is>
          <t>视野内部</t>
        </is>
      </c>
      <c r="N428" t="inlineStr">
        <is>
          <t>纳入A/D/Dh；若有Pair_ID则纳入CWR</t>
        </is>
      </c>
      <c r="O428" t="inlineStr">
        <is>
          <t>自动管线检出的合格导管腔。</t>
        </is>
      </c>
      <c r="P428" t="inlineStr">
        <is>
          <t>auto_pipeline;review_png_green</t>
        </is>
      </c>
      <c r="R428" t="inlineStr">
        <is>
          <t>样品53</t>
        </is>
      </c>
    </row>
    <row r="429">
      <c r="A429" t="inlineStr">
        <is>
          <t>53(4)-V03</t>
        </is>
      </c>
      <c r="B429" t="inlineStr">
        <is>
          <t>53 (4).tif</t>
        </is>
      </c>
      <c r="C429" t="n">
        <v>824</v>
      </c>
      <c r="D429" t="n">
        <v>568</v>
      </c>
      <c r="E429" t="inlineStr">
        <is>
          <t>777,519,872,618</t>
        </is>
      </c>
      <c r="F429" t="n">
        <v>150</v>
      </c>
      <c r="G429" t="inlineStr">
        <is>
          <t>primary</t>
        </is>
      </c>
      <c r="H429" t="inlineStr">
        <is>
          <t>AUTO_VESSEL</t>
        </is>
      </c>
      <c r="I429" t="inlineStr">
        <is>
          <t>是</t>
        </is>
      </c>
      <c r="J429" t="inlineStr">
        <is>
          <t>纳入</t>
        </is>
      </c>
      <c r="K429" t="n">
        <v>341.0916824196597</v>
      </c>
      <c r="L429">
        <f>导管母表_860!G429</f>
        <v/>
      </c>
      <c r="M429" t="inlineStr">
        <is>
          <t>视野内部</t>
        </is>
      </c>
      <c r="N429" t="inlineStr">
        <is>
          <t>纳入A/D/Dh；若有Pair_ID则纳入CWR</t>
        </is>
      </c>
      <c r="O429" t="inlineStr">
        <is>
          <t>自动管线检出的合格导管腔。</t>
        </is>
      </c>
      <c r="P429" t="inlineStr">
        <is>
          <t>auto_pipeline;review_png_green</t>
        </is>
      </c>
      <c r="R429" t="inlineStr">
        <is>
          <t>样品53</t>
        </is>
      </c>
    </row>
    <row r="430">
      <c r="A430" t="inlineStr">
        <is>
          <t>53(5)-V01</t>
        </is>
      </c>
      <c r="B430" t="inlineStr">
        <is>
          <t>53 (5).tif</t>
        </is>
      </c>
      <c r="C430" t="n">
        <v>586</v>
      </c>
      <c r="D430" t="n">
        <v>398</v>
      </c>
      <c r="E430" t="inlineStr">
        <is>
          <t>511,312,662,485</t>
        </is>
      </c>
      <c r="F430" t="n">
        <v>283</v>
      </c>
      <c r="G430" t="inlineStr">
        <is>
          <t>primary</t>
        </is>
      </c>
      <c r="H430" t="inlineStr">
        <is>
          <t>AUTO_VESSEL</t>
        </is>
      </c>
      <c r="I430" t="inlineStr">
        <is>
          <t>是</t>
        </is>
      </c>
      <c r="J430" t="inlineStr">
        <is>
          <t>纳入</t>
        </is>
      </c>
      <c r="K430" t="n">
        <v>952.859168241966</v>
      </c>
      <c r="L430">
        <f>导管母表_860!G430</f>
        <v/>
      </c>
      <c r="M430" t="inlineStr">
        <is>
          <t>视野内部</t>
        </is>
      </c>
      <c r="N430" t="inlineStr">
        <is>
          <t>纳入A/D/Dh；若有Pair_ID则纳入CWR</t>
        </is>
      </c>
      <c r="O430" t="inlineStr">
        <is>
          <t>自动管线检出的合格导管腔。</t>
        </is>
      </c>
      <c r="P430" t="inlineStr">
        <is>
          <t>auto_pipeline;review_png_green</t>
        </is>
      </c>
      <c r="R430" t="inlineStr">
        <is>
          <t>样品53</t>
        </is>
      </c>
    </row>
    <row r="431">
      <c r="A431" t="inlineStr">
        <is>
          <t>53(5)-V02</t>
        </is>
      </c>
      <c r="B431" t="inlineStr">
        <is>
          <t>53 (5).tif</t>
        </is>
      </c>
      <c r="C431" t="n">
        <v>421</v>
      </c>
      <c r="D431" t="n">
        <v>313</v>
      </c>
      <c r="E431" t="inlineStr">
        <is>
          <t>353,234,490,393</t>
        </is>
      </c>
      <c r="F431" t="n">
        <v>234</v>
      </c>
      <c r="G431" t="inlineStr">
        <is>
          <t>primary</t>
        </is>
      </c>
      <c r="H431" t="inlineStr">
        <is>
          <t>AUTO_VESSEL</t>
        </is>
      </c>
      <c r="I431" t="inlineStr">
        <is>
          <t>是</t>
        </is>
      </c>
      <c r="J431" t="inlineStr">
        <is>
          <t>纳入</t>
        </is>
      </c>
      <c r="K431" t="n">
        <v>795.1559546313799</v>
      </c>
      <c r="L431">
        <f>导管母表_860!G431</f>
        <v/>
      </c>
      <c r="M431" t="inlineStr">
        <is>
          <t>视野内部</t>
        </is>
      </c>
      <c r="N431" t="inlineStr">
        <is>
          <t>纳入A/D/Dh；若有Pair_ID则纳入CWR</t>
        </is>
      </c>
      <c r="O431" t="inlineStr">
        <is>
          <t>自动管线检出的合格导管腔。</t>
        </is>
      </c>
      <c r="P431" t="inlineStr">
        <is>
          <t>auto_pipeline;review_png_green</t>
        </is>
      </c>
      <c r="R431" t="inlineStr">
        <is>
          <t>样品53</t>
        </is>
      </c>
    </row>
    <row r="432">
      <c r="A432" t="inlineStr">
        <is>
          <t>53(5)-V03</t>
        </is>
      </c>
      <c r="B432" t="inlineStr">
        <is>
          <t>53 (5).tif</t>
        </is>
      </c>
      <c r="C432" t="n">
        <v>923</v>
      </c>
      <c r="D432" t="n">
        <v>552</v>
      </c>
      <c r="E432" t="inlineStr">
        <is>
          <t>884,514,963,591</t>
        </is>
      </c>
      <c r="F432" t="n">
        <v>61</v>
      </c>
      <c r="G432" t="inlineStr">
        <is>
          <t>primary</t>
        </is>
      </c>
      <c r="H432" t="inlineStr">
        <is>
          <t>AUTO_VESSEL</t>
        </is>
      </c>
      <c r="I432" t="inlineStr">
        <is>
          <t>是</t>
        </is>
      </c>
      <c r="J432" t="inlineStr">
        <is>
          <t>纳入</t>
        </is>
      </c>
      <c r="K432" t="n">
        <v>174.4328922495274</v>
      </c>
      <c r="L432">
        <f>导管母表_860!G432</f>
        <v/>
      </c>
      <c r="M432" t="inlineStr">
        <is>
          <t>视野内部</t>
        </is>
      </c>
      <c r="N432" t="inlineStr">
        <is>
          <t>纳入A/D/Dh；若有Pair_ID则纳入CWR</t>
        </is>
      </c>
      <c r="O432" t="inlineStr">
        <is>
          <t>自动管线检出的合格导管腔。</t>
        </is>
      </c>
      <c r="P432" t="inlineStr">
        <is>
          <t>auto_pipeline;review_png_green</t>
        </is>
      </c>
      <c r="R432" t="inlineStr">
        <is>
          <t>样品53</t>
        </is>
      </c>
    </row>
    <row r="433">
      <c r="A433" t="inlineStr">
        <is>
          <t>53(6)-V01</t>
        </is>
      </c>
      <c r="B433" t="inlineStr">
        <is>
          <t>53 (6).tif</t>
        </is>
      </c>
      <c r="C433" t="n">
        <v>525</v>
      </c>
      <c r="D433" t="n">
        <v>448</v>
      </c>
      <c r="E433" t="inlineStr">
        <is>
          <t>445,367,606,530</t>
        </is>
      </c>
      <c r="F433" t="n">
        <v>238</v>
      </c>
      <c r="G433" t="inlineStr">
        <is>
          <t>primary</t>
        </is>
      </c>
      <c r="H433" t="inlineStr">
        <is>
          <t>AUTO_VESSEL</t>
        </is>
      </c>
      <c r="I433" t="inlineStr">
        <is>
          <t>是</t>
        </is>
      </c>
      <c r="J433" t="inlineStr">
        <is>
          <t>纳入</t>
        </is>
      </c>
      <c r="K433" t="n">
        <v>959.2391304347826</v>
      </c>
      <c r="L433">
        <f>导管母表_860!G433</f>
        <v/>
      </c>
      <c r="M433" t="inlineStr">
        <is>
          <t>视野内部</t>
        </is>
      </c>
      <c r="N433" t="inlineStr">
        <is>
          <t>纳入A/D/Dh；若有Pair_ID则纳入CWR</t>
        </is>
      </c>
      <c r="O433" t="inlineStr">
        <is>
          <t>自动管线检出的合格导管腔。</t>
        </is>
      </c>
      <c r="P433" t="inlineStr">
        <is>
          <t>auto_pipeline;review_png_green</t>
        </is>
      </c>
      <c r="Q433" t="inlineStr">
        <is>
          <t>53(6)-P01</t>
        </is>
      </c>
      <c r="R433" t="inlineStr">
        <is>
          <t>样品53</t>
        </is>
      </c>
    </row>
    <row r="434">
      <c r="A434" t="inlineStr">
        <is>
          <t>53(6)-V02</t>
        </is>
      </c>
      <c r="B434" t="inlineStr">
        <is>
          <t>53 (6).tif</t>
        </is>
      </c>
      <c r="C434" t="n">
        <v>208</v>
      </c>
      <c r="D434" t="n">
        <v>300</v>
      </c>
      <c r="E434" t="inlineStr">
        <is>
          <t>131,232,286,369</t>
        </is>
      </c>
      <c r="F434" t="n">
        <v>131</v>
      </c>
      <c r="G434" t="inlineStr">
        <is>
          <t>primary</t>
        </is>
      </c>
      <c r="H434" t="inlineStr">
        <is>
          <t>AUTO_VESSEL</t>
        </is>
      </c>
      <c r="I434" t="inlineStr">
        <is>
          <t>是</t>
        </is>
      </c>
      <c r="J434" t="inlineStr">
        <is>
          <t>纳入</t>
        </is>
      </c>
      <c r="K434" t="n">
        <v>773.9603024574669</v>
      </c>
      <c r="L434">
        <f>导管母表_860!G434</f>
        <v/>
      </c>
      <c r="M434" t="inlineStr">
        <is>
          <t>视野内部</t>
        </is>
      </c>
      <c r="N434" t="inlineStr">
        <is>
          <t>纳入A/D/Dh；若有Pair_ID则纳入CWR</t>
        </is>
      </c>
      <c r="O434" t="inlineStr">
        <is>
          <t>自动管线检出的合格导管腔。</t>
        </is>
      </c>
      <c r="P434" t="inlineStr">
        <is>
          <t>auto_pipeline;review_png_green</t>
        </is>
      </c>
      <c r="R434" t="inlineStr">
        <is>
          <t>样品53</t>
        </is>
      </c>
    </row>
    <row r="435">
      <c r="A435" t="inlineStr">
        <is>
          <t>53(6)-V03</t>
        </is>
      </c>
      <c r="B435" t="inlineStr">
        <is>
          <t>53 (6).tif</t>
        </is>
      </c>
      <c r="C435" t="n">
        <v>230</v>
      </c>
      <c r="D435" t="n">
        <v>569</v>
      </c>
      <c r="E435" t="inlineStr">
        <is>
          <t>173,505,288,634</t>
        </is>
      </c>
      <c r="F435" t="n">
        <v>134</v>
      </c>
      <c r="G435" t="inlineStr">
        <is>
          <t>primary</t>
        </is>
      </c>
      <c r="H435" t="inlineStr">
        <is>
          <t>AUTO_VESSEL</t>
        </is>
      </c>
      <c r="I435" t="inlineStr">
        <is>
          <t>是</t>
        </is>
      </c>
      <c r="J435" t="inlineStr">
        <is>
          <t>纳入</t>
        </is>
      </c>
      <c r="K435" t="n">
        <v>542.367674858223</v>
      </c>
      <c r="L435">
        <f>导管母表_860!G435</f>
        <v/>
      </c>
      <c r="M435" t="inlineStr">
        <is>
          <t>视野内部</t>
        </is>
      </c>
      <c r="N435" t="inlineStr">
        <is>
          <t>纳入A/D/Dh；若有Pair_ID则纳入CWR</t>
        </is>
      </c>
      <c r="O435" t="inlineStr">
        <is>
          <t>自动管线检出的合格导管腔。</t>
        </is>
      </c>
      <c r="P435" t="inlineStr">
        <is>
          <t>auto_pipeline;review_png_green</t>
        </is>
      </c>
      <c r="R435" t="inlineStr">
        <is>
          <t>样品53</t>
        </is>
      </c>
    </row>
    <row r="436">
      <c r="A436" t="inlineStr">
        <is>
          <t>53(6)-V04</t>
        </is>
      </c>
      <c r="B436" t="inlineStr">
        <is>
          <t>53 (6).tif</t>
        </is>
      </c>
      <c r="C436" t="n">
        <v>890</v>
      </c>
      <c r="D436" t="n">
        <v>105</v>
      </c>
      <c r="E436" t="inlineStr">
        <is>
          <t>835,43,946,168</t>
        </is>
      </c>
      <c r="F436" t="n">
        <v>43</v>
      </c>
      <c r="G436" t="inlineStr">
        <is>
          <t>primary</t>
        </is>
      </c>
      <c r="H436" t="inlineStr">
        <is>
          <t>AUTO_VESSEL</t>
        </is>
      </c>
      <c r="I436" t="inlineStr">
        <is>
          <t>是</t>
        </is>
      </c>
      <c r="J436" t="inlineStr">
        <is>
          <t>纳入</t>
        </is>
      </c>
      <c r="K436" t="n">
        <v>506.0018903591683</v>
      </c>
      <c r="L436">
        <f>导管母表_860!G436</f>
        <v/>
      </c>
      <c r="M436" t="inlineStr">
        <is>
          <t>视野内部</t>
        </is>
      </c>
      <c r="N436" t="inlineStr">
        <is>
          <t>纳入A/D/Dh；若有Pair_ID则纳入CWR</t>
        </is>
      </c>
      <c r="O436" t="inlineStr">
        <is>
          <t>自动管线检出的合格导管腔。</t>
        </is>
      </c>
      <c r="P436" t="inlineStr">
        <is>
          <t>auto_pipeline;review_png_green</t>
        </is>
      </c>
      <c r="R436" t="inlineStr">
        <is>
          <t>样品53</t>
        </is>
      </c>
    </row>
    <row r="437">
      <c r="A437" t="inlineStr">
        <is>
          <t>53(6)-V05</t>
        </is>
      </c>
      <c r="B437" t="inlineStr">
        <is>
          <t>53 (6).tif</t>
        </is>
      </c>
      <c r="C437" t="n">
        <v>506</v>
      </c>
      <c r="D437" t="n">
        <v>291</v>
      </c>
      <c r="E437" t="inlineStr">
        <is>
          <t>448,234,565,349</t>
        </is>
      </c>
      <c r="F437" t="n">
        <v>234</v>
      </c>
      <c r="G437" t="inlineStr">
        <is>
          <t>primary</t>
        </is>
      </c>
      <c r="H437" t="inlineStr">
        <is>
          <t>AUTO_VESSEL</t>
        </is>
      </c>
      <c r="I437" t="inlineStr">
        <is>
          <t>是</t>
        </is>
      </c>
      <c r="J437" t="inlineStr">
        <is>
          <t>纳入</t>
        </is>
      </c>
      <c r="K437" t="n">
        <v>488.9886578449905</v>
      </c>
      <c r="L437">
        <f>导管母表_860!G437</f>
        <v/>
      </c>
      <c r="M437" t="inlineStr">
        <is>
          <t>视野内部</t>
        </is>
      </c>
      <c r="N437" t="inlineStr">
        <is>
          <t>纳入A/D/Dh；若有Pair_ID则纳入CWR</t>
        </is>
      </c>
      <c r="O437" t="inlineStr">
        <is>
          <t>自动管线检出的合格导管腔。</t>
        </is>
      </c>
      <c r="P437" t="inlineStr">
        <is>
          <t>auto_pipeline;review_png_green</t>
        </is>
      </c>
      <c r="Q437" t="inlineStr">
        <is>
          <t>53(6)-P01</t>
        </is>
      </c>
      <c r="R437" t="inlineStr">
        <is>
          <t>样品53</t>
        </is>
      </c>
    </row>
    <row r="438">
      <c r="A438" t="inlineStr">
        <is>
          <t>53(6)-V06</t>
        </is>
      </c>
      <c r="B438" t="inlineStr">
        <is>
          <t>53 (6).tif</t>
        </is>
      </c>
      <c r="C438" t="n">
        <v>85</v>
      </c>
      <c r="D438" t="n">
        <v>340</v>
      </c>
      <c r="E438" t="inlineStr">
        <is>
          <t>53,301,118,380</t>
        </is>
      </c>
      <c r="F438" t="n">
        <v>53</v>
      </c>
      <c r="G438" t="inlineStr">
        <is>
          <t>primary</t>
        </is>
      </c>
      <c r="H438" t="inlineStr">
        <is>
          <t>AUTO_VESSEL</t>
        </is>
      </c>
      <c r="I438" t="inlineStr">
        <is>
          <t>是</t>
        </is>
      </c>
      <c r="J438" t="inlineStr">
        <is>
          <t>纳入</t>
        </is>
      </c>
      <c r="K438" t="n">
        <v>184.0973534971644</v>
      </c>
      <c r="L438">
        <f>导管母表_860!G438</f>
        <v/>
      </c>
      <c r="M438" t="inlineStr">
        <is>
          <t>视野内部</t>
        </is>
      </c>
      <c r="N438" t="inlineStr">
        <is>
          <t>纳入A/D/Dh；若有Pair_ID则纳入CWR</t>
        </is>
      </c>
      <c r="O438" t="inlineStr">
        <is>
          <t>自动管线检出的合格导管腔。</t>
        </is>
      </c>
      <c r="P438" t="inlineStr">
        <is>
          <t>auto_pipeline;review_png_green</t>
        </is>
      </c>
      <c r="R438" t="inlineStr">
        <is>
          <t>样品53</t>
        </is>
      </c>
    </row>
    <row r="439">
      <c r="A439" t="inlineStr">
        <is>
          <t>53(6)-V07</t>
        </is>
      </c>
      <c r="B439" t="inlineStr">
        <is>
          <t>53 (6).tif</t>
        </is>
      </c>
      <c r="C439" t="n">
        <v>747</v>
      </c>
      <c r="D439" t="n">
        <v>261</v>
      </c>
      <c r="E439" t="inlineStr">
        <is>
          <t>726,199,769,324</t>
        </is>
      </c>
      <c r="F439" t="n">
        <v>199</v>
      </c>
      <c r="G439" t="inlineStr">
        <is>
          <t>primary</t>
        </is>
      </c>
      <c r="H439" t="inlineStr">
        <is>
          <t>AUTO_VESSEL</t>
        </is>
      </c>
      <c r="I439" t="inlineStr">
        <is>
          <t>是</t>
        </is>
      </c>
      <c r="J439" t="inlineStr">
        <is>
          <t>纳入</t>
        </is>
      </c>
      <c r="K439" t="n">
        <v>177.6937618147448</v>
      </c>
      <c r="L439">
        <f>导管母表_860!G439</f>
        <v/>
      </c>
      <c r="M439" t="inlineStr">
        <is>
          <t>视野内部</t>
        </is>
      </c>
      <c r="N439" t="inlineStr">
        <is>
          <t>纳入A/D/Dh；若有Pair_ID则纳入CWR</t>
        </is>
      </c>
      <c r="O439" t="inlineStr">
        <is>
          <t>自动管线检出的合格导管腔。</t>
        </is>
      </c>
      <c r="P439" t="inlineStr">
        <is>
          <t>auto_pipeline;review_png_green</t>
        </is>
      </c>
      <c r="R439" t="inlineStr">
        <is>
          <t>样品53</t>
        </is>
      </c>
    </row>
    <row r="440">
      <c r="A440" t="inlineStr">
        <is>
          <t>53(7)-V01</t>
        </is>
      </c>
      <c r="B440" t="inlineStr">
        <is>
          <t>53 (7).tif</t>
        </is>
      </c>
      <c r="C440" t="n">
        <v>481</v>
      </c>
      <c r="D440" t="n">
        <v>436</v>
      </c>
      <c r="E440" t="inlineStr">
        <is>
          <t>406,379,557,494</t>
        </is>
      </c>
      <c r="F440" t="n">
        <v>274</v>
      </c>
      <c r="G440" t="inlineStr">
        <is>
          <t>primary</t>
        </is>
      </c>
      <c r="H440" t="inlineStr">
        <is>
          <t>AUTO_VESSEL</t>
        </is>
      </c>
      <c r="I440" t="inlineStr">
        <is>
          <t>是</t>
        </is>
      </c>
      <c r="J440" t="inlineStr">
        <is>
          <t>纳入</t>
        </is>
      </c>
      <c r="K440" t="n">
        <v>634.1682419659735</v>
      </c>
      <c r="L440">
        <f>导管母表_860!G440</f>
        <v/>
      </c>
      <c r="M440" t="inlineStr">
        <is>
          <t>视野内部</t>
        </is>
      </c>
      <c r="N440" t="inlineStr">
        <is>
          <t>纳入A/D/Dh；若有Pair_ID则纳入CWR</t>
        </is>
      </c>
      <c r="O440" t="inlineStr">
        <is>
          <t>自动管线检出的合格导管腔。</t>
        </is>
      </c>
      <c r="P440" t="inlineStr">
        <is>
          <t>auto_pipeline;review_png_green</t>
        </is>
      </c>
      <c r="R440" t="inlineStr">
        <is>
          <t>样品53</t>
        </is>
      </c>
    </row>
    <row r="441">
      <c r="A441" t="inlineStr">
        <is>
          <t>53(7)-V02</t>
        </is>
      </c>
      <c r="B441" t="inlineStr">
        <is>
          <t>53 (7).tif</t>
        </is>
      </c>
      <c r="C441" t="n">
        <v>176</v>
      </c>
      <c r="D441" t="n">
        <v>350</v>
      </c>
      <c r="E441" t="inlineStr">
        <is>
          <t>122,284,231,417</t>
        </is>
      </c>
      <c r="F441" t="n">
        <v>122</v>
      </c>
      <c r="G441" t="inlineStr">
        <is>
          <t>primary</t>
        </is>
      </c>
      <c r="H441" t="inlineStr">
        <is>
          <t>AUTO_VESSEL</t>
        </is>
      </c>
      <c r="I441" t="inlineStr">
        <is>
          <t>是</t>
        </is>
      </c>
      <c r="J441" t="inlineStr">
        <is>
          <t>纳入</t>
        </is>
      </c>
      <c r="K441" t="n">
        <v>495.6758034026465</v>
      </c>
      <c r="L441">
        <f>导管母表_860!G441</f>
        <v/>
      </c>
      <c r="M441" t="inlineStr">
        <is>
          <t>视野内部</t>
        </is>
      </c>
      <c r="N441" t="inlineStr">
        <is>
          <t>纳入A/D/Dh；若有Pair_ID则纳入CWR</t>
        </is>
      </c>
      <c r="O441" t="inlineStr">
        <is>
          <t>自动管线检出的合格导管腔。</t>
        </is>
      </c>
      <c r="P441" t="inlineStr">
        <is>
          <t>auto_pipeline;review_png_green</t>
        </is>
      </c>
      <c r="R441" t="inlineStr">
        <is>
          <t>样品53</t>
        </is>
      </c>
    </row>
    <row r="442">
      <c r="A442" t="inlineStr">
        <is>
          <t>53(7)-V03</t>
        </is>
      </c>
      <c r="B442" t="inlineStr">
        <is>
          <t>53 (7).tif</t>
        </is>
      </c>
      <c r="C442" t="n">
        <v>100</v>
      </c>
      <c r="D442" t="n">
        <v>523</v>
      </c>
      <c r="E442" t="inlineStr">
        <is>
          <t>59,449,142,598</t>
        </is>
      </c>
      <c r="F442" t="n">
        <v>59</v>
      </c>
      <c r="G442" t="inlineStr">
        <is>
          <t>primary</t>
        </is>
      </c>
      <c r="H442" t="inlineStr">
        <is>
          <t>AUTO_VESSEL</t>
        </is>
      </c>
      <c r="I442" t="inlineStr">
        <is>
          <t>是</t>
        </is>
      </c>
      <c r="J442" t="inlineStr">
        <is>
          <t>纳入</t>
        </is>
      </c>
      <c r="K442" t="n">
        <v>445.0614366729679</v>
      </c>
      <c r="L442">
        <f>导管母表_860!G442</f>
        <v/>
      </c>
      <c r="M442" t="inlineStr">
        <is>
          <t>视野内部</t>
        </is>
      </c>
      <c r="N442" t="inlineStr">
        <is>
          <t>纳入A/D/Dh；若有Pair_ID则纳入CWR</t>
        </is>
      </c>
      <c r="O442" t="inlineStr">
        <is>
          <t>自动管线检出的合格导管腔。</t>
        </is>
      </c>
      <c r="P442" t="inlineStr">
        <is>
          <t>auto_pipeline;review_png_green</t>
        </is>
      </c>
      <c r="R442" t="inlineStr">
        <is>
          <t>样品53</t>
        </is>
      </c>
    </row>
    <row r="443">
      <c r="A443" t="inlineStr">
        <is>
          <t>53(7)-V04</t>
        </is>
      </c>
      <c r="B443" t="inlineStr">
        <is>
          <t>53 (7).tif</t>
        </is>
      </c>
      <c r="C443" t="n">
        <v>954</v>
      </c>
      <c r="D443" t="n">
        <v>301</v>
      </c>
      <c r="E443" t="inlineStr">
        <is>
          <t>917,224,992,379</t>
        </is>
      </c>
      <c r="F443" t="n">
        <v>32</v>
      </c>
      <c r="G443" t="inlineStr">
        <is>
          <t>primary</t>
        </is>
      </c>
      <c r="H443" t="inlineStr">
        <is>
          <t>AUTO_VESSEL</t>
        </is>
      </c>
      <c r="I443" t="inlineStr">
        <is>
          <t>是</t>
        </is>
      </c>
      <c r="J443" t="inlineStr">
        <is>
          <t>纳入</t>
        </is>
      </c>
      <c r="K443" t="n">
        <v>423.4877126654064</v>
      </c>
      <c r="L443">
        <f>导管母表_860!G443</f>
        <v/>
      </c>
      <c r="M443" t="inlineStr">
        <is>
          <t>视野内部</t>
        </is>
      </c>
      <c r="N443" t="inlineStr">
        <is>
          <t>纳入A/D/Dh；若有Pair_ID则纳入CWR</t>
        </is>
      </c>
      <c r="O443" t="inlineStr">
        <is>
          <t>自动管线检出的合格导管腔。</t>
        </is>
      </c>
      <c r="P443" t="inlineStr">
        <is>
          <t>auto_pipeline;review_png_green</t>
        </is>
      </c>
      <c r="R443" t="inlineStr">
        <is>
          <t>样品53</t>
        </is>
      </c>
    </row>
    <row r="444">
      <c r="A444" t="inlineStr">
        <is>
          <t>53(7)-V05</t>
        </is>
      </c>
      <c r="B444" t="inlineStr">
        <is>
          <t>53 (7).tif</t>
        </is>
      </c>
      <c r="C444" t="n">
        <v>527</v>
      </c>
      <c r="D444" t="n">
        <v>319</v>
      </c>
      <c r="E444" t="inlineStr">
        <is>
          <t>476,270,579,369</t>
        </is>
      </c>
      <c r="F444" t="n">
        <v>270</v>
      </c>
      <c r="G444" t="inlineStr">
        <is>
          <t>primary</t>
        </is>
      </c>
      <c r="H444" t="inlineStr">
        <is>
          <t>AUTO_VESSEL</t>
        </is>
      </c>
      <c r="I444" t="inlineStr">
        <is>
          <t>是</t>
        </is>
      </c>
      <c r="J444" t="inlineStr">
        <is>
          <t>纳入</t>
        </is>
      </c>
      <c r="K444" t="n">
        <v>370.5103969754254</v>
      </c>
      <c r="L444">
        <f>导管母表_860!G444</f>
        <v/>
      </c>
      <c r="M444" t="inlineStr">
        <is>
          <t>视野内部</t>
        </is>
      </c>
      <c r="N444" t="inlineStr">
        <is>
          <t>纳入A/D/Dh；若有Pair_ID则纳入CWR</t>
        </is>
      </c>
      <c r="O444" t="inlineStr">
        <is>
          <t>自动管线检出的合格导管腔。</t>
        </is>
      </c>
      <c r="P444" t="inlineStr">
        <is>
          <t>auto_pipeline;review_png_green</t>
        </is>
      </c>
      <c r="Q444" t="inlineStr">
        <is>
          <t>53(7)-P01</t>
        </is>
      </c>
      <c r="R444" t="inlineStr">
        <is>
          <t>样品53</t>
        </is>
      </c>
    </row>
    <row r="445">
      <c r="A445" t="inlineStr">
        <is>
          <t>53(7)-V06</t>
        </is>
      </c>
      <c r="B445" t="inlineStr">
        <is>
          <t>53 (7).tif</t>
        </is>
      </c>
      <c r="C445" t="n">
        <v>822</v>
      </c>
      <c r="D445" t="n">
        <v>487</v>
      </c>
      <c r="E445" t="inlineStr">
        <is>
          <t>781,432,864,543</t>
        </is>
      </c>
      <c r="F445" t="n">
        <v>160</v>
      </c>
      <c r="G445" t="inlineStr">
        <is>
          <t>primary</t>
        </is>
      </c>
      <c r="H445" t="inlineStr">
        <is>
          <t>AUTO_VESSEL</t>
        </is>
      </c>
      <c r="I445" t="inlineStr">
        <is>
          <t>是</t>
        </is>
      </c>
      <c r="J445" t="inlineStr">
        <is>
          <t>纳入</t>
        </is>
      </c>
      <c r="K445" t="n">
        <v>334.593572778828</v>
      </c>
      <c r="L445">
        <f>导管母表_860!G445</f>
        <v/>
      </c>
      <c r="M445" t="inlineStr">
        <is>
          <t>视野内部</t>
        </is>
      </c>
      <c r="N445" t="inlineStr">
        <is>
          <t>纳入A/D/Dh；若有Pair_ID则纳入CWR</t>
        </is>
      </c>
      <c r="O445" t="inlineStr">
        <is>
          <t>自动管线检出的合格导管腔。</t>
        </is>
      </c>
      <c r="P445" t="inlineStr">
        <is>
          <t>auto_pipeline;review_png_green</t>
        </is>
      </c>
      <c r="R445" t="inlineStr">
        <is>
          <t>样品53</t>
        </is>
      </c>
    </row>
    <row r="446">
      <c r="A446" t="inlineStr">
        <is>
          <t>53(7)-V07</t>
        </is>
      </c>
      <c r="B446" t="inlineStr">
        <is>
          <t>53 (7).tif</t>
        </is>
      </c>
      <c r="C446" t="n">
        <v>471</v>
      </c>
      <c r="D446" t="n">
        <v>257</v>
      </c>
      <c r="E446" t="inlineStr">
        <is>
          <t>435,215,508,300</t>
        </is>
      </c>
      <c r="F446" t="n">
        <v>215</v>
      </c>
      <c r="G446" t="inlineStr">
        <is>
          <t>primary</t>
        </is>
      </c>
      <c r="H446" t="inlineStr">
        <is>
          <t>AUTO_VESSEL</t>
        </is>
      </c>
      <c r="I446" t="inlineStr">
        <is>
          <t>是</t>
        </is>
      </c>
      <c r="J446" t="inlineStr">
        <is>
          <t>纳入</t>
        </is>
      </c>
      <c r="K446" t="n">
        <v>188.9413988657845</v>
      </c>
      <c r="L446">
        <f>导管母表_860!G446</f>
        <v/>
      </c>
      <c r="M446" t="inlineStr">
        <is>
          <t>视野内部</t>
        </is>
      </c>
      <c r="N446" t="inlineStr">
        <is>
          <t>纳入A/D/Dh；若有Pair_ID则纳入CWR</t>
        </is>
      </c>
      <c r="O446" t="inlineStr">
        <is>
          <t>自动管线检出的合格导管腔。</t>
        </is>
      </c>
      <c r="P446" t="inlineStr">
        <is>
          <t>auto_pipeline;review_png_green</t>
        </is>
      </c>
      <c r="Q446" t="inlineStr">
        <is>
          <t>53(7)-P01</t>
        </is>
      </c>
      <c r="R446" t="inlineStr">
        <is>
          <t>样品53</t>
        </is>
      </c>
    </row>
    <row r="447">
      <c r="A447" t="inlineStr">
        <is>
          <t>53(8)-V01</t>
        </is>
      </c>
      <c r="B447" t="inlineStr">
        <is>
          <t>53 (8).tif</t>
        </is>
      </c>
      <c r="C447" t="n">
        <v>472</v>
      </c>
      <c r="D447" t="n">
        <v>451</v>
      </c>
      <c r="E447" t="inlineStr">
        <is>
          <t>393,386,552,517</t>
        </is>
      </c>
      <c r="F447" t="n">
        <v>251</v>
      </c>
      <c r="G447" t="inlineStr">
        <is>
          <t>primary</t>
        </is>
      </c>
      <c r="H447" t="inlineStr">
        <is>
          <t>AUTO_VESSEL</t>
        </is>
      </c>
      <c r="I447" t="inlineStr">
        <is>
          <t>是</t>
        </is>
      </c>
      <c r="J447" t="inlineStr">
        <is>
          <t>纳入</t>
        </is>
      </c>
      <c r="K447" t="n">
        <v>761.5311909262759</v>
      </c>
      <c r="L447">
        <f>导管母表_860!G447</f>
        <v/>
      </c>
      <c r="M447" t="inlineStr">
        <is>
          <t>视野内部</t>
        </is>
      </c>
      <c r="N447" t="inlineStr">
        <is>
          <t>纳入A/D/Dh；若有Pair_ID则纳入CWR</t>
        </is>
      </c>
      <c r="O447" t="inlineStr">
        <is>
          <t>自动管线检出的合格导管腔。</t>
        </is>
      </c>
      <c r="P447" t="inlineStr">
        <is>
          <t>auto_pipeline;review_png_green</t>
        </is>
      </c>
      <c r="Q447" t="inlineStr">
        <is>
          <t>53(8)-P01</t>
        </is>
      </c>
      <c r="R447" t="inlineStr">
        <is>
          <t>样品53</t>
        </is>
      </c>
    </row>
    <row r="448">
      <c r="A448" t="inlineStr">
        <is>
          <t>53(8)-V02</t>
        </is>
      </c>
      <c r="B448" t="inlineStr">
        <is>
          <t>53 (8).tif</t>
        </is>
      </c>
      <c r="C448" t="n">
        <v>769</v>
      </c>
      <c r="D448" t="n">
        <v>616</v>
      </c>
      <c r="E448" t="inlineStr">
        <is>
          <t>701,552,838,681</t>
        </is>
      </c>
      <c r="F448" t="n">
        <v>87</v>
      </c>
      <c r="G448" t="inlineStr">
        <is>
          <t>primary</t>
        </is>
      </c>
      <c r="H448" t="inlineStr">
        <is>
          <t>AUTO_VESSEL</t>
        </is>
      </c>
      <c r="I448" t="inlineStr">
        <is>
          <t>是</t>
        </is>
      </c>
      <c r="J448" t="inlineStr">
        <is>
          <t>纳入</t>
        </is>
      </c>
      <c r="K448" t="n">
        <v>646.7391304347826</v>
      </c>
      <c r="L448">
        <f>导管母表_860!G448</f>
        <v/>
      </c>
      <c r="M448" t="inlineStr">
        <is>
          <t>视野内部</t>
        </is>
      </c>
      <c r="N448" t="inlineStr">
        <is>
          <t>纳入A/D/Dh；若有Pair_ID则纳入CWR</t>
        </is>
      </c>
      <c r="O448" t="inlineStr">
        <is>
          <t>自动管线检出的合格导管腔。</t>
        </is>
      </c>
      <c r="P448" t="inlineStr">
        <is>
          <t>auto_pipeline;review_png_green</t>
        </is>
      </c>
      <c r="R448" t="inlineStr">
        <is>
          <t>样品53</t>
        </is>
      </c>
    </row>
    <row r="449">
      <c r="A449" t="inlineStr">
        <is>
          <t>53(8)-V03</t>
        </is>
      </c>
      <c r="B449" t="inlineStr">
        <is>
          <t>53 (8).tif</t>
        </is>
      </c>
      <c r="C449" t="n">
        <v>504</v>
      </c>
      <c r="D449" t="n">
        <v>317</v>
      </c>
      <c r="E449" t="inlineStr">
        <is>
          <t>431,259,578,376</t>
        </is>
      </c>
      <c r="F449" t="n">
        <v>259</v>
      </c>
      <c r="G449" t="inlineStr">
        <is>
          <t>primary</t>
        </is>
      </c>
      <c r="H449" t="inlineStr">
        <is>
          <t>AUTO_VESSEL</t>
        </is>
      </c>
      <c r="I449" t="inlineStr">
        <is>
          <t>是</t>
        </is>
      </c>
      <c r="J449" t="inlineStr">
        <is>
          <t>纳入</t>
        </is>
      </c>
      <c r="K449" t="n">
        <v>626.2051039697543</v>
      </c>
      <c r="L449">
        <f>导管母表_860!G449</f>
        <v/>
      </c>
      <c r="M449" t="inlineStr">
        <is>
          <t>视野内部</t>
        </is>
      </c>
      <c r="N449" t="inlineStr">
        <is>
          <t>纳入A/D/Dh；若有Pair_ID则纳入CWR</t>
        </is>
      </c>
      <c r="O449" t="inlineStr">
        <is>
          <t>自动管线检出的合格导管腔。</t>
        </is>
      </c>
      <c r="P449" t="inlineStr">
        <is>
          <t>auto_pipeline;review_png_green</t>
        </is>
      </c>
      <c r="Q449" t="inlineStr">
        <is>
          <t>53(8)-P01</t>
        </is>
      </c>
      <c r="R449" t="inlineStr">
        <is>
          <t>样品53</t>
        </is>
      </c>
    </row>
    <row r="450">
      <c r="A450" t="inlineStr">
        <is>
          <t>53(8)-V04</t>
        </is>
      </c>
      <c r="B450" t="inlineStr">
        <is>
          <t>53 (8).tif</t>
        </is>
      </c>
      <c r="C450" t="n">
        <v>133</v>
      </c>
      <c r="D450" t="n">
        <v>213</v>
      </c>
      <c r="E450" t="inlineStr">
        <is>
          <t>72,152,195,275</t>
        </is>
      </c>
      <c r="F450" t="n">
        <v>72</v>
      </c>
      <c r="G450" t="inlineStr">
        <is>
          <t>primary</t>
        </is>
      </c>
      <c r="H450" t="inlineStr">
        <is>
          <t>AUTO_VESSEL</t>
        </is>
      </c>
      <c r="I450" t="inlineStr">
        <is>
          <t>是</t>
        </is>
      </c>
      <c r="J450" t="inlineStr">
        <is>
          <t>纳入</t>
        </is>
      </c>
      <c r="K450" t="n">
        <v>537.6654064272212</v>
      </c>
      <c r="L450">
        <f>导管母表_860!G450</f>
        <v/>
      </c>
      <c r="M450" t="inlineStr">
        <is>
          <t>视野内部</t>
        </is>
      </c>
      <c r="N450" t="inlineStr">
        <is>
          <t>纳入A/D/Dh；若有Pair_ID则纳入CWR</t>
        </is>
      </c>
      <c r="O450" t="inlineStr">
        <is>
          <t>自动管线检出的合格导管腔。</t>
        </is>
      </c>
      <c r="P450" t="inlineStr">
        <is>
          <t>auto_pipeline;review_png_green</t>
        </is>
      </c>
      <c r="R450" t="inlineStr">
        <is>
          <t>样品53</t>
        </is>
      </c>
    </row>
    <row r="451">
      <c r="A451" t="inlineStr">
        <is>
          <t>53(8)-V05</t>
        </is>
      </c>
      <c r="B451" t="inlineStr">
        <is>
          <t>53 (8).tif</t>
        </is>
      </c>
      <c r="C451" t="n">
        <v>891</v>
      </c>
      <c r="D451" t="n">
        <v>504</v>
      </c>
      <c r="E451" t="inlineStr">
        <is>
          <t>864,469,919,540</t>
        </is>
      </c>
      <c r="F451" t="n">
        <v>105</v>
      </c>
      <c r="G451" t="inlineStr">
        <is>
          <t>primary</t>
        </is>
      </c>
      <c r="H451" t="inlineStr">
        <is>
          <t>AUTO_VESSEL</t>
        </is>
      </c>
      <c r="I451" t="inlineStr">
        <is>
          <t>是</t>
        </is>
      </c>
      <c r="J451" t="inlineStr">
        <is>
          <t>纳入</t>
        </is>
      </c>
      <c r="K451" t="n">
        <v>121.5500945179584</v>
      </c>
      <c r="L451">
        <f>导管母表_860!G451</f>
        <v/>
      </c>
      <c r="M451" t="inlineStr">
        <is>
          <t>视野内部</t>
        </is>
      </c>
      <c r="N451" t="inlineStr">
        <is>
          <t>纳入A/D/Dh；若有Pair_ID则纳入CWR</t>
        </is>
      </c>
      <c r="O451" t="inlineStr">
        <is>
          <t>自动管线检出的合格导管腔。</t>
        </is>
      </c>
      <c r="P451" t="inlineStr">
        <is>
          <t>auto_pipeline;review_png_green</t>
        </is>
      </c>
      <c r="R451" t="inlineStr">
        <is>
          <t>样品53</t>
        </is>
      </c>
    </row>
    <row r="452">
      <c r="A452" t="inlineStr">
        <is>
          <t>53(8)-V06</t>
        </is>
      </c>
      <c r="B452" t="inlineStr">
        <is>
          <t>53 (8).tif</t>
        </is>
      </c>
      <c r="C452" t="n">
        <v>100</v>
      </c>
      <c r="D452" t="n">
        <v>86</v>
      </c>
      <c r="E452" t="inlineStr">
        <is>
          <t>81,46,120,127</t>
        </is>
      </c>
      <c r="F452" t="n">
        <v>46</v>
      </c>
      <c r="G452" t="inlineStr">
        <is>
          <t>primary</t>
        </is>
      </c>
      <c r="H452" t="inlineStr">
        <is>
          <t>AUTO_VESSEL</t>
        </is>
      </c>
      <c r="I452" t="inlineStr">
        <is>
          <t>是</t>
        </is>
      </c>
      <c r="J452" t="inlineStr">
        <is>
          <t>纳入</t>
        </is>
      </c>
      <c r="K452" t="n">
        <v>113.1379962192817</v>
      </c>
      <c r="L452">
        <f>导管母表_860!G452</f>
        <v/>
      </c>
      <c r="M452" t="inlineStr">
        <is>
          <t>视野内部</t>
        </is>
      </c>
      <c r="N452" t="inlineStr">
        <is>
          <t>纳入A/D/Dh；若有Pair_ID则纳入CWR</t>
        </is>
      </c>
      <c r="O452" t="inlineStr">
        <is>
          <t>自动管线检出的合格导管腔。</t>
        </is>
      </c>
      <c r="P452" t="inlineStr">
        <is>
          <t>auto_pipeline;review_png_green</t>
        </is>
      </c>
      <c r="R452" t="inlineStr">
        <is>
          <t>样品53</t>
        </is>
      </c>
    </row>
    <row r="453">
      <c r="A453" t="inlineStr">
        <is>
          <t>54(1)-V01</t>
        </is>
      </c>
      <c r="B453" t="inlineStr">
        <is>
          <t>54 (1).tif</t>
        </is>
      </c>
      <c r="C453" t="n">
        <v>866</v>
      </c>
      <c r="D453" t="n">
        <v>557</v>
      </c>
      <c r="E453" t="inlineStr">
        <is>
          <t>804,489,929,626</t>
        </is>
      </c>
      <c r="F453" t="n">
        <v>95</v>
      </c>
      <c r="G453" t="inlineStr">
        <is>
          <t>primary</t>
        </is>
      </c>
      <c r="H453" t="inlineStr">
        <is>
          <t>AUTO_VESSEL</t>
        </is>
      </c>
      <c r="I453" t="inlineStr">
        <is>
          <t>是</t>
        </is>
      </c>
      <c r="J453" t="inlineStr">
        <is>
          <t>纳入</t>
        </is>
      </c>
      <c r="K453" t="n">
        <v>625.8270321361059</v>
      </c>
      <c r="L453">
        <f>导管母表_860!G453</f>
        <v/>
      </c>
      <c r="M453" t="inlineStr">
        <is>
          <t>视野内部</t>
        </is>
      </c>
      <c r="N453" t="inlineStr">
        <is>
          <t>纳入A/D/Dh；若有Pair_ID则纳入CWR</t>
        </is>
      </c>
      <c r="O453" t="inlineStr">
        <is>
          <t>自动管线检出的合格导管腔。</t>
        </is>
      </c>
      <c r="P453" t="inlineStr">
        <is>
          <t>auto_pipeline;review_png_green</t>
        </is>
      </c>
      <c r="Q453" t="inlineStr">
        <is>
          <t>54(1)-P01</t>
        </is>
      </c>
      <c r="R453" t="inlineStr">
        <is>
          <t>样品54</t>
        </is>
      </c>
    </row>
    <row r="454">
      <c r="A454" t="inlineStr">
        <is>
          <t>54(1)-V02</t>
        </is>
      </c>
      <c r="B454" t="inlineStr">
        <is>
          <t>54 (1).tif</t>
        </is>
      </c>
      <c r="C454" t="n">
        <v>481</v>
      </c>
      <c r="D454" t="n">
        <v>101</v>
      </c>
      <c r="E454" t="inlineStr">
        <is>
          <t>416,38,547,165</t>
        </is>
      </c>
      <c r="F454" t="n">
        <v>38</v>
      </c>
      <c r="G454" t="inlineStr">
        <is>
          <t>primary</t>
        </is>
      </c>
      <c r="H454" t="inlineStr">
        <is>
          <t>AUTO_VESSEL</t>
        </is>
      </c>
      <c r="I454" t="inlineStr">
        <is>
          <t>是</t>
        </is>
      </c>
      <c r="J454" t="inlineStr">
        <is>
          <t>纳入</t>
        </is>
      </c>
      <c r="K454" t="n">
        <v>564.5085066162571</v>
      </c>
      <c r="L454">
        <f>导管母表_860!G454</f>
        <v/>
      </c>
      <c r="M454" t="inlineStr">
        <is>
          <t>视野内部</t>
        </is>
      </c>
      <c r="N454" t="inlineStr">
        <is>
          <t>纳入A/D/Dh；若有Pair_ID则纳入CWR</t>
        </is>
      </c>
      <c r="O454" t="inlineStr">
        <is>
          <t>自动管线检出的合格导管腔。</t>
        </is>
      </c>
      <c r="P454" t="inlineStr">
        <is>
          <t>auto_pipeline;review_png_green</t>
        </is>
      </c>
      <c r="R454" t="inlineStr">
        <is>
          <t>样品54</t>
        </is>
      </c>
    </row>
    <row r="455">
      <c r="A455" t="inlineStr">
        <is>
          <t>54(1)-V03</t>
        </is>
      </c>
      <c r="B455" t="inlineStr">
        <is>
          <t>54 (1).tif</t>
        </is>
      </c>
      <c r="C455" t="n">
        <v>743</v>
      </c>
      <c r="D455" t="n">
        <v>512</v>
      </c>
      <c r="E455" t="inlineStr">
        <is>
          <t>686,450,801,575</t>
        </is>
      </c>
      <c r="F455" t="n">
        <v>193</v>
      </c>
      <c r="G455" t="inlineStr">
        <is>
          <t>primary</t>
        </is>
      </c>
      <c r="H455" t="inlineStr">
        <is>
          <t>AUTO_VESSEL</t>
        </is>
      </c>
      <c r="I455" t="inlineStr">
        <is>
          <t>是</t>
        </is>
      </c>
      <c r="J455" t="inlineStr">
        <is>
          <t>纳入</t>
        </is>
      </c>
      <c r="K455" t="n">
        <v>525</v>
      </c>
      <c r="L455">
        <f>导管母表_860!G455</f>
        <v/>
      </c>
      <c r="M455" t="inlineStr">
        <is>
          <t>视野内部</t>
        </is>
      </c>
      <c r="N455" t="inlineStr">
        <is>
          <t>纳入A/D/Dh；若有Pair_ID则纳入CWR</t>
        </is>
      </c>
      <c r="O455" t="inlineStr">
        <is>
          <t>自动管线检出的合格导管腔。</t>
        </is>
      </c>
      <c r="P455" t="inlineStr">
        <is>
          <t>auto_pipeline;review_png_green</t>
        </is>
      </c>
      <c r="Q455" t="inlineStr">
        <is>
          <t>54(1)-P01</t>
        </is>
      </c>
      <c r="R455" t="inlineStr">
        <is>
          <t>样品54</t>
        </is>
      </c>
    </row>
    <row r="456">
      <c r="A456" t="inlineStr">
        <is>
          <t>54(1)-V04</t>
        </is>
      </c>
      <c r="B456" t="inlineStr">
        <is>
          <t>54 (1).tif</t>
        </is>
      </c>
      <c r="C456" t="n">
        <v>552</v>
      </c>
      <c r="D456" t="n">
        <v>324</v>
      </c>
      <c r="E456" t="inlineStr">
        <is>
          <t>496,268,609,381</t>
        </is>
      </c>
      <c r="F456" t="n">
        <v>268</v>
      </c>
      <c r="G456" t="inlineStr">
        <is>
          <t>primary</t>
        </is>
      </c>
      <c r="H456" t="inlineStr">
        <is>
          <t>AUTO_VESSEL</t>
        </is>
      </c>
      <c r="I456" t="inlineStr">
        <is>
          <t>是</t>
        </is>
      </c>
      <c r="J456" t="inlineStr">
        <is>
          <t>纳入</t>
        </is>
      </c>
      <c r="K456" t="n">
        <v>465.0283553875236</v>
      </c>
      <c r="L456">
        <f>导管母表_860!G456</f>
        <v/>
      </c>
      <c r="M456" t="inlineStr">
        <is>
          <t>视野内部</t>
        </is>
      </c>
      <c r="N456" t="inlineStr">
        <is>
          <t>纳入A/D/Dh；若有Pair_ID则纳入CWR</t>
        </is>
      </c>
      <c r="O456" t="inlineStr">
        <is>
          <t>自动管线检出的合格导管腔。</t>
        </is>
      </c>
      <c r="P456" t="inlineStr">
        <is>
          <t>auto_pipeline;review_png_green</t>
        </is>
      </c>
      <c r="R456" t="inlineStr">
        <is>
          <t>样品54</t>
        </is>
      </c>
    </row>
    <row r="457">
      <c r="A457" t="inlineStr">
        <is>
          <t>54(1)-V05</t>
        </is>
      </c>
      <c r="B457" t="inlineStr">
        <is>
          <t>54 (1).tif</t>
        </is>
      </c>
      <c r="C457" t="n">
        <v>936</v>
      </c>
      <c r="D457" t="n">
        <v>387</v>
      </c>
      <c r="E457" t="inlineStr">
        <is>
          <t>895,309,978,466</t>
        </is>
      </c>
      <c r="F457" t="n">
        <v>46</v>
      </c>
      <c r="G457" t="inlineStr">
        <is>
          <t>primary</t>
        </is>
      </c>
      <c r="H457" t="inlineStr">
        <is>
          <t>AUTO_VESSEL</t>
        </is>
      </c>
      <c r="I457" t="inlineStr">
        <is>
          <t>是</t>
        </is>
      </c>
      <c r="J457" t="inlineStr">
        <is>
          <t>纳入</t>
        </is>
      </c>
      <c r="K457" t="n">
        <v>438.7759924385633</v>
      </c>
      <c r="L457">
        <f>导管母表_860!G457</f>
        <v/>
      </c>
      <c r="M457" t="inlineStr">
        <is>
          <t>视野内部</t>
        </is>
      </c>
      <c r="N457" t="inlineStr">
        <is>
          <t>纳入A/D/Dh；若有Pair_ID则纳入CWR</t>
        </is>
      </c>
      <c r="O457" t="inlineStr">
        <is>
          <t>自动管线检出的合格导管腔。</t>
        </is>
      </c>
      <c r="P457" t="inlineStr">
        <is>
          <t>auto_pipeline;review_png_green</t>
        </is>
      </c>
      <c r="R457" t="inlineStr">
        <is>
          <t>样品54</t>
        </is>
      </c>
    </row>
    <row r="458">
      <c r="A458" t="inlineStr">
        <is>
          <t>54(1)-V06</t>
        </is>
      </c>
      <c r="B458" t="inlineStr">
        <is>
          <t>54 (1).tif</t>
        </is>
      </c>
      <c r="C458" t="n">
        <v>816</v>
      </c>
      <c r="D458" t="n">
        <v>262</v>
      </c>
      <c r="E458" t="inlineStr">
        <is>
          <t>762,208,871,317</t>
        </is>
      </c>
      <c r="F458" t="n">
        <v>153</v>
      </c>
      <c r="G458" t="inlineStr">
        <is>
          <t>primary</t>
        </is>
      </c>
      <c r="H458" t="inlineStr">
        <is>
          <t>AUTO_VESSEL</t>
        </is>
      </c>
      <c r="I458" t="inlineStr">
        <is>
          <t>是</t>
        </is>
      </c>
      <c r="J458" t="inlineStr">
        <is>
          <t>纳入</t>
        </is>
      </c>
      <c r="K458" t="n">
        <v>395.9829867674858</v>
      </c>
      <c r="L458">
        <f>导管母表_860!G458</f>
        <v/>
      </c>
      <c r="M458" t="inlineStr">
        <is>
          <t>视野内部</t>
        </is>
      </c>
      <c r="N458" t="inlineStr">
        <is>
          <t>纳入A/D/Dh；若有Pair_ID则纳入CWR</t>
        </is>
      </c>
      <c r="O458" t="inlineStr">
        <is>
          <t>自动管线检出的合格导管腔。</t>
        </is>
      </c>
      <c r="P458" t="inlineStr">
        <is>
          <t>auto_pipeline;review_png_green</t>
        </is>
      </c>
      <c r="R458" t="inlineStr">
        <is>
          <t>样品54</t>
        </is>
      </c>
    </row>
    <row r="459">
      <c r="A459" t="inlineStr">
        <is>
          <t>54(1)-V07</t>
        </is>
      </c>
      <c r="B459" t="inlineStr">
        <is>
          <t>54 (1).tif</t>
        </is>
      </c>
      <c r="C459" t="n">
        <v>237</v>
      </c>
      <c r="D459" t="n">
        <v>547</v>
      </c>
      <c r="E459" t="inlineStr">
        <is>
          <t>186,499,289,596</t>
        </is>
      </c>
      <c r="F459" t="n">
        <v>172</v>
      </c>
      <c r="G459" t="inlineStr">
        <is>
          <t>primary</t>
        </is>
      </c>
      <c r="H459" t="inlineStr">
        <is>
          <t>AUTO_VESSEL</t>
        </is>
      </c>
      <c r="I459" t="inlineStr">
        <is>
          <t>是</t>
        </is>
      </c>
      <c r="J459" t="inlineStr">
        <is>
          <t>纳入</t>
        </is>
      </c>
      <c r="K459" t="n">
        <v>362.3582230623819</v>
      </c>
      <c r="L459">
        <f>导管母表_860!G459</f>
        <v/>
      </c>
      <c r="M459" t="inlineStr">
        <is>
          <t>视野内部</t>
        </is>
      </c>
      <c r="N459" t="inlineStr">
        <is>
          <t>纳入A/D/Dh；若有Pair_ID则纳入CWR</t>
        </is>
      </c>
      <c r="O459" t="inlineStr">
        <is>
          <t>自动管线检出的合格导管腔。</t>
        </is>
      </c>
      <c r="P459" t="inlineStr">
        <is>
          <t>auto_pipeline;review_png_green</t>
        </is>
      </c>
      <c r="R459" t="inlineStr">
        <is>
          <t>样品54</t>
        </is>
      </c>
    </row>
    <row r="460">
      <c r="A460" t="inlineStr">
        <is>
          <t>54(1)-V08</t>
        </is>
      </c>
      <c r="B460" t="inlineStr">
        <is>
          <t>54 (1).tif</t>
        </is>
      </c>
      <c r="C460" t="n">
        <v>462</v>
      </c>
      <c r="D460" t="n">
        <v>433</v>
      </c>
      <c r="E460" t="inlineStr">
        <is>
          <t>410,387,515,480</t>
        </is>
      </c>
      <c r="F460" t="n">
        <v>288</v>
      </c>
      <c r="G460" t="inlineStr">
        <is>
          <t>primary</t>
        </is>
      </c>
      <c r="H460" t="inlineStr">
        <is>
          <t>AUTO_VESSEL</t>
        </is>
      </c>
      <c r="I460" t="inlineStr">
        <is>
          <t>是</t>
        </is>
      </c>
      <c r="J460" t="inlineStr">
        <is>
          <t>纳入</t>
        </is>
      </c>
      <c r="K460" t="n">
        <v>352.7410207939508</v>
      </c>
      <c r="L460">
        <f>导管母表_860!G460</f>
        <v/>
      </c>
      <c r="M460" t="inlineStr">
        <is>
          <t>视野内部</t>
        </is>
      </c>
      <c r="N460" t="inlineStr">
        <is>
          <t>纳入A/D/Dh；若有Pair_ID则纳入CWR</t>
        </is>
      </c>
      <c r="O460" t="inlineStr">
        <is>
          <t>自动管线检出的合格导管腔。</t>
        </is>
      </c>
      <c r="P460" t="inlineStr">
        <is>
          <t>auto_pipeline;review_png_green</t>
        </is>
      </c>
      <c r="R460" t="inlineStr">
        <is>
          <t>样品54</t>
        </is>
      </c>
    </row>
    <row r="461">
      <c r="A461" t="inlineStr">
        <is>
          <t>54(1)-V09</t>
        </is>
      </c>
      <c r="B461" t="inlineStr">
        <is>
          <t>54 (1).tif</t>
        </is>
      </c>
      <c r="C461" t="n">
        <v>932</v>
      </c>
      <c r="D461" t="n">
        <v>446</v>
      </c>
      <c r="E461" t="inlineStr">
        <is>
          <t>914,427,951,466</t>
        </is>
      </c>
      <c r="F461" t="n">
        <v>73</v>
      </c>
      <c r="G461" t="inlineStr">
        <is>
          <t>primary</t>
        </is>
      </c>
      <c r="H461" t="inlineStr">
        <is>
          <t>AUTO_VESSEL</t>
        </is>
      </c>
      <c r="I461" t="inlineStr">
        <is>
          <t>是</t>
        </is>
      </c>
      <c r="J461" t="inlineStr">
        <is>
          <t>纳入</t>
        </is>
      </c>
      <c r="K461" t="n">
        <v>26.22873345935728</v>
      </c>
      <c r="L461">
        <f>导管母表_860!G461</f>
        <v/>
      </c>
      <c r="M461" t="inlineStr">
        <is>
          <t>视野内部</t>
        </is>
      </c>
      <c r="N461" t="inlineStr">
        <is>
          <t>纳入A/D/Dh；若有Pair_ID则纳入CWR</t>
        </is>
      </c>
      <c r="O461" t="inlineStr">
        <is>
          <t>自动管线检出的合格导管腔。</t>
        </is>
      </c>
      <c r="P461" t="inlineStr">
        <is>
          <t>auto_pipeline;review_png_green</t>
        </is>
      </c>
      <c r="R461" t="inlineStr">
        <is>
          <t>样品54</t>
        </is>
      </c>
    </row>
    <row r="462">
      <c r="A462" t="inlineStr">
        <is>
          <t>54(2)-V01</t>
        </is>
      </c>
      <c r="B462" t="inlineStr">
        <is>
          <t>54 (2).tif</t>
        </is>
      </c>
      <c r="C462" t="n">
        <v>439</v>
      </c>
      <c r="D462" t="n">
        <v>430</v>
      </c>
      <c r="E462" t="inlineStr">
        <is>
          <t>378,365,501,496</t>
        </is>
      </c>
      <c r="F462" t="n">
        <v>272</v>
      </c>
      <c r="G462" t="inlineStr">
        <is>
          <t>primary</t>
        </is>
      </c>
      <c r="H462" t="inlineStr">
        <is>
          <t>AUTO_VESSEL</t>
        </is>
      </c>
      <c r="I462" t="inlineStr">
        <is>
          <t>是</t>
        </is>
      </c>
      <c r="J462" t="inlineStr">
        <is>
          <t>纳入</t>
        </is>
      </c>
      <c r="K462" t="n">
        <v>586.8620037807183</v>
      </c>
      <c r="L462">
        <f>导管母表_860!G462</f>
        <v/>
      </c>
      <c r="M462" t="inlineStr">
        <is>
          <t>视野内部</t>
        </is>
      </c>
      <c r="N462" t="inlineStr">
        <is>
          <t>纳入A/D/Dh；若有Pair_ID则纳入CWR</t>
        </is>
      </c>
      <c r="O462" t="inlineStr">
        <is>
          <t>自动管线检出的合格导管腔。</t>
        </is>
      </c>
      <c r="P462" t="inlineStr">
        <is>
          <t>auto_pipeline;review_png_green</t>
        </is>
      </c>
      <c r="R462" t="inlineStr">
        <is>
          <t>样品54</t>
        </is>
      </c>
    </row>
    <row r="463">
      <c r="A463" t="inlineStr">
        <is>
          <t>54(2)-V02</t>
        </is>
      </c>
      <c r="B463" t="inlineStr">
        <is>
          <t>54 (2).tif</t>
        </is>
      </c>
      <c r="C463" t="n">
        <v>478</v>
      </c>
      <c r="D463" t="n">
        <v>286</v>
      </c>
      <c r="E463" t="inlineStr">
        <is>
          <t>405,233,552,340</t>
        </is>
      </c>
      <c r="F463" t="n">
        <v>233</v>
      </c>
      <c r="G463" t="inlineStr">
        <is>
          <t>primary</t>
        </is>
      </c>
      <c r="H463" t="inlineStr">
        <is>
          <t>AUTO_VESSEL</t>
        </is>
      </c>
      <c r="I463" t="inlineStr">
        <is>
          <t>是</t>
        </is>
      </c>
      <c r="J463" t="inlineStr">
        <is>
          <t>纳入</t>
        </is>
      </c>
      <c r="K463" t="n">
        <v>556.687145557656</v>
      </c>
      <c r="L463">
        <f>导管母表_860!G463</f>
        <v/>
      </c>
      <c r="M463" t="inlineStr">
        <is>
          <t>视野内部</t>
        </is>
      </c>
      <c r="N463" t="inlineStr">
        <is>
          <t>纳入A/D/Dh；若有Pair_ID则纳入CWR</t>
        </is>
      </c>
      <c r="O463" t="inlineStr">
        <is>
          <t>自动管线检出的合格导管腔。</t>
        </is>
      </c>
      <c r="P463" t="inlineStr">
        <is>
          <t>auto_pipeline;review_png_green</t>
        </is>
      </c>
      <c r="R463" t="inlineStr">
        <is>
          <t>样品54</t>
        </is>
      </c>
    </row>
    <row r="464">
      <c r="A464" t="inlineStr">
        <is>
          <t>54(3)-V01</t>
        </is>
      </c>
      <c r="B464" t="inlineStr">
        <is>
          <t>54 (3).tif</t>
        </is>
      </c>
      <c r="C464" t="n">
        <v>451</v>
      </c>
      <c r="D464" t="n">
        <v>429</v>
      </c>
      <c r="E464" t="inlineStr">
        <is>
          <t>384,336,519,523</t>
        </is>
      </c>
      <c r="F464" t="n">
        <v>245</v>
      </c>
      <c r="G464" t="inlineStr">
        <is>
          <t>primary</t>
        </is>
      </c>
      <c r="H464" t="inlineStr">
        <is>
          <t>AUTO_VESSEL</t>
        </is>
      </c>
      <c r="I464" t="inlineStr">
        <is>
          <t>是</t>
        </is>
      </c>
      <c r="J464" t="inlineStr">
        <is>
          <t>纳入</t>
        </is>
      </c>
      <c r="K464" t="n">
        <v>923.2986767485822</v>
      </c>
      <c r="L464">
        <f>导管母表_860!G464</f>
        <v/>
      </c>
      <c r="M464" t="inlineStr">
        <is>
          <t>视野内部</t>
        </is>
      </c>
      <c r="N464" t="inlineStr">
        <is>
          <t>纳入A/D/Dh；若有Pair_ID则纳入CWR</t>
        </is>
      </c>
      <c r="O464" t="inlineStr">
        <is>
          <t>自动管线检出的合格导管腔。</t>
        </is>
      </c>
      <c r="P464" t="inlineStr">
        <is>
          <t>auto_pipeline;review_png_green</t>
        </is>
      </c>
      <c r="Q464" t="inlineStr">
        <is>
          <t>54(3)-P01</t>
        </is>
      </c>
      <c r="R464" t="inlineStr">
        <is>
          <t>样品54</t>
        </is>
      </c>
    </row>
    <row r="465">
      <c r="A465" t="inlineStr">
        <is>
          <t>54(3)-V02</t>
        </is>
      </c>
      <c r="B465" t="inlineStr">
        <is>
          <t>54 (3).tif</t>
        </is>
      </c>
      <c r="C465" t="n">
        <v>507</v>
      </c>
      <c r="D465" t="n">
        <v>269</v>
      </c>
      <c r="E465" t="inlineStr">
        <is>
          <t>432,197,583,342</t>
        </is>
      </c>
      <c r="F465" t="n">
        <v>197</v>
      </c>
      <c r="G465" t="inlineStr">
        <is>
          <t>primary</t>
        </is>
      </c>
      <c r="H465" t="inlineStr">
        <is>
          <t>AUTO_VESSEL</t>
        </is>
      </c>
      <c r="I465" t="inlineStr">
        <is>
          <t>是</t>
        </is>
      </c>
      <c r="J465" t="inlineStr">
        <is>
          <t>纳入</t>
        </is>
      </c>
      <c r="K465" t="n">
        <v>785.3733459357278</v>
      </c>
      <c r="L465">
        <f>导管母表_860!G465</f>
        <v/>
      </c>
      <c r="M465" t="inlineStr">
        <is>
          <t>视野内部</t>
        </is>
      </c>
      <c r="N465" t="inlineStr">
        <is>
          <t>纳入A/D/Dh；若有Pair_ID则纳入CWR</t>
        </is>
      </c>
      <c r="O465" t="inlineStr">
        <is>
          <t>自动管线检出的合格导管腔。</t>
        </is>
      </c>
      <c r="P465" t="inlineStr">
        <is>
          <t>auto_pipeline;review_png_green</t>
        </is>
      </c>
      <c r="Q465" t="inlineStr">
        <is>
          <t>54(3)-P01</t>
        </is>
      </c>
      <c r="R465" t="inlineStr">
        <is>
          <t>样品54</t>
        </is>
      </c>
    </row>
    <row r="466">
      <c r="A466" t="inlineStr">
        <is>
          <t>54(3)-V03</t>
        </is>
      </c>
      <c r="B466" t="inlineStr">
        <is>
          <t>54 (3).tif</t>
        </is>
      </c>
      <c r="C466" t="n">
        <v>385</v>
      </c>
      <c r="D466" t="n">
        <v>374</v>
      </c>
      <c r="E466" t="inlineStr">
        <is>
          <t>342,324,429,425</t>
        </is>
      </c>
      <c r="F466" t="n">
        <v>324</v>
      </c>
      <c r="G466" t="inlineStr">
        <is>
          <t>primary</t>
        </is>
      </c>
      <c r="H466" t="inlineStr">
        <is>
          <t>AUTO_VESSEL</t>
        </is>
      </c>
      <c r="I466" t="inlineStr">
        <is>
          <t>是</t>
        </is>
      </c>
      <c r="J466" t="inlineStr">
        <is>
          <t>纳入</t>
        </is>
      </c>
      <c r="K466" t="n">
        <v>294.1398865784499</v>
      </c>
      <c r="L466">
        <f>导管母表_860!G466</f>
        <v/>
      </c>
      <c r="M466" t="inlineStr">
        <is>
          <t>视野内部</t>
        </is>
      </c>
      <c r="N466" t="inlineStr">
        <is>
          <t>纳入A/D/Dh；若有Pair_ID则纳入CWR</t>
        </is>
      </c>
      <c r="O466" t="inlineStr">
        <is>
          <t>自动管线检出的合格导管腔。</t>
        </is>
      </c>
      <c r="P466" t="inlineStr">
        <is>
          <t>auto_pipeline;review_png_green</t>
        </is>
      </c>
      <c r="R466" t="inlineStr">
        <is>
          <t>样品54</t>
        </is>
      </c>
    </row>
    <row r="467">
      <c r="A467" t="inlineStr">
        <is>
          <t>54(3)-V04</t>
        </is>
      </c>
      <c r="B467" t="inlineStr">
        <is>
          <t>54 (3).tif</t>
        </is>
      </c>
      <c r="C467" t="n">
        <v>784</v>
      </c>
      <c r="D467" t="n">
        <v>565</v>
      </c>
      <c r="E467" t="inlineStr">
        <is>
          <t>758,526,811,605</t>
        </is>
      </c>
      <c r="F467" t="n">
        <v>163</v>
      </c>
      <c r="G467" t="inlineStr">
        <is>
          <t>primary</t>
        </is>
      </c>
      <c r="H467" t="inlineStr">
        <is>
          <t>AUTO_VESSEL</t>
        </is>
      </c>
      <c r="I467" t="inlineStr">
        <is>
          <t>是</t>
        </is>
      </c>
      <c r="J467" t="inlineStr">
        <is>
          <t>纳入</t>
        </is>
      </c>
      <c r="K467" t="n">
        <v>148.0151228733459</v>
      </c>
      <c r="L467">
        <f>导管母表_860!G467</f>
        <v/>
      </c>
      <c r="M467" t="inlineStr">
        <is>
          <t>视野内部</t>
        </is>
      </c>
      <c r="N467" t="inlineStr">
        <is>
          <t>纳入A/D/Dh；若有Pair_ID则纳入CWR</t>
        </is>
      </c>
      <c r="O467" t="inlineStr">
        <is>
          <t>自动管线检出的合格导管腔。</t>
        </is>
      </c>
      <c r="P467" t="inlineStr">
        <is>
          <t>auto_pipeline;review_png_green</t>
        </is>
      </c>
      <c r="R467" t="inlineStr">
        <is>
          <t>样品54</t>
        </is>
      </c>
    </row>
    <row r="468">
      <c r="A468" t="inlineStr">
        <is>
          <t>54(4)-V01</t>
        </is>
      </c>
      <c r="B468" t="inlineStr">
        <is>
          <t>54 (4).tif</t>
        </is>
      </c>
      <c r="C468" t="n">
        <v>925</v>
      </c>
      <c r="D468" t="n">
        <v>122</v>
      </c>
      <c r="E468" t="inlineStr">
        <is>
          <t>852,51,999,194</t>
        </is>
      </c>
      <c r="F468" t="n">
        <v>25</v>
      </c>
      <c r="G468" t="inlineStr">
        <is>
          <t>primary</t>
        </is>
      </c>
      <c r="H468" t="inlineStr">
        <is>
          <t>AUTO_VESSEL</t>
        </is>
      </c>
      <c r="I468" t="inlineStr">
        <is>
          <t>是</t>
        </is>
      </c>
      <c r="J468" t="inlineStr">
        <is>
          <t>纳入</t>
        </is>
      </c>
      <c r="K468" t="n">
        <v>749.5037807183365</v>
      </c>
      <c r="L468">
        <f>导管母表_860!G468</f>
        <v/>
      </c>
      <c r="M468" t="inlineStr">
        <is>
          <t>视野内部</t>
        </is>
      </c>
      <c r="N468" t="inlineStr">
        <is>
          <t>纳入A/D/Dh；若有Pair_ID则纳入CWR</t>
        </is>
      </c>
      <c r="O468" t="inlineStr">
        <is>
          <t>自动管线检出的合格导管腔。</t>
        </is>
      </c>
      <c r="P468" t="inlineStr">
        <is>
          <t>auto_pipeline;review_png_green</t>
        </is>
      </c>
      <c r="R468" t="inlineStr">
        <is>
          <t>样品54</t>
        </is>
      </c>
    </row>
    <row r="469">
      <c r="A469" t="inlineStr">
        <is>
          <t>54(4)-V02</t>
        </is>
      </c>
      <c r="B469" t="inlineStr">
        <is>
          <t>54 (4).tif</t>
        </is>
      </c>
      <c r="C469" t="n">
        <v>516</v>
      </c>
      <c r="D469" t="n">
        <v>309</v>
      </c>
      <c r="E469" t="inlineStr">
        <is>
          <t>454,250,579,369</t>
        </is>
      </c>
      <c r="F469" t="n">
        <v>250</v>
      </c>
      <c r="G469" t="inlineStr">
        <is>
          <t>primary</t>
        </is>
      </c>
      <c r="H469" t="inlineStr">
        <is>
          <t>AUTO_VESSEL</t>
        </is>
      </c>
      <c r="I469" t="inlineStr">
        <is>
          <t>是</t>
        </is>
      </c>
      <c r="J469" t="inlineStr">
        <is>
          <t>纳入</t>
        </is>
      </c>
      <c r="K469" t="n">
        <v>541.7060491493384</v>
      </c>
      <c r="L469">
        <f>导管母表_860!G469</f>
        <v/>
      </c>
      <c r="M469" t="inlineStr">
        <is>
          <t>视野内部</t>
        </is>
      </c>
      <c r="N469" t="inlineStr">
        <is>
          <t>纳入A/D/Dh；若有Pair_ID则纳入CWR</t>
        </is>
      </c>
      <c r="O469" t="inlineStr">
        <is>
          <t>自动管线检出的合格导管腔。</t>
        </is>
      </c>
      <c r="P469" t="inlineStr">
        <is>
          <t>auto_pipeline;review_png_green</t>
        </is>
      </c>
      <c r="R469" t="inlineStr">
        <is>
          <t>样品54</t>
        </is>
      </c>
    </row>
    <row r="470">
      <c r="A470" t="inlineStr">
        <is>
          <t>54(4)-V03</t>
        </is>
      </c>
      <c r="B470" t="inlineStr">
        <is>
          <t>54 (4).tif</t>
        </is>
      </c>
      <c r="C470" t="n">
        <v>418</v>
      </c>
      <c r="D470" t="n">
        <v>420</v>
      </c>
      <c r="E470" t="inlineStr">
        <is>
          <t>355,362,482,479</t>
        </is>
      </c>
      <c r="F470" t="n">
        <v>289</v>
      </c>
      <c r="G470" t="inlineStr">
        <is>
          <t>primary</t>
        </is>
      </c>
      <c r="H470" t="inlineStr">
        <is>
          <t>AUTO_VESSEL</t>
        </is>
      </c>
      <c r="I470" t="inlineStr">
        <is>
          <t>是</t>
        </is>
      </c>
      <c r="J470" t="inlineStr">
        <is>
          <t>纳入</t>
        </is>
      </c>
      <c r="K470" t="n">
        <v>541.4933837429112</v>
      </c>
      <c r="L470">
        <f>导管母表_860!G470</f>
        <v/>
      </c>
      <c r="M470" t="inlineStr">
        <is>
          <t>视野内部</t>
        </is>
      </c>
      <c r="N470" t="inlineStr">
        <is>
          <t>纳入A/D/Dh；若有Pair_ID则纳入CWR</t>
        </is>
      </c>
      <c r="O470" t="inlineStr">
        <is>
          <t>自动管线检出的合格导管腔。</t>
        </is>
      </c>
      <c r="P470" t="inlineStr">
        <is>
          <t>auto_pipeline;review_png_green</t>
        </is>
      </c>
      <c r="R470" t="inlineStr">
        <is>
          <t>样品54</t>
        </is>
      </c>
    </row>
    <row r="471">
      <c r="A471" t="inlineStr">
        <is>
          <t>54(4)-V04</t>
        </is>
      </c>
      <c r="B471" t="inlineStr">
        <is>
          <t>54 (4).tif</t>
        </is>
      </c>
      <c r="C471" t="n">
        <v>291</v>
      </c>
      <c r="D471" t="n">
        <v>555</v>
      </c>
      <c r="E471" t="inlineStr">
        <is>
          <t>236,506,347,605</t>
        </is>
      </c>
      <c r="F471" t="n">
        <v>163</v>
      </c>
      <c r="G471" t="inlineStr">
        <is>
          <t>primary</t>
        </is>
      </c>
      <c r="H471" t="inlineStr">
        <is>
          <t>AUTO_VESSEL</t>
        </is>
      </c>
      <c r="I471" t="inlineStr">
        <is>
          <t>是</t>
        </is>
      </c>
      <c r="J471" t="inlineStr">
        <is>
          <t>纳入</t>
        </is>
      </c>
      <c r="K471" t="n">
        <v>390.9499054820416</v>
      </c>
      <c r="L471">
        <f>导管母表_860!G471</f>
        <v/>
      </c>
      <c r="M471" t="inlineStr">
        <is>
          <t>视野内部</t>
        </is>
      </c>
      <c r="N471" t="inlineStr">
        <is>
          <t>纳入A/D/Dh；若有Pair_ID则纳入CWR</t>
        </is>
      </c>
      <c r="O471" t="inlineStr">
        <is>
          <t>自动管线检出的合格导管腔。</t>
        </is>
      </c>
      <c r="P471" t="inlineStr">
        <is>
          <t>auto_pipeline;review_png_green</t>
        </is>
      </c>
      <c r="R471" t="inlineStr">
        <is>
          <t>样品54</t>
        </is>
      </c>
    </row>
    <row r="472">
      <c r="A472" t="inlineStr">
        <is>
          <t>54(4)-V05</t>
        </is>
      </c>
      <c r="B472" t="inlineStr">
        <is>
          <t>54 (4).tif</t>
        </is>
      </c>
      <c r="C472" t="n">
        <v>781</v>
      </c>
      <c r="D472" t="n">
        <v>551</v>
      </c>
      <c r="E472" t="inlineStr">
        <is>
          <t>729,500,834,603</t>
        </is>
      </c>
      <c r="F472" t="n">
        <v>165</v>
      </c>
      <c r="G472" t="inlineStr">
        <is>
          <t>primary</t>
        </is>
      </c>
      <c r="H472" t="inlineStr">
        <is>
          <t>AUTO_VESSEL</t>
        </is>
      </c>
      <c r="I472" t="inlineStr">
        <is>
          <t>是</t>
        </is>
      </c>
      <c r="J472" t="inlineStr">
        <is>
          <t>纳入</t>
        </is>
      </c>
      <c r="K472" t="n">
        <v>382.2306238185255</v>
      </c>
      <c r="L472">
        <f>导管母表_860!G472</f>
        <v/>
      </c>
      <c r="M472" t="inlineStr">
        <is>
          <t>视野内部</t>
        </is>
      </c>
      <c r="N472" t="inlineStr">
        <is>
          <t>纳入A/D/Dh；若有Pair_ID则纳入CWR</t>
        </is>
      </c>
      <c r="O472" t="inlineStr">
        <is>
          <t>自动管线检出的合格导管腔。</t>
        </is>
      </c>
      <c r="P472" t="inlineStr">
        <is>
          <t>auto_pipeline;review_png_green</t>
        </is>
      </c>
      <c r="R472" t="inlineStr">
        <is>
          <t>样品54</t>
        </is>
      </c>
    </row>
    <row r="473">
      <c r="A473" t="inlineStr">
        <is>
          <t>54(4)-V06</t>
        </is>
      </c>
      <c r="B473" t="inlineStr">
        <is>
          <t>54 (4).tif</t>
        </is>
      </c>
      <c r="C473" t="n">
        <v>715</v>
      </c>
      <c r="D473" t="n">
        <v>320</v>
      </c>
      <c r="E473" t="inlineStr">
        <is>
          <t>668,278,763,363</t>
        </is>
      </c>
      <c r="F473" t="n">
        <v>261</v>
      </c>
      <c r="G473" t="inlineStr">
        <is>
          <t>primary</t>
        </is>
      </c>
      <c r="H473" t="inlineStr">
        <is>
          <t>AUTO_VESSEL</t>
        </is>
      </c>
      <c r="I473" t="inlineStr">
        <is>
          <t>是</t>
        </is>
      </c>
      <c r="J473" t="inlineStr">
        <is>
          <t>纳入</t>
        </is>
      </c>
      <c r="K473" t="n">
        <v>290.9026465028355</v>
      </c>
      <c r="L473">
        <f>导管母表_860!G473</f>
        <v/>
      </c>
      <c r="M473" t="inlineStr">
        <is>
          <t>视野内部</t>
        </is>
      </c>
      <c r="N473" t="inlineStr">
        <is>
          <t>纳入A/D/Dh；若有Pair_ID则纳入CWR</t>
        </is>
      </c>
      <c r="O473" t="inlineStr">
        <is>
          <t>自动管线检出的合格导管腔。</t>
        </is>
      </c>
      <c r="P473" t="inlineStr">
        <is>
          <t>auto_pipeline;review_png_green</t>
        </is>
      </c>
      <c r="R473" t="inlineStr">
        <is>
          <t>样品54</t>
        </is>
      </c>
    </row>
    <row r="474">
      <c r="A474" t="inlineStr">
        <is>
          <t>54(5)-V01</t>
        </is>
      </c>
      <c r="B474" t="inlineStr">
        <is>
          <t>54 (5).tif</t>
        </is>
      </c>
      <c r="C474" t="n">
        <v>129</v>
      </c>
      <c r="D474" t="n">
        <v>234</v>
      </c>
      <c r="E474" t="inlineStr">
        <is>
          <t>44,163,215,306</t>
        </is>
      </c>
      <c r="F474" t="n">
        <v>44</v>
      </c>
      <c r="G474" t="inlineStr">
        <is>
          <t>primary</t>
        </is>
      </c>
      <c r="H474" t="inlineStr">
        <is>
          <t>AUTO_VESSEL</t>
        </is>
      </c>
      <c r="I474" t="inlineStr">
        <is>
          <t>是</t>
        </is>
      </c>
      <c r="J474" t="inlineStr">
        <is>
          <t>纳入</t>
        </is>
      </c>
      <c r="K474" t="n">
        <v>896.0538752362949</v>
      </c>
      <c r="L474">
        <f>导管母表_860!G474</f>
        <v/>
      </c>
      <c r="M474" t="inlineStr">
        <is>
          <t>视野内部</t>
        </is>
      </c>
      <c r="N474" t="inlineStr">
        <is>
          <t>纳入A/D/Dh；若有Pair_ID则纳入CWR</t>
        </is>
      </c>
      <c r="O474" t="inlineStr">
        <is>
          <t>自动管线检出的合格导管腔。</t>
        </is>
      </c>
      <c r="P474" t="inlineStr">
        <is>
          <t>auto_pipeline;review_png_green</t>
        </is>
      </c>
      <c r="R474" t="inlineStr">
        <is>
          <t>样品54</t>
        </is>
      </c>
    </row>
    <row r="475">
      <c r="A475" t="inlineStr">
        <is>
          <t>54(5)-V02</t>
        </is>
      </c>
      <c r="B475" t="inlineStr">
        <is>
          <t>54 (5).tif</t>
        </is>
      </c>
      <c r="C475" t="n">
        <v>401</v>
      </c>
      <c r="D475" t="n">
        <v>369</v>
      </c>
      <c r="E475" t="inlineStr">
        <is>
          <t>330,292,473,447</t>
        </is>
      </c>
      <c r="F475" t="n">
        <v>292</v>
      </c>
      <c r="G475" t="inlineStr">
        <is>
          <t>primary</t>
        </is>
      </c>
      <c r="H475" t="inlineStr">
        <is>
          <t>AUTO_VESSEL</t>
        </is>
      </c>
      <c r="I475" t="inlineStr">
        <is>
          <t>是</t>
        </is>
      </c>
      <c r="J475" t="inlineStr">
        <is>
          <t>纳入</t>
        </is>
      </c>
      <c r="K475" t="n">
        <v>811.2948960302457</v>
      </c>
      <c r="L475">
        <f>导管母表_860!G475</f>
        <v/>
      </c>
      <c r="M475" t="inlineStr">
        <is>
          <t>视野内部</t>
        </is>
      </c>
      <c r="N475" t="inlineStr">
        <is>
          <t>纳入A/D/Dh；若有Pair_ID则纳入CWR</t>
        </is>
      </c>
      <c r="O475" t="inlineStr">
        <is>
          <t>自动管线检出的合格导管腔。</t>
        </is>
      </c>
      <c r="P475" t="inlineStr">
        <is>
          <t>auto_pipeline;review_png_green</t>
        </is>
      </c>
      <c r="R475" t="inlineStr">
        <is>
          <t>样品54</t>
        </is>
      </c>
    </row>
    <row r="476">
      <c r="A476" t="inlineStr">
        <is>
          <t>54(5)-V03</t>
        </is>
      </c>
      <c r="B476" t="inlineStr">
        <is>
          <t>54 (5).tif</t>
        </is>
      </c>
      <c r="C476" t="n">
        <v>568</v>
      </c>
      <c r="D476" t="n">
        <v>380</v>
      </c>
      <c r="E476" t="inlineStr">
        <is>
          <t>495,311,642,450</t>
        </is>
      </c>
      <c r="F476" t="n">
        <v>311</v>
      </c>
      <c r="G476" t="inlineStr">
        <is>
          <t>primary</t>
        </is>
      </c>
      <c r="H476" t="inlineStr">
        <is>
          <t>AUTO_VESSEL</t>
        </is>
      </c>
      <c r="I476" t="inlineStr">
        <is>
          <t>是</t>
        </is>
      </c>
      <c r="J476" t="inlineStr">
        <is>
          <t>纳入</t>
        </is>
      </c>
      <c r="K476" t="n">
        <v>748.2041587901701</v>
      </c>
      <c r="L476">
        <f>导管母表_860!G476</f>
        <v/>
      </c>
      <c r="M476" t="inlineStr">
        <is>
          <t>视野内部</t>
        </is>
      </c>
      <c r="N476" t="inlineStr">
        <is>
          <t>纳入A/D/Dh；若有Pair_ID则纳入CWR</t>
        </is>
      </c>
      <c r="O476" t="inlineStr">
        <is>
          <t>自动管线检出的合格导管腔。</t>
        </is>
      </c>
      <c r="P476" t="inlineStr">
        <is>
          <t>auto_pipeline;review_png_green</t>
        </is>
      </c>
      <c r="R476" t="inlineStr">
        <is>
          <t>样品54</t>
        </is>
      </c>
    </row>
    <row r="477">
      <c r="A477" t="inlineStr">
        <is>
          <t>54(5)-V04</t>
        </is>
      </c>
      <c r="B477" t="inlineStr">
        <is>
          <t>54 (5).tif</t>
        </is>
      </c>
      <c r="C477" t="n">
        <v>797</v>
      </c>
      <c r="D477" t="n">
        <v>609</v>
      </c>
      <c r="E477" t="inlineStr">
        <is>
          <t>751,579,844,640</t>
        </is>
      </c>
      <c r="F477" t="n">
        <v>128</v>
      </c>
      <c r="G477" t="inlineStr">
        <is>
          <t>primary</t>
        </is>
      </c>
      <c r="H477" t="inlineStr">
        <is>
          <t>AUTO_VESSEL</t>
        </is>
      </c>
      <c r="I477" t="inlineStr">
        <is>
          <t>是</t>
        </is>
      </c>
      <c r="J477" t="inlineStr">
        <is>
          <t>纳入</t>
        </is>
      </c>
      <c r="K477" t="n">
        <v>204.9621928166352</v>
      </c>
      <c r="L477">
        <f>导管母表_860!G477</f>
        <v/>
      </c>
      <c r="M477" t="inlineStr">
        <is>
          <t>视野内部</t>
        </is>
      </c>
      <c r="N477" t="inlineStr">
        <is>
          <t>纳入A/D/Dh；若有Pair_ID则纳入CWR</t>
        </is>
      </c>
      <c r="O477" t="inlineStr">
        <is>
          <t>自动管线检出的合格导管腔。</t>
        </is>
      </c>
      <c r="P477" t="inlineStr">
        <is>
          <t>auto_pipeline;review_png_green</t>
        </is>
      </c>
      <c r="R477" t="inlineStr">
        <is>
          <t>样品54</t>
        </is>
      </c>
    </row>
    <row r="478">
      <c r="A478" t="inlineStr">
        <is>
          <t>54(5)-V05</t>
        </is>
      </c>
      <c r="B478" t="inlineStr">
        <is>
          <t>54 (5).tif</t>
        </is>
      </c>
      <c r="C478" t="n">
        <v>869</v>
      </c>
      <c r="D478" t="n">
        <v>539</v>
      </c>
      <c r="E478" t="inlineStr">
        <is>
          <t>823,514,916,565</t>
        </is>
      </c>
      <c r="F478" t="n">
        <v>108</v>
      </c>
      <c r="G478" t="inlineStr">
        <is>
          <t>primary</t>
        </is>
      </c>
      <c r="H478" t="inlineStr">
        <is>
          <t>AUTO_VESSEL</t>
        </is>
      </c>
      <c r="I478" t="inlineStr">
        <is>
          <t>是</t>
        </is>
      </c>
      <c r="J478" t="inlineStr">
        <is>
          <t>纳入</t>
        </is>
      </c>
      <c r="K478" t="n">
        <v>149.2202268431002</v>
      </c>
      <c r="L478">
        <f>导管母表_860!G478</f>
        <v/>
      </c>
      <c r="M478" t="inlineStr">
        <is>
          <t>视野内部</t>
        </is>
      </c>
      <c r="N478" t="inlineStr">
        <is>
          <t>纳入A/D/Dh；若有Pair_ID则纳入CWR</t>
        </is>
      </c>
      <c r="O478" t="inlineStr">
        <is>
          <t>自动管线检出的合格导管腔。</t>
        </is>
      </c>
      <c r="P478" t="inlineStr">
        <is>
          <t>auto_pipeline;review_png_green</t>
        </is>
      </c>
      <c r="R478" t="inlineStr">
        <is>
          <t>样品54</t>
        </is>
      </c>
    </row>
    <row r="479">
      <c r="A479" t="inlineStr">
        <is>
          <t>54(5)-V06</t>
        </is>
      </c>
      <c r="B479" t="inlineStr">
        <is>
          <t>54 (5).tif</t>
        </is>
      </c>
      <c r="C479" t="n">
        <v>621</v>
      </c>
      <c r="D479" t="n">
        <v>555</v>
      </c>
      <c r="E479" t="inlineStr">
        <is>
          <t>568,537,675,574</t>
        </is>
      </c>
      <c r="F479" t="n">
        <v>194</v>
      </c>
      <c r="G479" t="inlineStr">
        <is>
          <t>primary</t>
        </is>
      </c>
      <c r="H479" t="inlineStr">
        <is>
          <t>AUTO_VESSEL</t>
        </is>
      </c>
      <c r="I479" t="inlineStr">
        <is>
          <t>是</t>
        </is>
      </c>
      <c r="J479" t="inlineStr">
        <is>
          <t>纳入</t>
        </is>
      </c>
      <c r="K479" t="n">
        <v>127.4102079395085</v>
      </c>
      <c r="L479">
        <f>导管母表_860!G479</f>
        <v/>
      </c>
      <c r="M479" t="inlineStr">
        <is>
          <t>视野内部</t>
        </is>
      </c>
      <c r="N479" t="inlineStr">
        <is>
          <t>纳入A/D/Dh；若有Pair_ID则纳入CWR</t>
        </is>
      </c>
      <c r="O479" t="inlineStr">
        <is>
          <t>自动管线检出的合格导管腔。</t>
        </is>
      </c>
      <c r="P479" t="inlineStr">
        <is>
          <t>auto_pipeline;review_png_green</t>
        </is>
      </c>
      <c r="R479" t="inlineStr">
        <is>
          <t>样品54</t>
        </is>
      </c>
    </row>
    <row r="480">
      <c r="A480" t="inlineStr">
        <is>
          <t>54(6)-V01</t>
        </is>
      </c>
      <c r="B480" t="inlineStr">
        <is>
          <t>54 (6).tif</t>
        </is>
      </c>
      <c r="C480" t="n">
        <v>905</v>
      </c>
      <c r="D480" t="n">
        <v>147</v>
      </c>
      <c r="E480" t="inlineStr">
        <is>
          <t>835,62,976,233</t>
        </is>
      </c>
      <c r="F480" t="n">
        <v>48</v>
      </c>
      <c r="G480" t="inlineStr">
        <is>
          <t>primary</t>
        </is>
      </c>
      <c r="H480" t="inlineStr">
        <is>
          <t>AUTO_VESSEL</t>
        </is>
      </c>
      <c r="I480" t="inlineStr">
        <is>
          <t>是</t>
        </is>
      </c>
      <c r="J480" t="inlineStr">
        <is>
          <t>纳入</t>
        </is>
      </c>
      <c r="K480" t="n">
        <v>873.9130434782609</v>
      </c>
      <c r="L480">
        <f>导管母表_860!G480</f>
        <v/>
      </c>
      <c r="M480" t="inlineStr">
        <is>
          <t>视野内部</t>
        </is>
      </c>
      <c r="N480" t="inlineStr">
        <is>
          <t>纳入A/D/Dh；若有Pair_ID则纳入CWR</t>
        </is>
      </c>
      <c r="O480" t="inlineStr">
        <is>
          <t>自动管线检出的合格导管腔。</t>
        </is>
      </c>
      <c r="P480" t="inlineStr">
        <is>
          <t>auto_pipeline;review_png_green</t>
        </is>
      </c>
      <c r="R480" t="inlineStr">
        <is>
          <t>样品54</t>
        </is>
      </c>
    </row>
    <row r="481">
      <c r="A481" t="inlineStr">
        <is>
          <t>54(6)-V02</t>
        </is>
      </c>
      <c r="B481" t="inlineStr">
        <is>
          <t>54 (6).tif</t>
        </is>
      </c>
      <c r="C481" t="n">
        <v>105</v>
      </c>
      <c r="D481" t="n">
        <v>581</v>
      </c>
      <c r="E481" t="inlineStr">
        <is>
          <t>17,515,194,648</t>
        </is>
      </c>
      <c r="F481" t="n">
        <v>17</v>
      </c>
      <c r="G481" t="inlineStr">
        <is>
          <t>primary</t>
        </is>
      </c>
      <c r="H481" t="inlineStr">
        <is>
          <t>AUTO_VESSEL</t>
        </is>
      </c>
      <c r="I481" t="inlineStr">
        <is>
          <t>是</t>
        </is>
      </c>
      <c r="J481" t="inlineStr">
        <is>
          <t>纳入</t>
        </is>
      </c>
      <c r="K481" t="n">
        <v>844.7069943289225</v>
      </c>
      <c r="L481">
        <f>导管母表_860!G481</f>
        <v/>
      </c>
      <c r="M481" t="inlineStr">
        <is>
          <t>近边缘（&lt;25 px）</t>
        </is>
      </c>
      <c r="N481" t="inlineStr">
        <is>
          <t>纳入A/D/Dh；若有Pair_ID则纳入CWR</t>
        </is>
      </c>
      <c r="O481" t="inlineStr">
        <is>
          <t>自动管线检出的合格导管腔。</t>
        </is>
      </c>
      <c r="P481" t="inlineStr">
        <is>
          <t>auto_pipeline;review_png_green</t>
        </is>
      </c>
      <c r="R481" t="inlineStr">
        <is>
          <t>样品54</t>
        </is>
      </c>
    </row>
    <row r="482">
      <c r="A482" t="inlineStr">
        <is>
          <t>54(6)-V03</t>
        </is>
      </c>
      <c r="B482" t="inlineStr">
        <is>
          <t>54 (6).tif</t>
        </is>
      </c>
      <c r="C482" t="n">
        <v>392</v>
      </c>
      <c r="D482" t="n">
        <v>378</v>
      </c>
      <c r="E482" t="inlineStr">
        <is>
          <t>328,317,457,440</t>
        </is>
      </c>
      <c r="F482" t="n">
        <v>317</v>
      </c>
      <c r="G482" t="inlineStr">
        <is>
          <t>primary</t>
        </is>
      </c>
      <c r="H482" t="inlineStr">
        <is>
          <t>AUTO_VESSEL</t>
        </is>
      </c>
      <c r="I482" t="inlineStr">
        <is>
          <t>是</t>
        </is>
      </c>
      <c r="J482" t="inlineStr">
        <is>
          <t>纳入</t>
        </is>
      </c>
      <c r="K482" t="n">
        <v>579.6313799621928</v>
      </c>
      <c r="L482">
        <f>导管母表_860!G482</f>
        <v/>
      </c>
      <c r="M482" t="inlineStr">
        <is>
          <t>视野内部</t>
        </is>
      </c>
      <c r="N482" t="inlineStr">
        <is>
          <t>纳入A/D/Dh；若有Pair_ID则纳入CWR</t>
        </is>
      </c>
      <c r="O482" t="inlineStr">
        <is>
          <t>自动管线检出的合格导管腔。</t>
        </is>
      </c>
      <c r="P482" t="inlineStr">
        <is>
          <t>auto_pipeline;review_png_green</t>
        </is>
      </c>
      <c r="Q482" t="inlineStr">
        <is>
          <t>54(6)-P01</t>
        </is>
      </c>
      <c r="R482" t="inlineStr">
        <is>
          <t>样品54</t>
        </is>
      </c>
    </row>
    <row r="483">
      <c r="A483" t="inlineStr">
        <is>
          <t>54(6)-V04</t>
        </is>
      </c>
      <c r="B483" t="inlineStr">
        <is>
          <t>54 (6).tif</t>
        </is>
      </c>
      <c r="C483" t="n">
        <v>519</v>
      </c>
      <c r="D483" t="n">
        <v>397</v>
      </c>
      <c r="E483" t="inlineStr">
        <is>
          <t>469,338,570,457</t>
        </is>
      </c>
      <c r="F483" t="n">
        <v>311</v>
      </c>
      <c r="G483" t="inlineStr">
        <is>
          <t>primary</t>
        </is>
      </c>
      <c r="H483" t="inlineStr">
        <is>
          <t>AUTO_VESSEL</t>
        </is>
      </c>
      <c r="I483" t="inlineStr">
        <is>
          <t>是</t>
        </is>
      </c>
      <c r="J483" t="inlineStr">
        <is>
          <t>纳入</t>
        </is>
      </c>
      <c r="K483" t="n">
        <v>437.8071833648393</v>
      </c>
      <c r="L483">
        <f>导管母表_860!G483</f>
        <v/>
      </c>
      <c r="M483" t="inlineStr">
        <is>
          <t>视野内部</t>
        </is>
      </c>
      <c r="N483" t="inlineStr">
        <is>
          <t>纳入A/D/Dh；若有Pair_ID则纳入CWR</t>
        </is>
      </c>
      <c r="O483" t="inlineStr">
        <is>
          <t>自动管线检出的合格导管腔。</t>
        </is>
      </c>
      <c r="P483" t="inlineStr">
        <is>
          <t>auto_pipeline;review_png_green</t>
        </is>
      </c>
      <c r="Q483" t="inlineStr">
        <is>
          <t>54(6)-P01</t>
        </is>
      </c>
      <c r="R483" t="inlineStr">
        <is>
          <t>样品54</t>
        </is>
      </c>
    </row>
    <row r="484">
      <c r="A484" t="inlineStr">
        <is>
          <t>54(7)-V01</t>
        </is>
      </c>
      <c r="B484" t="inlineStr">
        <is>
          <t>54 (7).tif</t>
        </is>
      </c>
      <c r="C484" t="n">
        <v>435</v>
      </c>
      <c r="D484" t="n">
        <v>383</v>
      </c>
      <c r="E484" t="inlineStr">
        <is>
          <t>353,301,518,466</t>
        </is>
      </c>
      <c r="F484" t="n">
        <v>301</v>
      </c>
      <c r="G484" t="inlineStr">
        <is>
          <t>primary</t>
        </is>
      </c>
      <c r="H484" t="inlineStr">
        <is>
          <t>AUTO_VESSEL</t>
        </is>
      </c>
      <c r="I484" t="inlineStr">
        <is>
          <t>是</t>
        </is>
      </c>
      <c r="J484" t="inlineStr">
        <is>
          <t>纳入</t>
        </is>
      </c>
      <c r="K484" t="n">
        <v>940.8790170132326</v>
      </c>
      <c r="L484">
        <f>导管母表_860!G484</f>
        <v/>
      </c>
      <c r="M484" t="inlineStr">
        <is>
          <t>视野内部</t>
        </is>
      </c>
      <c r="N484" t="inlineStr">
        <is>
          <t>纳入A/D/Dh；若有Pair_ID则纳入CWR</t>
        </is>
      </c>
      <c r="O484" t="inlineStr">
        <is>
          <t>自动管线检出的合格导管腔。</t>
        </is>
      </c>
      <c r="P484" t="inlineStr">
        <is>
          <t>auto_pipeline;review_png_green</t>
        </is>
      </c>
      <c r="R484" t="inlineStr">
        <is>
          <t>样品54</t>
        </is>
      </c>
    </row>
    <row r="485">
      <c r="A485" t="inlineStr">
        <is>
          <t>54(7)-V02</t>
        </is>
      </c>
      <c r="B485" t="inlineStr">
        <is>
          <t>54 (7).tif</t>
        </is>
      </c>
      <c r="C485" t="n">
        <v>558</v>
      </c>
      <c r="D485" t="n">
        <v>314</v>
      </c>
      <c r="E485" t="inlineStr">
        <is>
          <t>501,246,616,383</t>
        </is>
      </c>
      <c r="F485" t="n">
        <v>246</v>
      </c>
      <c r="G485" t="inlineStr">
        <is>
          <t>primary</t>
        </is>
      </c>
      <c r="H485" t="inlineStr">
        <is>
          <t>AUTO_VESSEL</t>
        </is>
      </c>
      <c r="I485" t="inlineStr">
        <is>
          <t>是</t>
        </is>
      </c>
      <c r="J485" t="inlineStr">
        <is>
          <t>纳入</t>
        </is>
      </c>
      <c r="K485" t="n">
        <v>558.624763705104</v>
      </c>
      <c r="L485">
        <f>导管母表_860!G485</f>
        <v/>
      </c>
      <c r="M485" t="inlineStr">
        <is>
          <t>视野内部</t>
        </is>
      </c>
      <c r="N485" t="inlineStr">
        <is>
          <t>纳入A/D/Dh；若有Pair_ID则纳入CWR</t>
        </is>
      </c>
      <c r="O485" t="inlineStr">
        <is>
          <t>自动管线检出的合格导管腔。</t>
        </is>
      </c>
      <c r="P485" t="inlineStr">
        <is>
          <t>auto_pipeline;review_png_green</t>
        </is>
      </c>
      <c r="R485" t="inlineStr">
        <is>
          <t>样品54</t>
        </is>
      </c>
    </row>
    <row r="486">
      <c r="A486" t="inlineStr">
        <is>
          <t>54(7)-V03</t>
        </is>
      </c>
      <c r="B486" t="inlineStr">
        <is>
          <t>54 (7).tif</t>
        </is>
      </c>
      <c r="C486" t="n">
        <v>838</v>
      </c>
      <c r="D486" t="n">
        <v>532</v>
      </c>
      <c r="E486" t="inlineStr">
        <is>
          <t>763,479,914,586</t>
        </is>
      </c>
      <c r="F486" t="n">
        <v>110</v>
      </c>
      <c r="G486" t="inlineStr">
        <is>
          <t>primary</t>
        </is>
      </c>
      <c r="H486" t="inlineStr">
        <is>
          <t>AUTO_VESSEL</t>
        </is>
      </c>
      <c r="I486" t="inlineStr">
        <is>
          <t>是</t>
        </is>
      </c>
      <c r="J486" t="inlineStr">
        <is>
          <t>纳入</t>
        </is>
      </c>
      <c r="K486" t="n">
        <v>556.3563327032136</v>
      </c>
      <c r="L486">
        <f>导管母表_860!G486</f>
        <v/>
      </c>
      <c r="M486" t="inlineStr">
        <is>
          <t>视野内部</t>
        </is>
      </c>
      <c r="N486" t="inlineStr">
        <is>
          <t>纳入A/D/Dh；若有Pair_ID则纳入CWR</t>
        </is>
      </c>
      <c r="O486" t="inlineStr">
        <is>
          <t>自动管线检出的合格导管腔。</t>
        </is>
      </c>
      <c r="P486" t="inlineStr">
        <is>
          <t>auto_pipeline;review_png_green</t>
        </is>
      </c>
      <c r="R486" t="inlineStr">
        <is>
          <t>样品54</t>
        </is>
      </c>
    </row>
    <row r="487">
      <c r="A487" t="inlineStr">
        <is>
          <t>54(7)-V04</t>
        </is>
      </c>
      <c r="B487" t="inlineStr">
        <is>
          <t>54 (7).tif</t>
        </is>
      </c>
      <c r="C487" t="n">
        <v>902</v>
      </c>
      <c r="D487" t="n">
        <v>631</v>
      </c>
      <c r="E487" t="inlineStr">
        <is>
          <t>861,593,944,670</t>
        </is>
      </c>
      <c r="F487" t="n">
        <v>80</v>
      </c>
      <c r="G487" t="inlineStr">
        <is>
          <t>primary</t>
        </is>
      </c>
      <c r="H487" t="inlineStr">
        <is>
          <t>AUTO_VESSEL</t>
        </is>
      </c>
      <c r="I487" t="inlineStr">
        <is>
          <t>是</t>
        </is>
      </c>
      <c r="J487" t="inlineStr">
        <is>
          <t>纳入</t>
        </is>
      </c>
      <c r="K487" t="n">
        <v>147.069943289225</v>
      </c>
      <c r="L487">
        <f>导管母表_860!G487</f>
        <v/>
      </c>
      <c r="M487" t="inlineStr">
        <is>
          <t>视野内部</t>
        </is>
      </c>
      <c r="N487" t="inlineStr">
        <is>
          <t>纳入A/D/Dh；若有Pair_ID则纳入CWR</t>
        </is>
      </c>
      <c r="O487" t="inlineStr">
        <is>
          <t>自动管线检出的合格导管腔。</t>
        </is>
      </c>
      <c r="P487" t="inlineStr">
        <is>
          <t>auto_pipeline;review_png_green</t>
        </is>
      </c>
      <c r="R487" t="inlineStr">
        <is>
          <t>样品54</t>
        </is>
      </c>
    </row>
    <row r="488">
      <c r="A488" t="inlineStr">
        <is>
          <t>54(8)-V01</t>
        </is>
      </c>
      <c r="B488" t="inlineStr">
        <is>
          <t>54 (8).tif</t>
        </is>
      </c>
      <c r="C488" t="n">
        <v>442</v>
      </c>
      <c r="D488" t="n">
        <v>438</v>
      </c>
      <c r="E488" t="inlineStr">
        <is>
          <t>365,360,520,517</t>
        </is>
      </c>
      <c r="F488" t="n">
        <v>251</v>
      </c>
      <c r="G488" t="inlineStr">
        <is>
          <t>primary</t>
        </is>
      </c>
      <c r="H488" t="inlineStr">
        <is>
          <t>AUTO_VESSEL</t>
        </is>
      </c>
      <c r="I488" t="inlineStr">
        <is>
          <t>是</t>
        </is>
      </c>
      <c r="J488" t="inlineStr">
        <is>
          <t>纳入</t>
        </is>
      </c>
      <c r="K488" t="n">
        <v>890.3355387523629</v>
      </c>
      <c r="L488">
        <f>导管母表_860!G488</f>
        <v/>
      </c>
      <c r="M488" t="inlineStr">
        <is>
          <t>视野内部</t>
        </is>
      </c>
      <c r="N488" t="inlineStr">
        <is>
          <t>纳入A/D/Dh；若有Pair_ID则纳入CWR</t>
        </is>
      </c>
      <c r="O488" t="inlineStr">
        <is>
          <t>自动管线检出的合格导管腔。</t>
        </is>
      </c>
      <c r="P488" t="inlineStr">
        <is>
          <t>auto_pipeline;review_png_green</t>
        </is>
      </c>
      <c r="R488" t="inlineStr">
        <is>
          <t>样品54</t>
        </is>
      </c>
    </row>
    <row r="489">
      <c r="A489" t="inlineStr">
        <is>
          <t>54(8)-V02</t>
        </is>
      </c>
      <c r="B489" t="inlineStr">
        <is>
          <t>54 (8).tif</t>
        </is>
      </c>
      <c r="C489" t="n">
        <v>876</v>
      </c>
      <c r="D489" t="n">
        <v>503</v>
      </c>
      <c r="E489" t="inlineStr">
        <is>
          <t>805,430,948,577</t>
        </is>
      </c>
      <c r="F489" t="n">
        <v>76</v>
      </c>
      <c r="G489" t="inlineStr">
        <is>
          <t>primary</t>
        </is>
      </c>
      <c r="H489" t="inlineStr">
        <is>
          <t>AUTO_VESSEL</t>
        </is>
      </c>
      <c r="I489" t="inlineStr">
        <is>
          <t>是</t>
        </is>
      </c>
      <c r="J489" t="inlineStr">
        <is>
          <t>纳入</t>
        </is>
      </c>
      <c r="K489" t="n">
        <v>753.1899810964084</v>
      </c>
      <c r="L489">
        <f>导管母表_860!G489</f>
        <v/>
      </c>
      <c r="M489" t="inlineStr">
        <is>
          <t>视野内部</t>
        </is>
      </c>
      <c r="N489" t="inlineStr">
        <is>
          <t>纳入A/D/Dh；若有Pair_ID则纳入CWR</t>
        </is>
      </c>
      <c r="O489" t="inlineStr">
        <is>
          <t>自动管线检出的合格导管腔。</t>
        </is>
      </c>
      <c r="P489" t="inlineStr">
        <is>
          <t>auto_pipeline;review_png_green</t>
        </is>
      </c>
      <c r="R489" t="inlineStr">
        <is>
          <t>样品54</t>
        </is>
      </c>
    </row>
    <row r="490">
      <c r="A490" t="inlineStr">
        <is>
          <t>54(8)-V03</t>
        </is>
      </c>
      <c r="B490" t="inlineStr">
        <is>
          <t>54 (8).tif</t>
        </is>
      </c>
      <c r="C490" t="n">
        <v>245</v>
      </c>
      <c r="D490" t="n">
        <v>90</v>
      </c>
      <c r="E490" t="inlineStr">
        <is>
          <t>168,28,323,153</t>
        </is>
      </c>
      <c r="F490" t="n">
        <v>28</v>
      </c>
      <c r="G490" t="inlineStr">
        <is>
          <t>primary</t>
        </is>
      </c>
      <c r="H490" t="inlineStr">
        <is>
          <t>AUTO_VESSEL</t>
        </is>
      </c>
      <c r="I490" t="inlineStr">
        <is>
          <t>是</t>
        </is>
      </c>
      <c r="J490" t="inlineStr">
        <is>
          <t>纳入</t>
        </is>
      </c>
      <c r="K490" t="n">
        <v>708.624763705104</v>
      </c>
      <c r="L490">
        <f>导管母表_860!G490</f>
        <v/>
      </c>
      <c r="M490" t="inlineStr">
        <is>
          <t>视野内部</t>
        </is>
      </c>
      <c r="N490" t="inlineStr">
        <is>
          <t>纳入A/D/Dh；若有Pair_ID则纳入CWR</t>
        </is>
      </c>
      <c r="O490" t="inlineStr">
        <is>
          <t>自动管线检出的合格导管腔。</t>
        </is>
      </c>
      <c r="P490" t="inlineStr">
        <is>
          <t>auto_pipeline;review_png_green</t>
        </is>
      </c>
      <c r="R490" t="inlineStr">
        <is>
          <t>样品54</t>
        </is>
      </c>
    </row>
    <row r="491">
      <c r="A491" t="inlineStr">
        <is>
          <t>54(8)-V04</t>
        </is>
      </c>
      <c r="B491" t="inlineStr">
        <is>
          <t>54 (8).tif</t>
        </is>
      </c>
      <c r="C491" t="n">
        <v>136</v>
      </c>
      <c r="D491" t="n">
        <v>401</v>
      </c>
      <c r="E491" t="inlineStr">
        <is>
          <t>71,333,202,470</t>
        </is>
      </c>
      <c r="F491" t="n">
        <v>71</v>
      </c>
      <c r="G491" t="inlineStr">
        <is>
          <t>primary</t>
        </is>
      </c>
      <c r="H491" t="inlineStr">
        <is>
          <t>AUTO_VESSEL</t>
        </is>
      </c>
      <c r="I491" t="inlineStr">
        <is>
          <t>是</t>
        </is>
      </c>
      <c r="J491" t="inlineStr">
        <is>
          <t>纳入</t>
        </is>
      </c>
      <c r="K491" t="n">
        <v>631.758034026465</v>
      </c>
      <c r="L491">
        <f>导管母表_860!G491</f>
        <v/>
      </c>
      <c r="M491" t="inlineStr">
        <is>
          <t>视野内部</t>
        </is>
      </c>
      <c r="N491" t="inlineStr">
        <is>
          <t>纳入A/D/Dh；若有Pair_ID则纳入CWR</t>
        </is>
      </c>
      <c r="O491" t="inlineStr">
        <is>
          <t>自动管线检出的合格导管腔。</t>
        </is>
      </c>
      <c r="P491" t="inlineStr">
        <is>
          <t>auto_pipeline;review_png_green</t>
        </is>
      </c>
      <c r="R491" t="inlineStr">
        <is>
          <t>样品54</t>
        </is>
      </c>
    </row>
    <row r="492">
      <c r="A492" t="inlineStr">
        <is>
          <t>54(8)-V05</t>
        </is>
      </c>
      <c r="B492" t="inlineStr">
        <is>
          <t>54 (8).tif</t>
        </is>
      </c>
      <c r="C492" t="n">
        <v>558</v>
      </c>
      <c r="D492" t="n">
        <v>317</v>
      </c>
      <c r="E492" t="inlineStr">
        <is>
          <t>492,254,625,381</t>
        </is>
      </c>
      <c r="F492" t="n">
        <v>254</v>
      </c>
      <c r="G492" t="inlineStr">
        <is>
          <t>primary</t>
        </is>
      </c>
      <c r="H492" t="inlineStr">
        <is>
          <t>AUTO_VESSEL</t>
        </is>
      </c>
      <c r="I492" t="inlineStr">
        <is>
          <t>是</t>
        </is>
      </c>
      <c r="J492" t="inlineStr">
        <is>
          <t>纳入</t>
        </is>
      </c>
      <c r="K492" t="n">
        <v>616.2098298676749</v>
      </c>
      <c r="L492">
        <f>导管母表_860!G492</f>
        <v/>
      </c>
      <c r="M492" t="inlineStr">
        <is>
          <t>视野内部</t>
        </is>
      </c>
      <c r="N492" t="inlineStr">
        <is>
          <t>纳入A/D/Dh；若有Pair_ID则纳入CWR</t>
        </is>
      </c>
      <c r="O492" t="inlineStr">
        <is>
          <t>自动管线检出的合格导管腔。</t>
        </is>
      </c>
      <c r="P492" t="inlineStr">
        <is>
          <t>auto_pipeline;review_png_green</t>
        </is>
      </c>
      <c r="R492" t="inlineStr">
        <is>
          <t>样品54</t>
        </is>
      </c>
    </row>
    <row r="493">
      <c r="A493" t="inlineStr">
        <is>
          <t>54(8)-V06</t>
        </is>
      </c>
      <c r="B493" t="inlineStr">
        <is>
          <t>54 (8).tif</t>
        </is>
      </c>
      <c r="C493" t="n">
        <v>470</v>
      </c>
      <c r="D493" t="n">
        <v>108</v>
      </c>
      <c r="E493" t="inlineStr">
        <is>
          <t>438,72,503,145</t>
        </is>
      </c>
      <c r="F493" t="n">
        <v>72</v>
      </c>
      <c r="G493" t="inlineStr">
        <is>
          <t>primary</t>
        </is>
      </c>
      <c r="H493" t="inlineStr">
        <is>
          <t>AUTO_VESSEL</t>
        </is>
      </c>
      <c r="I493" t="inlineStr">
        <is>
          <t>是</t>
        </is>
      </c>
      <c r="J493" t="inlineStr">
        <is>
          <t>纳入</t>
        </is>
      </c>
      <c r="K493" t="n">
        <v>120.4158790170132</v>
      </c>
      <c r="L493">
        <f>导管母表_860!G493</f>
        <v/>
      </c>
      <c r="M493" t="inlineStr">
        <is>
          <t>视野内部</t>
        </is>
      </c>
      <c r="N493" t="inlineStr">
        <is>
          <t>纳入A/D/Dh；若有Pair_ID则纳入CWR</t>
        </is>
      </c>
      <c r="O493" t="inlineStr">
        <is>
          <t>自动管线检出的合格导管腔。</t>
        </is>
      </c>
      <c r="P493" t="inlineStr">
        <is>
          <t>auto_pipeline;review_png_green</t>
        </is>
      </c>
      <c r="R493" t="inlineStr">
        <is>
          <t>样品54</t>
        </is>
      </c>
    </row>
    <row r="494">
      <c r="A494" t="inlineStr">
        <is>
          <t>55(1)-V01</t>
        </is>
      </c>
      <c r="B494" t="inlineStr">
        <is>
          <t>55 (1).tif</t>
        </is>
      </c>
      <c r="C494" t="n">
        <v>521</v>
      </c>
      <c r="D494" t="n">
        <v>352</v>
      </c>
      <c r="E494" t="inlineStr">
        <is>
          <t>420,265,623,440</t>
        </is>
      </c>
      <c r="F494" t="n">
        <v>265</v>
      </c>
      <c r="G494" t="inlineStr">
        <is>
          <t>primary</t>
        </is>
      </c>
      <c r="H494" t="inlineStr">
        <is>
          <t>AUTO_VESSEL</t>
        </is>
      </c>
      <c r="I494" t="inlineStr">
        <is>
          <t>是</t>
        </is>
      </c>
      <c r="J494" t="inlineStr">
        <is>
          <t>纳入</t>
        </is>
      </c>
      <c r="K494" t="n">
        <v>1300.803402646503</v>
      </c>
      <c r="L494">
        <f>导管母表_860!G494</f>
        <v/>
      </c>
      <c r="M494" t="inlineStr">
        <is>
          <t>视野内部</t>
        </is>
      </c>
      <c r="N494" t="inlineStr">
        <is>
          <t>纳入A/D/Dh；若有Pair_ID则纳入CWR</t>
        </is>
      </c>
      <c r="O494" t="inlineStr">
        <is>
          <t>自动管线检出的合格导管腔。</t>
        </is>
      </c>
      <c r="P494" t="inlineStr">
        <is>
          <t>auto_pipeline;review_png_green</t>
        </is>
      </c>
      <c r="Q494" t="inlineStr">
        <is>
          <t>55(1)-P01</t>
        </is>
      </c>
      <c r="R494" t="inlineStr">
        <is>
          <t>样品55</t>
        </is>
      </c>
    </row>
    <row r="495">
      <c r="A495" t="inlineStr">
        <is>
          <t>55(1)-V02</t>
        </is>
      </c>
      <c r="B495" t="inlineStr">
        <is>
          <t>55 (1).tif</t>
        </is>
      </c>
      <c r="C495" t="n">
        <v>504</v>
      </c>
      <c r="D495" t="n">
        <v>176</v>
      </c>
      <c r="E495" t="inlineStr">
        <is>
          <t>406,87,603,266</t>
        </is>
      </c>
      <c r="F495" t="n">
        <v>87</v>
      </c>
      <c r="G495" t="inlineStr">
        <is>
          <t>primary</t>
        </is>
      </c>
      <c r="H495" t="inlineStr">
        <is>
          <t>AUTO_VESSEL</t>
        </is>
      </c>
      <c r="I495" t="inlineStr">
        <is>
          <t>是</t>
        </is>
      </c>
      <c r="J495" t="inlineStr">
        <is>
          <t>纳入</t>
        </is>
      </c>
      <c r="K495" t="n">
        <v>1292.863894139886</v>
      </c>
      <c r="L495">
        <f>导管母表_860!G495</f>
        <v/>
      </c>
      <c r="M495" t="inlineStr">
        <is>
          <t>视野内部</t>
        </is>
      </c>
      <c r="N495" t="inlineStr">
        <is>
          <t>纳入A/D/Dh；若有Pair_ID则纳入CWR</t>
        </is>
      </c>
      <c r="O495" t="inlineStr">
        <is>
          <t>自动管线检出的合格导管腔。</t>
        </is>
      </c>
      <c r="P495" t="inlineStr">
        <is>
          <t>auto_pipeline;review_png_green</t>
        </is>
      </c>
      <c r="R495" t="inlineStr">
        <is>
          <t>样品55</t>
        </is>
      </c>
    </row>
    <row r="496">
      <c r="A496" t="inlineStr">
        <is>
          <t>55(1)-V03</t>
        </is>
      </c>
      <c r="B496" t="inlineStr">
        <is>
          <t>55 (1).tif</t>
        </is>
      </c>
      <c r="C496" t="n">
        <v>141</v>
      </c>
      <c r="D496" t="n">
        <v>407</v>
      </c>
      <c r="E496" t="inlineStr">
        <is>
          <t>62,326,221,489</t>
        </is>
      </c>
      <c r="F496" t="n">
        <v>62</v>
      </c>
      <c r="G496" t="inlineStr">
        <is>
          <t>primary</t>
        </is>
      </c>
      <c r="H496" t="inlineStr">
        <is>
          <t>AUTO_VESSEL</t>
        </is>
      </c>
      <c r="I496" t="inlineStr">
        <is>
          <t>是</t>
        </is>
      </c>
      <c r="J496" t="inlineStr">
        <is>
          <t>纳入</t>
        </is>
      </c>
      <c r="K496" t="n">
        <v>934.4754253308129</v>
      </c>
      <c r="L496">
        <f>导管母表_860!G496</f>
        <v/>
      </c>
      <c r="M496" t="inlineStr">
        <is>
          <t>视野内部</t>
        </is>
      </c>
      <c r="N496" t="inlineStr">
        <is>
          <t>纳入A/D/Dh；若有Pair_ID则纳入CWR</t>
        </is>
      </c>
      <c r="O496" t="inlineStr">
        <is>
          <t>自动管线检出的合格导管腔。</t>
        </is>
      </c>
      <c r="P496" t="inlineStr">
        <is>
          <t>auto_pipeline;review_png_green</t>
        </is>
      </c>
      <c r="R496" t="inlineStr">
        <is>
          <t>样品55</t>
        </is>
      </c>
    </row>
    <row r="497">
      <c r="A497" t="inlineStr">
        <is>
          <t>55(1)-V04</t>
        </is>
      </c>
      <c r="B497" t="inlineStr">
        <is>
          <t>55 (1).tif</t>
        </is>
      </c>
      <c r="C497" t="n">
        <v>870</v>
      </c>
      <c r="D497" t="n">
        <v>200</v>
      </c>
      <c r="E497" t="inlineStr">
        <is>
          <t>797,115,944,286</t>
        </is>
      </c>
      <c r="F497" t="n">
        <v>80</v>
      </c>
      <c r="G497" t="inlineStr">
        <is>
          <t>primary</t>
        </is>
      </c>
      <c r="H497" t="inlineStr">
        <is>
          <t>AUTO_VESSEL</t>
        </is>
      </c>
      <c r="I497" t="inlineStr">
        <is>
          <t>是</t>
        </is>
      </c>
      <c r="J497" t="inlineStr">
        <is>
          <t>纳入</t>
        </is>
      </c>
      <c r="K497" t="n">
        <v>921.1011342155009</v>
      </c>
      <c r="L497">
        <f>导管母表_860!G497</f>
        <v/>
      </c>
      <c r="M497" t="inlineStr">
        <is>
          <t>视野内部</t>
        </is>
      </c>
      <c r="N497" t="inlineStr">
        <is>
          <t>纳入A/D/Dh；若有Pair_ID则纳入CWR</t>
        </is>
      </c>
      <c r="O497" t="inlineStr">
        <is>
          <t>自动管线检出的合格导管腔。</t>
        </is>
      </c>
      <c r="P497" t="inlineStr">
        <is>
          <t>auto_pipeline;review_png_green</t>
        </is>
      </c>
      <c r="R497" t="inlineStr">
        <is>
          <t>样品55</t>
        </is>
      </c>
    </row>
    <row r="498">
      <c r="A498" t="inlineStr">
        <is>
          <t>55(1)-V05</t>
        </is>
      </c>
      <c r="B498" t="inlineStr">
        <is>
          <t>55 (1).tif</t>
        </is>
      </c>
      <c r="C498" t="n">
        <v>525</v>
      </c>
      <c r="D498" t="n">
        <v>517</v>
      </c>
      <c r="E498" t="inlineStr">
        <is>
          <t>462,457,589,578</t>
        </is>
      </c>
      <c r="F498" t="n">
        <v>190</v>
      </c>
      <c r="G498" t="inlineStr">
        <is>
          <t>primary</t>
        </is>
      </c>
      <c r="H498" t="inlineStr">
        <is>
          <t>AUTO_VESSEL</t>
        </is>
      </c>
      <c r="I498" t="inlineStr">
        <is>
          <t>是</t>
        </is>
      </c>
      <c r="J498" t="inlineStr">
        <is>
          <t>纳入</t>
        </is>
      </c>
      <c r="K498" t="n">
        <v>559.1446124763705</v>
      </c>
      <c r="L498">
        <f>导管母表_860!G498</f>
        <v/>
      </c>
      <c r="M498" t="inlineStr">
        <is>
          <t>视野内部</t>
        </is>
      </c>
      <c r="N498" t="inlineStr">
        <is>
          <t>纳入A/D/Dh；若有Pair_ID则纳入CWR</t>
        </is>
      </c>
      <c r="O498" t="inlineStr">
        <is>
          <t>自动管线检出的合格导管腔。</t>
        </is>
      </c>
      <c r="P498" t="inlineStr">
        <is>
          <t>auto_pipeline;review_png_green</t>
        </is>
      </c>
      <c r="Q498" t="inlineStr">
        <is>
          <t>55(1)-P01</t>
        </is>
      </c>
      <c r="R498" t="inlineStr">
        <is>
          <t>样品55</t>
        </is>
      </c>
    </row>
    <row r="499">
      <c r="A499" t="inlineStr">
        <is>
          <t>55(1)-V06</t>
        </is>
      </c>
      <c r="B499" t="inlineStr">
        <is>
          <t>55 (1).tif</t>
        </is>
      </c>
      <c r="C499" t="n">
        <v>196</v>
      </c>
      <c r="D499" t="n">
        <v>593</v>
      </c>
      <c r="E499" t="inlineStr">
        <is>
          <t>142,527,251,660</t>
        </is>
      </c>
      <c r="F499" t="n">
        <v>108</v>
      </c>
      <c r="G499" t="inlineStr">
        <is>
          <t>primary</t>
        </is>
      </c>
      <c r="H499" t="inlineStr">
        <is>
          <t>AUTO_VESSEL</t>
        </is>
      </c>
      <c r="I499" t="inlineStr">
        <is>
          <t>是</t>
        </is>
      </c>
      <c r="J499" t="inlineStr">
        <is>
          <t>纳入</t>
        </is>
      </c>
      <c r="K499" t="n">
        <v>524.8582230623819</v>
      </c>
      <c r="L499">
        <f>导管母表_860!G499</f>
        <v/>
      </c>
      <c r="M499" t="inlineStr">
        <is>
          <t>视野内部</t>
        </is>
      </c>
      <c r="N499" t="inlineStr">
        <is>
          <t>纳入A/D/Dh；若有Pair_ID则纳入CWR</t>
        </is>
      </c>
      <c r="O499" t="inlineStr">
        <is>
          <t>自动管线检出的合格导管腔。</t>
        </is>
      </c>
      <c r="P499" t="inlineStr">
        <is>
          <t>auto_pipeline;review_png_green</t>
        </is>
      </c>
      <c r="R499" t="inlineStr">
        <is>
          <t>样品55</t>
        </is>
      </c>
    </row>
    <row r="500">
      <c r="A500" t="inlineStr">
        <is>
          <t>55(1)-V07</t>
        </is>
      </c>
      <c r="B500" t="inlineStr">
        <is>
          <t>55 (1).tif</t>
        </is>
      </c>
      <c r="C500" t="n">
        <v>594</v>
      </c>
      <c r="D500" t="n">
        <v>641</v>
      </c>
      <c r="E500" t="inlineStr">
        <is>
          <t>567,597,622,686</t>
        </is>
      </c>
      <c r="F500" t="n">
        <v>82</v>
      </c>
      <c r="G500" t="inlineStr">
        <is>
          <t>primary</t>
        </is>
      </c>
      <c r="H500" t="inlineStr">
        <is>
          <t>AUTO_VESSEL</t>
        </is>
      </c>
      <c r="I500" t="inlineStr">
        <is>
          <t>是</t>
        </is>
      </c>
      <c r="J500" t="inlineStr">
        <is>
          <t>纳入</t>
        </is>
      </c>
      <c r="K500" t="n">
        <v>173.9603024574669</v>
      </c>
      <c r="L500">
        <f>导管母表_860!G500</f>
        <v/>
      </c>
      <c r="M500" t="inlineStr">
        <is>
          <t>视野内部</t>
        </is>
      </c>
      <c r="N500" t="inlineStr">
        <is>
          <t>纳入A/D/Dh；若有Pair_ID则纳入CWR</t>
        </is>
      </c>
      <c r="O500" t="inlineStr">
        <is>
          <t>自动管线检出的合格导管腔。</t>
        </is>
      </c>
      <c r="P500" t="inlineStr">
        <is>
          <t>auto_pipeline;review_png_green</t>
        </is>
      </c>
      <c r="R500" t="inlineStr">
        <is>
          <t>样品55</t>
        </is>
      </c>
    </row>
    <row r="501">
      <c r="A501" t="inlineStr">
        <is>
          <t>55(1)-V08</t>
        </is>
      </c>
      <c r="B501" t="inlineStr">
        <is>
          <t>55 (1).tif</t>
        </is>
      </c>
      <c r="C501" t="n">
        <v>57</v>
      </c>
      <c r="D501" t="n">
        <v>149</v>
      </c>
      <c r="E501" t="inlineStr">
        <is>
          <t>38,100,77,199</t>
        </is>
      </c>
      <c r="F501" t="n">
        <v>38</v>
      </c>
      <c r="G501" t="inlineStr">
        <is>
          <t>primary</t>
        </is>
      </c>
      <c r="H501" t="inlineStr">
        <is>
          <t>AUTO_VESSEL</t>
        </is>
      </c>
      <c r="I501" t="inlineStr">
        <is>
          <t>是</t>
        </is>
      </c>
      <c r="J501" t="inlineStr">
        <is>
          <t>纳入</t>
        </is>
      </c>
      <c r="K501" t="n">
        <v>131.3090737240076</v>
      </c>
      <c r="L501">
        <f>导管母表_860!G501</f>
        <v/>
      </c>
      <c r="M501" t="inlineStr">
        <is>
          <t>视野内部</t>
        </is>
      </c>
      <c r="N501" t="inlineStr">
        <is>
          <t>纳入A/D/Dh；若有Pair_ID则纳入CWR</t>
        </is>
      </c>
      <c r="O501" t="inlineStr">
        <is>
          <t>自动管线检出的合格导管腔。</t>
        </is>
      </c>
      <c r="P501" t="inlineStr">
        <is>
          <t>auto_pipeline;review_png_green</t>
        </is>
      </c>
      <c r="R501" t="inlineStr">
        <is>
          <t>样品55</t>
        </is>
      </c>
    </row>
    <row r="502">
      <c r="A502" t="inlineStr">
        <is>
          <t>55(2)-V01</t>
        </is>
      </c>
      <c r="B502" t="inlineStr">
        <is>
          <t>55 (2).tif</t>
        </is>
      </c>
      <c r="C502" t="n">
        <v>451</v>
      </c>
      <c r="D502" t="n">
        <v>459</v>
      </c>
      <c r="E502" t="inlineStr">
        <is>
          <t>366,374,537,545</t>
        </is>
      </c>
      <c r="F502" t="n">
        <v>223</v>
      </c>
      <c r="G502" t="inlineStr">
        <is>
          <t>primary</t>
        </is>
      </c>
      <c r="H502" t="inlineStr">
        <is>
          <t>AUTO_VESSEL</t>
        </is>
      </c>
      <c r="I502" t="inlineStr">
        <is>
          <t>是</t>
        </is>
      </c>
      <c r="J502" t="inlineStr">
        <is>
          <t>纳入</t>
        </is>
      </c>
      <c r="K502" t="n">
        <v>1070.864839319471</v>
      </c>
      <c r="L502">
        <f>导管母表_860!G502</f>
        <v/>
      </c>
      <c r="M502" t="inlineStr">
        <is>
          <t>视野内部</t>
        </is>
      </c>
      <c r="N502" t="inlineStr">
        <is>
          <t>纳入A/D/Dh；若有Pair_ID则纳入CWR</t>
        </is>
      </c>
      <c r="O502" t="inlineStr">
        <is>
          <t>自动管线检出的合格导管腔。</t>
        </is>
      </c>
      <c r="P502" t="inlineStr">
        <is>
          <t>auto_pipeline;review_png_green</t>
        </is>
      </c>
      <c r="R502" t="inlineStr">
        <is>
          <t>样品55</t>
        </is>
      </c>
    </row>
    <row r="503">
      <c r="A503" t="inlineStr">
        <is>
          <t>55(2)-V02</t>
        </is>
      </c>
      <c r="B503" t="inlineStr">
        <is>
          <t>55 (2).tif</t>
        </is>
      </c>
      <c r="C503" t="n">
        <v>856</v>
      </c>
      <c r="D503" t="n">
        <v>581</v>
      </c>
      <c r="E503" t="inlineStr">
        <is>
          <t>798,509,915,654</t>
        </is>
      </c>
      <c r="F503" t="n">
        <v>109</v>
      </c>
      <c r="G503" t="inlineStr">
        <is>
          <t>primary</t>
        </is>
      </c>
      <c r="H503" t="inlineStr">
        <is>
          <t>AUTO_VESSEL</t>
        </is>
      </c>
      <c r="I503" t="inlineStr">
        <is>
          <t>是</t>
        </is>
      </c>
      <c r="J503" t="inlineStr">
        <is>
          <t>纳入</t>
        </is>
      </c>
      <c r="K503" t="n">
        <v>574.1493383742911</v>
      </c>
      <c r="L503">
        <f>导管母表_860!G503</f>
        <v/>
      </c>
      <c r="M503" t="inlineStr">
        <is>
          <t>视野内部</t>
        </is>
      </c>
      <c r="N503" t="inlineStr">
        <is>
          <t>纳入A/D/Dh；若有Pair_ID则纳入CWR</t>
        </is>
      </c>
      <c r="O503" t="inlineStr">
        <is>
          <t>自动管线检出的合格导管腔。</t>
        </is>
      </c>
      <c r="P503" t="inlineStr">
        <is>
          <t>auto_pipeline;review_png_green</t>
        </is>
      </c>
      <c r="R503" t="inlineStr">
        <is>
          <t>样品55</t>
        </is>
      </c>
    </row>
    <row r="504">
      <c r="A504" t="inlineStr">
        <is>
          <t>55(2)-V03</t>
        </is>
      </c>
      <c r="B504" t="inlineStr">
        <is>
          <t>55 (2).tif</t>
        </is>
      </c>
      <c r="C504" t="n">
        <v>641</v>
      </c>
      <c r="D504" t="n">
        <v>103</v>
      </c>
      <c r="E504" t="inlineStr">
        <is>
          <t>615,58,668,149</t>
        </is>
      </c>
      <c r="F504" t="n">
        <v>58</v>
      </c>
      <c r="G504" t="inlineStr">
        <is>
          <t>primary</t>
        </is>
      </c>
      <c r="H504" t="inlineStr">
        <is>
          <t>AUTO_VESSEL</t>
        </is>
      </c>
      <c r="I504" t="inlineStr">
        <is>
          <t>是</t>
        </is>
      </c>
      <c r="J504" t="inlineStr">
        <is>
          <t>纳入</t>
        </is>
      </c>
      <c r="K504" t="n">
        <v>166.5170132325142</v>
      </c>
      <c r="L504">
        <f>导管母表_860!G504</f>
        <v/>
      </c>
      <c r="M504" t="inlineStr">
        <is>
          <t>视野内部</t>
        </is>
      </c>
      <c r="N504" t="inlineStr">
        <is>
          <t>纳入A/D/Dh；若有Pair_ID则纳入CWR</t>
        </is>
      </c>
      <c r="O504" t="inlineStr">
        <is>
          <t>自动管线检出的合格导管腔。</t>
        </is>
      </c>
      <c r="P504" t="inlineStr">
        <is>
          <t>auto_pipeline;review_png_green</t>
        </is>
      </c>
      <c r="R504" t="inlineStr">
        <is>
          <t>样品55</t>
        </is>
      </c>
    </row>
    <row r="505">
      <c r="A505" t="inlineStr">
        <is>
          <t>55(2)-V04</t>
        </is>
      </c>
      <c r="B505" t="inlineStr">
        <is>
          <t>55 (2).tif</t>
        </is>
      </c>
      <c r="C505" t="n">
        <v>571</v>
      </c>
      <c r="D505" t="n">
        <v>631</v>
      </c>
      <c r="E505" t="inlineStr">
        <is>
          <t>542,597,601,666</t>
        </is>
      </c>
      <c r="F505" t="n">
        <v>102</v>
      </c>
      <c r="G505" t="inlineStr">
        <is>
          <t>primary</t>
        </is>
      </c>
      <c r="H505" t="inlineStr">
        <is>
          <t>AUTO_VESSEL</t>
        </is>
      </c>
      <c r="I505" t="inlineStr">
        <is>
          <t>是</t>
        </is>
      </c>
      <c r="J505" t="inlineStr">
        <is>
          <t>纳入</t>
        </is>
      </c>
      <c r="K505" t="n">
        <v>130.0567107750473</v>
      </c>
      <c r="L505">
        <f>导管母表_860!G505</f>
        <v/>
      </c>
      <c r="M505" t="inlineStr">
        <is>
          <t>视野内部</t>
        </is>
      </c>
      <c r="N505" t="inlineStr">
        <is>
          <t>纳入A/D/Dh；若有Pair_ID则纳入CWR</t>
        </is>
      </c>
      <c r="O505" t="inlineStr">
        <is>
          <t>自动管线检出的合格导管腔。</t>
        </is>
      </c>
      <c r="P505" t="inlineStr">
        <is>
          <t>auto_pipeline;review_png_green</t>
        </is>
      </c>
      <c r="R505" t="inlineStr">
        <is>
          <t>样品55</t>
        </is>
      </c>
    </row>
    <row r="506">
      <c r="A506" t="inlineStr">
        <is>
          <t>55(2)-V05</t>
        </is>
      </c>
      <c r="B506" t="inlineStr">
        <is>
          <t>55 (2).tif</t>
        </is>
      </c>
      <c r="C506" t="n">
        <v>181</v>
      </c>
      <c r="D506" t="n">
        <v>105</v>
      </c>
      <c r="E506" t="inlineStr">
        <is>
          <t>135,86,228,125</t>
        </is>
      </c>
      <c r="F506" t="n">
        <v>86</v>
      </c>
      <c r="G506" t="inlineStr">
        <is>
          <t>primary</t>
        </is>
      </c>
      <c r="H506" t="inlineStr">
        <is>
          <t>AUTO_VESSEL</t>
        </is>
      </c>
      <c r="I506" t="inlineStr">
        <is>
          <t>是</t>
        </is>
      </c>
      <c r="J506" t="inlineStr">
        <is>
          <t>纳入</t>
        </is>
      </c>
      <c r="K506" t="n">
        <v>123.2514177693762</v>
      </c>
      <c r="L506">
        <f>导管母表_860!G506</f>
        <v/>
      </c>
      <c r="M506" t="inlineStr">
        <is>
          <t>视野内部</t>
        </is>
      </c>
      <c r="N506" t="inlineStr">
        <is>
          <t>纳入A/D/Dh；若有Pair_ID则纳入CWR</t>
        </is>
      </c>
      <c r="O506" t="inlineStr">
        <is>
          <t>自动管线检出的合格导管腔。</t>
        </is>
      </c>
      <c r="P506" t="inlineStr">
        <is>
          <t>auto_pipeline;review_png_green</t>
        </is>
      </c>
      <c r="R506" t="inlineStr">
        <is>
          <t>样品55</t>
        </is>
      </c>
    </row>
    <row r="507">
      <c r="A507" t="inlineStr">
        <is>
          <t>55(3)-V01</t>
        </is>
      </c>
      <c r="B507" t="inlineStr">
        <is>
          <t>55 (3).tif</t>
        </is>
      </c>
      <c r="C507" t="n">
        <v>627</v>
      </c>
      <c r="D507" t="n">
        <v>56</v>
      </c>
      <c r="E507" t="inlineStr">
        <is>
          <t>565,10,690,103</t>
        </is>
      </c>
      <c r="F507" t="n">
        <v>10</v>
      </c>
      <c r="G507" t="inlineStr">
        <is>
          <t>primary</t>
        </is>
      </c>
      <c r="H507" t="inlineStr">
        <is>
          <t>AUTO_VESSEL</t>
        </is>
      </c>
      <c r="I507" t="inlineStr">
        <is>
          <t>是</t>
        </is>
      </c>
      <c r="J507" t="inlineStr">
        <is>
          <t>纳入</t>
        </is>
      </c>
      <c r="K507" t="n">
        <v>420.6994328922495</v>
      </c>
      <c r="L507">
        <f>导管母表_860!G507</f>
        <v/>
      </c>
      <c r="M507" t="inlineStr">
        <is>
          <t>近边缘（&lt;25 px）</t>
        </is>
      </c>
      <c r="N507" t="inlineStr">
        <is>
          <t>纳入A/D/Dh；若有Pair_ID则纳入CWR</t>
        </is>
      </c>
      <c r="O507" t="inlineStr">
        <is>
          <t>自动管线检出的合格导管腔。</t>
        </is>
      </c>
      <c r="P507" t="inlineStr">
        <is>
          <t>auto_pipeline;review_png_green</t>
        </is>
      </c>
      <c r="R507" t="inlineStr">
        <is>
          <t>样品55</t>
        </is>
      </c>
    </row>
    <row r="508">
      <c r="A508" t="inlineStr">
        <is>
          <t>55(3)-V02</t>
        </is>
      </c>
      <c r="B508" t="inlineStr">
        <is>
          <t>55 (3).tif</t>
        </is>
      </c>
      <c r="C508" t="n">
        <v>75</v>
      </c>
      <c r="D508" t="n">
        <v>489</v>
      </c>
      <c r="E508" t="inlineStr">
        <is>
          <t>45,445,106,534</t>
        </is>
      </c>
      <c r="F508" t="n">
        <v>45</v>
      </c>
      <c r="G508" t="inlineStr">
        <is>
          <t>primary</t>
        </is>
      </c>
      <c r="H508" t="inlineStr">
        <is>
          <t>AUTO_VESSEL</t>
        </is>
      </c>
      <c r="I508" t="inlineStr">
        <is>
          <t>是</t>
        </is>
      </c>
      <c r="J508" t="inlineStr">
        <is>
          <t>纳入</t>
        </is>
      </c>
      <c r="K508" t="n">
        <v>126.6068052930057</v>
      </c>
      <c r="L508">
        <f>导管母表_860!G508</f>
        <v/>
      </c>
      <c r="M508" t="inlineStr">
        <is>
          <t>视野内部</t>
        </is>
      </c>
      <c r="N508" t="inlineStr">
        <is>
          <t>纳入A/D/Dh；若有Pair_ID则纳入CWR</t>
        </is>
      </c>
      <c r="O508" t="inlineStr">
        <is>
          <t>自动管线检出的合格导管腔。</t>
        </is>
      </c>
      <c r="P508" t="inlineStr">
        <is>
          <t>auto_pipeline;review_png_green</t>
        </is>
      </c>
      <c r="R508" t="inlineStr">
        <is>
          <t>样品55</t>
        </is>
      </c>
    </row>
    <row r="509">
      <c r="A509" t="inlineStr">
        <is>
          <t>55(3)-V03</t>
        </is>
      </c>
      <c r="B509" t="inlineStr">
        <is>
          <t>55 (3).tif</t>
        </is>
      </c>
      <c r="C509" t="n">
        <v>908</v>
      </c>
      <c r="D509" t="n">
        <v>101</v>
      </c>
      <c r="E509" t="inlineStr">
        <is>
          <t>875,76,942,127</t>
        </is>
      </c>
      <c r="F509" t="n">
        <v>76</v>
      </c>
      <c r="G509" t="inlineStr">
        <is>
          <t>primary</t>
        </is>
      </c>
      <c r="H509" t="inlineStr">
        <is>
          <t>AUTO_VESSEL</t>
        </is>
      </c>
      <c r="I509" t="inlineStr">
        <is>
          <t>是</t>
        </is>
      </c>
      <c r="J509" t="inlineStr">
        <is>
          <t>纳入</t>
        </is>
      </c>
      <c r="K509" t="n">
        <v>121.195652173913</v>
      </c>
      <c r="L509">
        <f>导管母表_860!G509</f>
        <v/>
      </c>
      <c r="M509" t="inlineStr">
        <is>
          <t>视野内部</t>
        </is>
      </c>
      <c r="N509" t="inlineStr">
        <is>
          <t>纳入A/D/Dh；若有Pair_ID则纳入CWR</t>
        </is>
      </c>
      <c r="O509" t="inlineStr">
        <is>
          <t>自动管线检出的合格导管腔。</t>
        </is>
      </c>
      <c r="P509" t="inlineStr">
        <is>
          <t>auto_pipeline;review_png_green</t>
        </is>
      </c>
      <c r="R509" t="inlineStr">
        <is>
          <t>样品55</t>
        </is>
      </c>
    </row>
    <row r="510">
      <c r="A510" t="inlineStr">
        <is>
          <t>55(4)-V01</t>
        </is>
      </c>
      <c r="B510" t="inlineStr">
        <is>
          <t>55 (4).tif</t>
        </is>
      </c>
      <c r="C510" t="n">
        <v>920</v>
      </c>
      <c r="D510" t="n">
        <v>555</v>
      </c>
      <c r="E510" t="inlineStr">
        <is>
          <t>825,462,1016,649</t>
        </is>
      </c>
      <c r="F510" t="n">
        <v>8</v>
      </c>
      <c r="G510" t="inlineStr">
        <is>
          <t>primary</t>
        </is>
      </c>
      <c r="H510" t="inlineStr">
        <is>
          <t>AUTO_VESSEL</t>
        </is>
      </c>
      <c r="I510" t="inlineStr">
        <is>
          <t>是</t>
        </is>
      </c>
      <c r="J510" t="inlineStr">
        <is>
          <t>纳入</t>
        </is>
      </c>
      <c r="K510" t="n">
        <v>1286.743856332703</v>
      </c>
      <c r="L510">
        <f>导管母表_860!G510</f>
        <v/>
      </c>
      <c r="M510" t="inlineStr">
        <is>
          <t>近边缘（&lt;25 px）</t>
        </is>
      </c>
      <c r="N510" t="inlineStr">
        <is>
          <t>纳入A/D/Dh；若有Pair_ID则纳入CWR</t>
        </is>
      </c>
      <c r="O510" t="inlineStr">
        <is>
          <t>自动管线检出的合格导管腔。</t>
        </is>
      </c>
      <c r="P510" t="inlineStr">
        <is>
          <t>auto_pipeline;review_png_green</t>
        </is>
      </c>
      <c r="R510" t="inlineStr">
        <is>
          <t>样品55</t>
        </is>
      </c>
    </row>
    <row r="511">
      <c r="A511" t="inlineStr">
        <is>
          <t>55(4)-V02</t>
        </is>
      </c>
      <c r="B511" t="inlineStr">
        <is>
          <t>55 (4).tif</t>
        </is>
      </c>
      <c r="C511" t="n">
        <v>440</v>
      </c>
      <c r="D511" t="n">
        <v>422</v>
      </c>
      <c r="E511" t="inlineStr">
        <is>
          <t>359,341,522,504</t>
        </is>
      </c>
      <c r="F511" t="n">
        <v>264</v>
      </c>
      <c r="G511" t="inlineStr">
        <is>
          <t>primary</t>
        </is>
      </c>
      <c r="H511" t="inlineStr">
        <is>
          <t>AUTO_VESSEL</t>
        </is>
      </c>
      <c r="I511" t="inlineStr">
        <is>
          <t>是</t>
        </is>
      </c>
      <c r="J511" t="inlineStr">
        <is>
          <t>纳入</t>
        </is>
      </c>
      <c r="K511" t="n">
        <v>967.6512287334593</v>
      </c>
      <c r="L511">
        <f>导管母表_860!G511</f>
        <v/>
      </c>
      <c r="M511" t="inlineStr">
        <is>
          <t>视野内部</t>
        </is>
      </c>
      <c r="N511" t="inlineStr">
        <is>
          <t>纳入A/D/Dh；若有Pair_ID则纳入CWR</t>
        </is>
      </c>
      <c r="O511" t="inlineStr">
        <is>
          <t>自动管线检出的合格导管腔。</t>
        </is>
      </c>
      <c r="P511" t="inlineStr">
        <is>
          <t>auto_pipeline;review_png_green</t>
        </is>
      </c>
      <c r="Q511" t="inlineStr">
        <is>
          <t>55(4)-P01</t>
        </is>
      </c>
      <c r="R511" t="inlineStr">
        <is>
          <t>样品55</t>
        </is>
      </c>
    </row>
    <row r="512">
      <c r="A512" t="inlineStr">
        <is>
          <t>55(4)-V03</t>
        </is>
      </c>
      <c r="B512" t="inlineStr">
        <is>
          <t>55 (4).tif</t>
        </is>
      </c>
      <c r="C512" t="n">
        <v>861</v>
      </c>
      <c r="D512" t="n">
        <v>176</v>
      </c>
      <c r="E512" t="inlineStr">
        <is>
          <t>781,101,942,252</t>
        </is>
      </c>
      <c r="F512" t="n">
        <v>82</v>
      </c>
      <c r="G512" t="inlineStr">
        <is>
          <t>primary</t>
        </is>
      </c>
      <c r="H512" t="inlineStr">
        <is>
          <t>AUTO_VESSEL</t>
        </is>
      </c>
      <c r="I512" t="inlineStr">
        <is>
          <t>是</t>
        </is>
      </c>
      <c r="J512" t="inlineStr">
        <is>
          <t>纳入</t>
        </is>
      </c>
      <c r="K512" t="n">
        <v>868.0765595463138</v>
      </c>
      <c r="L512">
        <f>导管母表_860!G512</f>
        <v/>
      </c>
      <c r="M512" t="inlineStr">
        <is>
          <t>视野内部</t>
        </is>
      </c>
      <c r="N512" t="inlineStr">
        <is>
          <t>纳入A/D/Dh；若有Pair_ID则纳入CWR</t>
        </is>
      </c>
      <c r="O512" t="inlineStr">
        <is>
          <t>自动管线检出的合格导管腔。</t>
        </is>
      </c>
      <c r="P512" t="inlineStr">
        <is>
          <t>auto_pipeline;review_png_green</t>
        </is>
      </c>
      <c r="R512" t="inlineStr">
        <is>
          <t>样品55</t>
        </is>
      </c>
    </row>
    <row r="513">
      <c r="A513" t="inlineStr">
        <is>
          <t>55(4)-V04</t>
        </is>
      </c>
      <c r="B513" t="inlineStr">
        <is>
          <t>55 (4).tif</t>
        </is>
      </c>
      <c r="C513" t="n">
        <v>569</v>
      </c>
      <c r="D513" t="n">
        <v>316</v>
      </c>
      <c r="E513" t="inlineStr">
        <is>
          <t>495,246,644,387</t>
        </is>
      </c>
      <c r="F513" t="n">
        <v>246</v>
      </c>
      <c r="G513" t="inlineStr">
        <is>
          <t>primary</t>
        </is>
      </c>
      <c r="H513" t="inlineStr">
        <is>
          <t>AUTO_VESSEL</t>
        </is>
      </c>
      <c r="I513" t="inlineStr">
        <is>
          <t>是</t>
        </is>
      </c>
      <c r="J513" t="inlineStr">
        <is>
          <t>纳入</t>
        </is>
      </c>
      <c r="K513" t="n">
        <v>765.5482041587902</v>
      </c>
      <c r="L513">
        <f>导管母表_860!G513</f>
        <v/>
      </c>
      <c r="M513" t="inlineStr">
        <is>
          <t>视野内部</t>
        </is>
      </c>
      <c r="N513" t="inlineStr">
        <is>
          <t>纳入A/D/Dh；若有Pair_ID则纳入CWR</t>
        </is>
      </c>
      <c r="O513" t="inlineStr">
        <is>
          <t>自动管线检出的合格导管腔。</t>
        </is>
      </c>
      <c r="P513" t="inlineStr">
        <is>
          <t>auto_pipeline;review_png_green</t>
        </is>
      </c>
      <c r="Q513" t="inlineStr">
        <is>
          <t>55(4)-P01</t>
        </is>
      </c>
      <c r="R513" t="inlineStr">
        <is>
          <t>样品55</t>
        </is>
      </c>
    </row>
    <row r="514">
      <c r="A514" t="inlineStr">
        <is>
          <t>55(4)-V05</t>
        </is>
      </c>
      <c r="B514" t="inlineStr">
        <is>
          <t>55 (4).tif</t>
        </is>
      </c>
      <c r="C514" t="n">
        <v>242</v>
      </c>
      <c r="D514" t="n">
        <v>559</v>
      </c>
      <c r="E514" t="inlineStr">
        <is>
          <t>165,500,320,619</t>
        </is>
      </c>
      <c r="F514" t="n">
        <v>149</v>
      </c>
      <c r="G514" t="inlineStr">
        <is>
          <t>primary</t>
        </is>
      </c>
      <c r="H514" t="inlineStr">
        <is>
          <t>AUTO_VESSEL</t>
        </is>
      </c>
      <c r="I514" t="inlineStr">
        <is>
          <t>是</t>
        </is>
      </c>
      <c r="J514" t="inlineStr">
        <is>
          <t>纳入</t>
        </is>
      </c>
      <c r="K514" t="n">
        <v>660.1134215500945</v>
      </c>
      <c r="L514">
        <f>导管母表_860!G514</f>
        <v/>
      </c>
      <c r="M514" t="inlineStr">
        <is>
          <t>视野内部</t>
        </is>
      </c>
      <c r="N514" t="inlineStr">
        <is>
          <t>纳入A/D/Dh；若有Pair_ID则纳入CWR</t>
        </is>
      </c>
      <c r="O514" t="inlineStr">
        <is>
          <t>自动管线检出的合格导管腔。</t>
        </is>
      </c>
      <c r="P514" t="inlineStr">
        <is>
          <t>auto_pipeline;review_png_green</t>
        </is>
      </c>
      <c r="R514" t="inlineStr">
        <is>
          <t>样品55</t>
        </is>
      </c>
    </row>
    <row r="515">
      <c r="A515" t="inlineStr">
        <is>
          <t>55(5)-V01</t>
        </is>
      </c>
      <c r="B515" t="inlineStr">
        <is>
          <t>55 (5).tif</t>
        </is>
      </c>
      <c r="C515" t="n">
        <v>127</v>
      </c>
      <c r="D515" t="n">
        <v>103</v>
      </c>
      <c r="E515" t="inlineStr">
        <is>
          <t>43,17,212,190</t>
        </is>
      </c>
      <c r="F515" t="n">
        <v>17</v>
      </c>
      <c r="G515" t="inlineStr">
        <is>
          <t>primary</t>
        </is>
      </c>
      <c r="H515" t="inlineStr">
        <is>
          <t>AUTO_VESSEL</t>
        </is>
      </c>
      <c r="I515" t="inlineStr">
        <is>
          <t>是</t>
        </is>
      </c>
      <c r="J515" t="inlineStr">
        <is>
          <t>纳入</t>
        </is>
      </c>
      <c r="K515" t="n">
        <v>1070.888468809074</v>
      </c>
      <c r="L515">
        <f>导管母表_860!G515</f>
        <v/>
      </c>
      <c r="M515" t="inlineStr">
        <is>
          <t>近边缘（&lt;25 px）</t>
        </is>
      </c>
      <c r="N515" t="inlineStr">
        <is>
          <t>纳入A/D/Dh；若有Pair_ID则纳入CWR</t>
        </is>
      </c>
      <c r="O515" t="inlineStr">
        <is>
          <t>自动管线检出的合格导管腔。</t>
        </is>
      </c>
      <c r="P515" t="inlineStr">
        <is>
          <t>auto_pipeline;review_png_green</t>
        </is>
      </c>
      <c r="R515" t="inlineStr">
        <is>
          <t>样品55</t>
        </is>
      </c>
    </row>
    <row r="516">
      <c r="A516" t="inlineStr">
        <is>
          <t>55(5)-V02</t>
        </is>
      </c>
      <c r="B516" t="inlineStr">
        <is>
          <t>55 (5).tif</t>
        </is>
      </c>
      <c r="C516" t="n">
        <v>399</v>
      </c>
      <c r="D516" t="n">
        <v>359</v>
      </c>
      <c r="E516" t="inlineStr">
        <is>
          <t>318,275,481,444</t>
        </is>
      </c>
      <c r="F516" t="n">
        <v>275</v>
      </c>
      <c r="G516" t="inlineStr">
        <is>
          <t>primary</t>
        </is>
      </c>
      <c r="H516" t="inlineStr">
        <is>
          <t>AUTO_VESSEL</t>
        </is>
      </c>
      <c r="I516" t="inlineStr">
        <is>
          <t>是</t>
        </is>
      </c>
      <c r="J516" t="inlineStr">
        <is>
          <t>纳入</t>
        </is>
      </c>
      <c r="K516" t="n">
        <v>995.0378071833649</v>
      </c>
      <c r="L516">
        <f>导管母表_860!G516</f>
        <v/>
      </c>
      <c r="M516" t="inlineStr">
        <is>
          <t>视野内部</t>
        </is>
      </c>
      <c r="N516" t="inlineStr">
        <is>
          <t>纳入A/D/Dh；若有Pair_ID则纳入CWR</t>
        </is>
      </c>
      <c r="O516" t="inlineStr">
        <is>
          <t>自动管线检出的合格导管腔。</t>
        </is>
      </c>
      <c r="P516" t="inlineStr">
        <is>
          <t>auto_pipeline;review_png_green</t>
        </is>
      </c>
      <c r="R516" t="inlineStr">
        <is>
          <t>样品55</t>
        </is>
      </c>
    </row>
    <row r="517">
      <c r="A517" t="inlineStr">
        <is>
          <t>55(5)-V03</t>
        </is>
      </c>
      <c r="B517" t="inlineStr">
        <is>
          <t>55 (5).tif</t>
        </is>
      </c>
      <c r="C517" t="n">
        <v>596</v>
      </c>
      <c r="D517" t="n">
        <v>339</v>
      </c>
      <c r="E517" t="inlineStr">
        <is>
          <t>516,263,677,416</t>
        </is>
      </c>
      <c r="F517" t="n">
        <v>263</v>
      </c>
      <c r="G517" t="inlineStr">
        <is>
          <t>primary</t>
        </is>
      </c>
      <c r="H517" t="inlineStr">
        <is>
          <t>AUTO_VESSEL</t>
        </is>
      </c>
      <c r="I517" t="inlineStr">
        <is>
          <t>是</t>
        </is>
      </c>
      <c r="J517" t="inlineStr">
        <is>
          <t>纳入</t>
        </is>
      </c>
      <c r="K517" t="n">
        <v>901.4650283553875</v>
      </c>
      <c r="L517">
        <f>导管母表_860!G517</f>
        <v/>
      </c>
      <c r="M517" t="inlineStr">
        <is>
          <t>视野内部</t>
        </is>
      </c>
      <c r="N517" t="inlineStr">
        <is>
          <t>纳入A/D/Dh；若有Pair_ID则纳入CWR</t>
        </is>
      </c>
      <c r="O517" t="inlineStr">
        <is>
          <t>自动管线检出的合格导管腔。</t>
        </is>
      </c>
      <c r="P517" t="inlineStr">
        <is>
          <t>auto_pipeline;review_png_green</t>
        </is>
      </c>
      <c r="R517" t="inlineStr">
        <is>
          <t>样品55</t>
        </is>
      </c>
    </row>
    <row r="518">
      <c r="A518" t="inlineStr">
        <is>
          <t>55(5)-V04</t>
        </is>
      </c>
      <c r="B518" t="inlineStr">
        <is>
          <t>55 (5).tif</t>
        </is>
      </c>
      <c r="C518" t="n">
        <v>88</v>
      </c>
      <c r="D518" t="n">
        <v>214</v>
      </c>
      <c r="E518" t="inlineStr">
        <is>
          <t>35,191,142,238</t>
        </is>
      </c>
      <c r="F518" t="n">
        <v>35</v>
      </c>
      <c r="G518" t="inlineStr">
        <is>
          <t>primary</t>
        </is>
      </c>
      <c r="H518" t="inlineStr">
        <is>
          <t>AUTO_VESSEL</t>
        </is>
      </c>
      <c r="I518" t="inlineStr">
        <is>
          <t>是</t>
        </is>
      </c>
      <c r="J518" t="inlineStr">
        <is>
          <t>纳入</t>
        </is>
      </c>
      <c r="K518" t="n">
        <v>168.1238185255199</v>
      </c>
      <c r="L518">
        <f>导管母表_860!G518</f>
        <v/>
      </c>
      <c r="M518" t="inlineStr">
        <is>
          <t>视野内部</t>
        </is>
      </c>
      <c r="N518" t="inlineStr">
        <is>
          <t>纳入A/D/Dh；若有Pair_ID则纳入CWR</t>
        </is>
      </c>
      <c r="O518" t="inlineStr">
        <is>
          <t>自动管线检出的合格导管腔。</t>
        </is>
      </c>
      <c r="P518" t="inlineStr">
        <is>
          <t>auto_pipeline;review_png_green</t>
        </is>
      </c>
      <c r="R518" t="inlineStr">
        <is>
          <t>样品55</t>
        </is>
      </c>
    </row>
    <row r="519">
      <c r="A519" t="inlineStr">
        <is>
          <t>55(5)-V05</t>
        </is>
      </c>
      <c r="B519" t="inlineStr">
        <is>
          <t>55 (5).tif</t>
        </is>
      </c>
      <c r="C519" t="n">
        <v>923</v>
      </c>
      <c r="D519" t="n">
        <v>233</v>
      </c>
      <c r="E519" t="inlineStr">
        <is>
          <t>883,208,964,259</t>
        </is>
      </c>
      <c r="F519" t="n">
        <v>60</v>
      </c>
      <c r="G519" t="inlineStr">
        <is>
          <t>primary</t>
        </is>
      </c>
      <c r="H519" t="inlineStr">
        <is>
          <t>AUTO_VESSEL</t>
        </is>
      </c>
      <c r="I519" t="inlineStr">
        <is>
          <t>是</t>
        </is>
      </c>
      <c r="J519" t="inlineStr">
        <is>
          <t>纳入</t>
        </is>
      </c>
      <c r="K519" t="n">
        <v>130.9782608695652</v>
      </c>
      <c r="L519">
        <f>导管母表_860!G519</f>
        <v/>
      </c>
      <c r="M519" t="inlineStr">
        <is>
          <t>视野内部</t>
        </is>
      </c>
      <c r="N519" t="inlineStr">
        <is>
          <t>纳入A/D/Dh；若有Pair_ID则纳入CWR</t>
        </is>
      </c>
      <c r="O519" t="inlineStr">
        <is>
          <t>自动管线检出的合格导管腔。</t>
        </is>
      </c>
      <c r="P519" t="inlineStr">
        <is>
          <t>auto_pipeline;review_png_green</t>
        </is>
      </c>
      <c r="R519" t="inlineStr">
        <is>
          <t>样品55</t>
        </is>
      </c>
    </row>
    <row r="520">
      <c r="A520" t="inlineStr">
        <is>
          <t>55(6)-V01</t>
        </is>
      </c>
      <c r="B520" t="inlineStr">
        <is>
          <t>55 (6).tif</t>
        </is>
      </c>
      <c r="C520" t="n">
        <v>426</v>
      </c>
      <c r="D520" t="n">
        <v>460</v>
      </c>
      <c r="E520" t="inlineStr">
        <is>
          <t>337,382,516,539</t>
        </is>
      </c>
      <c r="F520" t="n">
        <v>229</v>
      </c>
      <c r="G520" t="inlineStr">
        <is>
          <t>primary</t>
        </is>
      </c>
      <c r="H520" t="inlineStr">
        <is>
          <t>AUTO_VESSEL</t>
        </is>
      </c>
      <c r="I520" t="inlineStr">
        <is>
          <t>是</t>
        </is>
      </c>
      <c r="J520" t="inlineStr">
        <is>
          <t>纳入</t>
        </is>
      </c>
      <c r="K520" t="n">
        <v>1023.156899810964</v>
      </c>
      <c r="L520">
        <f>导管母表_860!G520</f>
        <v/>
      </c>
      <c r="M520" t="inlineStr">
        <is>
          <t>视野内部</t>
        </is>
      </c>
      <c r="N520" t="inlineStr">
        <is>
          <t>纳入A/D/Dh；若有Pair_ID则纳入CWR</t>
        </is>
      </c>
      <c r="O520" t="inlineStr">
        <is>
          <t>自动管线检出的合格导管腔。</t>
        </is>
      </c>
      <c r="P520" t="inlineStr">
        <is>
          <t>auto_pipeline;review_png_green</t>
        </is>
      </c>
      <c r="Q520" t="inlineStr">
        <is>
          <t>55(6)-P01</t>
        </is>
      </c>
      <c r="R520" t="inlineStr">
        <is>
          <t>样品55</t>
        </is>
      </c>
    </row>
    <row r="521">
      <c r="A521" t="inlineStr">
        <is>
          <t>55(6)-V02</t>
        </is>
      </c>
      <c r="B521" t="inlineStr">
        <is>
          <t>55 (6).tif</t>
        </is>
      </c>
      <c r="C521" t="n">
        <v>180</v>
      </c>
      <c r="D521" t="n">
        <v>267</v>
      </c>
      <c r="E521" t="inlineStr">
        <is>
          <t>92,196,269,339</t>
        </is>
      </c>
      <c r="F521" t="n">
        <v>92</v>
      </c>
      <c r="G521" t="inlineStr">
        <is>
          <t>primary</t>
        </is>
      </c>
      <c r="H521" t="inlineStr">
        <is>
          <t>AUTO_VESSEL</t>
        </is>
      </c>
      <c r="I521" t="inlineStr">
        <is>
          <t>是</t>
        </is>
      </c>
      <c r="J521" t="inlineStr">
        <is>
          <t>纳入</t>
        </is>
      </c>
      <c r="K521" t="n">
        <v>921.124763705104</v>
      </c>
      <c r="L521">
        <f>导管母表_860!G521</f>
        <v/>
      </c>
      <c r="M521" t="inlineStr">
        <is>
          <t>视野内部</t>
        </is>
      </c>
      <c r="N521" t="inlineStr">
        <is>
          <t>纳入A/D/Dh；若有Pair_ID则纳入CWR</t>
        </is>
      </c>
      <c r="O521" t="inlineStr">
        <is>
          <t>自动管线检出的合格导管腔。</t>
        </is>
      </c>
      <c r="P521" t="inlineStr">
        <is>
          <t>auto_pipeline;review_png_green</t>
        </is>
      </c>
      <c r="R521" t="inlineStr">
        <is>
          <t>样品55</t>
        </is>
      </c>
    </row>
    <row r="522">
      <c r="A522" t="inlineStr">
        <is>
          <t>55(6)-V03</t>
        </is>
      </c>
      <c r="B522" t="inlineStr">
        <is>
          <t>55 (6).tif</t>
        </is>
      </c>
      <c r="C522" t="n">
        <v>356</v>
      </c>
      <c r="D522" t="n">
        <v>110</v>
      </c>
      <c r="E522" t="inlineStr">
        <is>
          <t>279,46,434,175</t>
        </is>
      </c>
      <c r="F522" t="n">
        <v>46</v>
      </c>
      <c r="G522" t="inlineStr">
        <is>
          <t>primary</t>
        </is>
      </c>
      <c r="H522" t="inlineStr">
        <is>
          <t>AUTO_VESSEL</t>
        </is>
      </c>
      <c r="I522" t="inlineStr">
        <is>
          <t>是</t>
        </is>
      </c>
      <c r="J522" t="inlineStr">
        <is>
          <t>纳入</t>
        </is>
      </c>
      <c r="K522" t="n">
        <v>730.9073724007561</v>
      </c>
      <c r="L522">
        <f>导管母表_860!G522</f>
        <v/>
      </c>
      <c r="M522" t="inlineStr">
        <is>
          <t>视野内部</t>
        </is>
      </c>
      <c r="N522" t="inlineStr">
        <is>
          <t>纳入A/D/Dh；若有Pair_ID则纳入CWR</t>
        </is>
      </c>
      <c r="O522" t="inlineStr">
        <is>
          <t>自动管线检出的合格导管腔。</t>
        </is>
      </c>
      <c r="P522" t="inlineStr">
        <is>
          <t>auto_pipeline;review_png_green</t>
        </is>
      </c>
      <c r="R522" t="inlineStr">
        <is>
          <t>样品55</t>
        </is>
      </c>
    </row>
    <row r="523">
      <c r="A523" t="inlineStr">
        <is>
          <t>55(6)-V04</t>
        </is>
      </c>
      <c r="B523" t="inlineStr">
        <is>
          <t>55 (6).tif</t>
        </is>
      </c>
      <c r="C523" t="n">
        <v>584</v>
      </c>
      <c r="D523" t="n">
        <v>368</v>
      </c>
      <c r="E523" t="inlineStr">
        <is>
          <t>528,295,641,442</t>
        </is>
      </c>
      <c r="F523" t="n">
        <v>295</v>
      </c>
      <c r="G523" t="inlineStr">
        <is>
          <t>primary</t>
        </is>
      </c>
      <c r="H523" t="inlineStr">
        <is>
          <t>AUTO_VESSEL</t>
        </is>
      </c>
      <c r="I523" t="inlineStr">
        <is>
          <t>是</t>
        </is>
      </c>
      <c r="J523" t="inlineStr">
        <is>
          <t>纳入</t>
        </is>
      </c>
      <c r="K523" t="n">
        <v>607.1833648393194</v>
      </c>
      <c r="L523">
        <f>导管母表_860!G523</f>
        <v/>
      </c>
      <c r="M523" t="inlineStr">
        <is>
          <t>视野内部</t>
        </is>
      </c>
      <c r="N523" t="inlineStr">
        <is>
          <t>纳入A/D/Dh；若有Pair_ID则纳入CWR</t>
        </is>
      </c>
      <c r="O523" t="inlineStr">
        <is>
          <t>自动管线检出的合格导管腔。</t>
        </is>
      </c>
      <c r="P523" t="inlineStr">
        <is>
          <t>auto_pipeline;review_png_green</t>
        </is>
      </c>
      <c r="Q523" t="inlineStr">
        <is>
          <t>55(6)-P01</t>
        </is>
      </c>
      <c r="R523" t="inlineStr">
        <is>
          <t>样品55</t>
        </is>
      </c>
    </row>
    <row r="524">
      <c r="A524" t="inlineStr">
        <is>
          <t>55(6)-V05</t>
        </is>
      </c>
      <c r="B524" t="inlineStr">
        <is>
          <t>55 (6).tif</t>
        </is>
      </c>
      <c r="C524" t="n">
        <v>289</v>
      </c>
      <c r="D524" t="n">
        <v>479</v>
      </c>
      <c r="E524" t="inlineStr">
        <is>
          <t>255,441,324,518</t>
        </is>
      </c>
      <c r="F524" t="n">
        <v>250</v>
      </c>
      <c r="G524" t="inlineStr">
        <is>
          <t>primary</t>
        </is>
      </c>
      <c r="H524" t="inlineStr">
        <is>
          <t>AUTO_VESSEL</t>
        </is>
      </c>
      <c r="I524" t="inlineStr">
        <is>
          <t>是</t>
        </is>
      </c>
      <c r="J524" t="inlineStr">
        <is>
          <t>纳入</t>
        </is>
      </c>
      <c r="K524" t="n">
        <v>191.0207939508507</v>
      </c>
      <c r="L524">
        <f>导管母表_860!G524</f>
        <v/>
      </c>
      <c r="M524" t="inlineStr">
        <is>
          <t>视野内部</t>
        </is>
      </c>
      <c r="N524" t="inlineStr">
        <is>
          <t>纳入A/D/Dh；若有Pair_ID则纳入CWR</t>
        </is>
      </c>
      <c r="O524" t="inlineStr">
        <is>
          <t>自动管线检出的合格导管腔。</t>
        </is>
      </c>
      <c r="P524" t="inlineStr">
        <is>
          <t>auto_pipeline;review_png_green</t>
        </is>
      </c>
      <c r="R524" t="inlineStr">
        <is>
          <t>样品55</t>
        </is>
      </c>
    </row>
    <row r="525">
      <c r="A525" t="inlineStr">
        <is>
          <t>55(6)-V06</t>
        </is>
      </c>
      <c r="B525" t="inlineStr">
        <is>
          <t>55 (6).tif</t>
        </is>
      </c>
      <c r="C525" t="n">
        <v>947</v>
      </c>
      <c r="D525" t="n">
        <v>351</v>
      </c>
      <c r="E525" t="inlineStr">
        <is>
          <t>906,318,989,385</t>
        </is>
      </c>
      <c r="F525" t="n">
        <v>35</v>
      </c>
      <c r="G525" t="inlineStr">
        <is>
          <t>primary</t>
        </is>
      </c>
      <c r="H525" t="inlineStr">
        <is>
          <t>AUTO_VESSEL</t>
        </is>
      </c>
      <c r="I525" t="inlineStr">
        <is>
          <t>是</t>
        </is>
      </c>
      <c r="J525" t="inlineStr">
        <is>
          <t>纳入</t>
        </is>
      </c>
      <c r="K525" t="n">
        <v>157.1833648393195</v>
      </c>
      <c r="L525">
        <f>导管母表_860!G525</f>
        <v/>
      </c>
      <c r="M525" t="inlineStr">
        <is>
          <t>视野内部</t>
        </is>
      </c>
      <c r="N525" t="inlineStr">
        <is>
          <t>纳入A/D/Dh；若有Pair_ID则纳入CWR</t>
        </is>
      </c>
      <c r="O525" t="inlineStr">
        <is>
          <t>自动管线检出的合格导管腔。</t>
        </is>
      </c>
      <c r="P525" t="inlineStr">
        <is>
          <t>auto_pipeline;review_png_green</t>
        </is>
      </c>
      <c r="R525" t="inlineStr">
        <is>
          <t>样品55</t>
        </is>
      </c>
    </row>
    <row r="526">
      <c r="A526" t="inlineStr">
        <is>
          <t>55(6)-V07</t>
        </is>
      </c>
      <c r="B526" t="inlineStr">
        <is>
          <t>55 (6).tif</t>
        </is>
      </c>
      <c r="C526" t="n">
        <v>783</v>
      </c>
      <c r="D526" t="n">
        <v>461</v>
      </c>
      <c r="E526" t="inlineStr">
        <is>
          <t>752,433,815,490</t>
        </is>
      </c>
      <c r="F526" t="n">
        <v>209</v>
      </c>
      <c r="G526" t="inlineStr">
        <is>
          <t>primary</t>
        </is>
      </c>
      <c r="H526" t="inlineStr">
        <is>
          <t>AUTO_VESSEL</t>
        </is>
      </c>
      <c r="I526" t="inlineStr">
        <is>
          <t>是</t>
        </is>
      </c>
      <c r="J526" t="inlineStr">
        <is>
          <t>纳入</t>
        </is>
      </c>
      <c r="K526" t="n">
        <v>110.2788279773157</v>
      </c>
      <c r="L526">
        <f>导管母表_860!G526</f>
        <v/>
      </c>
      <c r="M526" t="inlineStr">
        <is>
          <t>视野内部</t>
        </is>
      </c>
      <c r="N526" t="inlineStr">
        <is>
          <t>纳入A/D/Dh；若有Pair_ID则纳入CWR</t>
        </is>
      </c>
      <c r="O526" t="inlineStr">
        <is>
          <t>自动管线检出的合格导管腔。</t>
        </is>
      </c>
      <c r="P526" t="inlineStr">
        <is>
          <t>auto_pipeline;review_png_green</t>
        </is>
      </c>
      <c r="R526" t="inlineStr">
        <is>
          <t>样品55</t>
        </is>
      </c>
    </row>
    <row r="527">
      <c r="A527" t="inlineStr">
        <is>
          <t>55(6)-V08</t>
        </is>
      </c>
      <c r="B527" t="inlineStr">
        <is>
          <t>55 (6).tif</t>
        </is>
      </c>
      <c r="C527" t="n">
        <v>565</v>
      </c>
      <c r="D527" t="n">
        <v>423</v>
      </c>
      <c r="E527" t="inlineStr">
        <is>
          <t>542,406,589,441</t>
        </is>
      </c>
      <c r="F527" t="n">
        <v>327</v>
      </c>
      <c r="G527" t="inlineStr">
        <is>
          <t>primary</t>
        </is>
      </c>
      <c r="H527" t="inlineStr">
        <is>
          <t>AUTO_VESSEL</t>
        </is>
      </c>
      <c r="I527" t="inlineStr">
        <is>
          <t>是</t>
        </is>
      </c>
      <c r="J527" t="inlineStr">
        <is>
          <t>纳入</t>
        </is>
      </c>
      <c r="K527" t="n">
        <v>46.40831758034027</v>
      </c>
      <c r="L527">
        <f>导管母表_860!G527</f>
        <v/>
      </c>
      <c r="M527" t="inlineStr">
        <is>
          <t>视野内部</t>
        </is>
      </c>
      <c r="N527" t="inlineStr">
        <is>
          <t>纳入A/D/Dh；若有Pair_ID则纳入CWR</t>
        </is>
      </c>
      <c r="O527" t="inlineStr">
        <is>
          <t>自动管线检出的合格导管腔。</t>
        </is>
      </c>
      <c r="P527" t="inlineStr">
        <is>
          <t>auto_pipeline;review_png_green</t>
        </is>
      </c>
      <c r="R527" t="inlineStr">
        <is>
          <t>样品55</t>
        </is>
      </c>
    </row>
    <row r="528">
      <c r="A528" t="inlineStr">
        <is>
          <t>55(7)-V01</t>
        </is>
      </c>
      <c r="B528" t="inlineStr">
        <is>
          <t>55 (7).tif</t>
        </is>
      </c>
      <c r="C528" t="n">
        <v>239</v>
      </c>
      <c r="D528" t="n">
        <v>358</v>
      </c>
      <c r="E528" t="inlineStr">
        <is>
          <t>140,269,339,448</t>
        </is>
      </c>
      <c r="F528" t="n">
        <v>140</v>
      </c>
      <c r="G528" t="inlineStr">
        <is>
          <t>primary</t>
        </is>
      </c>
      <c r="H528" t="inlineStr">
        <is>
          <t>AUTO_VESSEL</t>
        </is>
      </c>
      <c r="I528" t="inlineStr">
        <is>
          <t>是</t>
        </is>
      </c>
      <c r="J528" t="inlineStr">
        <is>
          <t>纳入</t>
        </is>
      </c>
      <c r="K528" t="n">
        <v>1284.948015122873</v>
      </c>
      <c r="L528">
        <f>导管母表_860!G528</f>
        <v/>
      </c>
      <c r="M528" t="inlineStr">
        <is>
          <t>视野内部</t>
        </is>
      </c>
      <c r="N528" t="inlineStr">
        <is>
          <t>纳入A/D/Dh；若有Pair_ID则纳入CWR</t>
        </is>
      </c>
      <c r="O528" t="inlineStr">
        <is>
          <t>自动管线检出的合格导管腔。</t>
        </is>
      </c>
      <c r="P528" t="inlineStr">
        <is>
          <t>auto_pipeline;review_png_green</t>
        </is>
      </c>
      <c r="R528" t="inlineStr">
        <is>
          <t>样品55</t>
        </is>
      </c>
    </row>
    <row r="529">
      <c r="A529" t="inlineStr">
        <is>
          <t>55(7)-V02</t>
        </is>
      </c>
      <c r="B529" t="inlineStr">
        <is>
          <t>55 (7).tif</t>
        </is>
      </c>
      <c r="C529" t="n">
        <v>638</v>
      </c>
      <c r="D529" t="n">
        <v>311</v>
      </c>
      <c r="E529" t="inlineStr">
        <is>
          <t>555,221,722,402</t>
        </is>
      </c>
      <c r="F529" t="n">
        <v>221</v>
      </c>
      <c r="G529" t="inlineStr">
        <is>
          <t>primary</t>
        </is>
      </c>
      <c r="H529" t="inlineStr">
        <is>
          <t>AUTO_VESSEL</t>
        </is>
      </c>
      <c r="I529" t="inlineStr">
        <is>
          <t>是</t>
        </is>
      </c>
      <c r="J529" t="inlineStr">
        <is>
          <t>纳入</t>
        </is>
      </c>
      <c r="K529" t="n">
        <v>1108.766540642722</v>
      </c>
      <c r="L529">
        <f>导管母表_860!G529</f>
        <v/>
      </c>
      <c r="M529" t="inlineStr">
        <is>
          <t>视野内部</t>
        </is>
      </c>
      <c r="N529" t="inlineStr">
        <is>
          <t>纳入A/D/Dh；若有Pair_ID则纳入CWR</t>
        </is>
      </c>
      <c r="O529" t="inlineStr">
        <is>
          <t>自动管线检出的合格导管腔。</t>
        </is>
      </c>
      <c r="P529" t="inlineStr">
        <is>
          <t>auto_pipeline;review_png_green</t>
        </is>
      </c>
      <c r="R529" t="inlineStr">
        <is>
          <t>样品55</t>
        </is>
      </c>
    </row>
    <row r="530">
      <c r="A530" t="inlineStr">
        <is>
          <t>55(7)-V03</t>
        </is>
      </c>
      <c r="B530" t="inlineStr">
        <is>
          <t>55 (7).tif</t>
        </is>
      </c>
      <c r="C530" t="n">
        <v>462</v>
      </c>
      <c r="D530" t="n">
        <v>342</v>
      </c>
      <c r="E530" t="inlineStr">
        <is>
          <t>381,257,544,428</t>
        </is>
      </c>
      <c r="F530" t="n">
        <v>257</v>
      </c>
      <c r="G530" t="inlineStr">
        <is>
          <t>primary</t>
        </is>
      </c>
      <c r="H530" t="inlineStr">
        <is>
          <t>AUTO_VESSEL</t>
        </is>
      </c>
      <c r="I530" t="inlineStr">
        <is>
          <t>是</t>
        </is>
      </c>
      <c r="J530" t="inlineStr">
        <is>
          <t>纳入</t>
        </is>
      </c>
      <c r="K530" t="n">
        <v>1021.006616257089</v>
      </c>
      <c r="L530">
        <f>导管母表_860!G530</f>
        <v/>
      </c>
      <c r="M530" t="inlineStr">
        <is>
          <t>视野内部</t>
        </is>
      </c>
      <c r="N530" t="inlineStr">
        <is>
          <t>纳入A/D/Dh；若有Pair_ID则纳入CWR</t>
        </is>
      </c>
      <c r="O530" t="inlineStr">
        <is>
          <t>自动管线检出的合格导管腔。</t>
        </is>
      </c>
      <c r="P530" t="inlineStr">
        <is>
          <t>auto_pipeline;review_png_green</t>
        </is>
      </c>
      <c r="R530" t="inlineStr">
        <is>
          <t>样品55</t>
        </is>
      </c>
    </row>
    <row r="531">
      <c r="A531" t="inlineStr">
        <is>
          <t>55(7)-V04</t>
        </is>
      </c>
      <c r="B531" t="inlineStr">
        <is>
          <t>55 (7).tif</t>
        </is>
      </c>
      <c r="C531" t="n">
        <v>108</v>
      </c>
      <c r="D531" t="n">
        <v>544</v>
      </c>
      <c r="E531" t="inlineStr">
        <is>
          <t>38,467,179,622</t>
        </is>
      </c>
      <c r="F531" t="n">
        <v>38</v>
      </c>
      <c r="G531" t="inlineStr">
        <is>
          <t>primary</t>
        </is>
      </c>
      <c r="H531" t="inlineStr">
        <is>
          <t>AUTO_VESSEL</t>
        </is>
      </c>
      <c r="I531" t="inlineStr">
        <is>
          <t>是</t>
        </is>
      </c>
      <c r="J531" t="inlineStr">
        <is>
          <t>纳入</t>
        </is>
      </c>
      <c r="K531" t="n">
        <v>796.0775047258979</v>
      </c>
      <c r="L531">
        <f>导管母表_860!G531</f>
        <v/>
      </c>
      <c r="M531" t="inlineStr">
        <is>
          <t>视野内部</t>
        </is>
      </c>
      <c r="N531" t="inlineStr">
        <is>
          <t>纳入A/D/Dh；若有Pair_ID则纳入CWR</t>
        </is>
      </c>
      <c r="O531" t="inlineStr">
        <is>
          <t>自动管线检出的合格导管腔。</t>
        </is>
      </c>
      <c r="P531" t="inlineStr">
        <is>
          <t>auto_pipeline;review_png_green</t>
        </is>
      </c>
      <c r="R531" t="inlineStr">
        <is>
          <t>样品55</t>
        </is>
      </c>
    </row>
    <row r="532">
      <c r="A532" t="inlineStr">
        <is>
          <t>55(7)-V05</t>
        </is>
      </c>
      <c r="B532" t="inlineStr">
        <is>
          <t>55 (7).tif</t>
        </is>
      </c>
      <c r="C532" t="n">
        <v>452</v>
      </c>
      <c r="D532" t="n">
        <v>557</v>
      </c>
      <c r="E532" t="inlineStr">
        <is>
          <t>396,531,509,584</t>
        </is>
      </c>
      <c r="F532" t="n">
        <v>184</v>
      </c>
      <c r="G532" t="inlineStr">
        <is>
          <t>primary</t>
        </is>
      </c>
      <c r="H532" t="inlineStr">
        <is>
          <t>AUTO_VESSEL</t>
        </is>
      </c>
      <c r="I532" t="inlineStr">
        <is>
          <t>是</t>
        </is>
      </c>
      <c r="J532" t="inlineStr">
        <is>
          <t>纳入</t>
        </is>
      </c>
      <c r="K532" t="n">
        <v>194.8724007561437</v>
      </c>
      <c r="L532">
        <f>导管母表_860!G532</f>
        <v/>
      </c>
      <c r="M532" t="inlineStr">
        <is>
          <t>视野内部</t>
        </is>
      </c>
      <c r="N532" t="inlineStr">
        <is>
          <t>纳入A/D/Dh；若有Pair_ID则纳入CWR</t>
        </is>
      </c>
      <c r="O532" t="inlineStr">
        <is>
          <t>自动管线检出的合格导管腔。</t>
        </is>
      </c>
      <c r="P532" t="inlineStr">
        <is>
          <t>auto_pipeline;review_png_green</t>
        </is>
      </c>
      <c r="R532" t="inlineStr">
        <is>
          <t>样品55</t>
        </is>
      </c>
    </row>
    <row r="533">
      <c r="A533" t="inlineStr">
        <is>
          <t>55(8)-V01</t>
        </is>
      </c>
      <c r="B533" t="inlineStr">
        <is>
          <t>55 (8).tif</t>
        </is>
      </c>
      <c r="C533" t="n">
        <v>618</v>
      </c>
      <c r="D533" t="n">
        <v>405</v>
      </c>
      <c r="E533" t="inlineStr">
        <is>
          <t>524,314,713,497</t>
        </is>
      </c>
      <c r="F533" t="n">
        <v>271</v>
      </c>
      <c r="G533" t="inlineStr">
        <is>
          <t>primary</t>
        </is>
      </c>
      <c r="H533" t="inlineStr">
        <is>
          <t>AUTO_VESSEL</t>
        </is>
      </c>
      <c r="I533" t="inlineStr">
        <is>
          <t>是</t>
        </is>
      </c>
      <c r="J533" t="inlineStr">
        <is>
          <t>纳入</t>
        </is>
      </c>
      <c r="K533" t="n">
        <v>1263.445179584121</v>
      </c>
      <c r="L533">
        <f>导管母表_860!G533</f>
        <v/>
      </c>
      <c r="M533" t="inlineStr">
        <is>
          <t>视野内部</t>
        </is>
      </c>
      <c r="N533" t="inlineStr">
        <is>
          <t>纳入A/D/Dh；若有Pair_ID则纳入CWR</t>
        </is>
      </c>
      <c r="O533" t="inlineStr">
        <is>
          <t>自动管线检出的合格导管腔。</t>
        </is>
      </c>
      <c r="P533" t="inlineStr">
        <is>
          <t>auto_pipeline;review_png_green</t>
        </is>
      </c>
      <c r="Q533" t="inlineStr">
        <is>
          <t>55(8)-P01</t>
        </is>
      </c>
      <c r="R533" t="inlineStr">
        <is>
          <t>样品55</t>
        </is>
      </c>
    </row>
    <row r="534">
      <c r="A534" t="inlineStr">
        <is>
          <t>55(8)-V02</t>
        </is>
      </c>
      <c r="B534" t="inlineStr">
        <is>
          <t>55 (8).tif</t>
        </is>
      </c>
      <c r="C534" t="n">
        <v>432</v>
      </c>
      <c r="D534" t="n">
        <v>299</v>
      </c>
      <c r="E534" t="inlineStr">
        <is>
          <t>344,217,521,382</t>
        </is>
      </c>
      <c r="F534" t="n">
        <v>217</v>
      </c>
      <c r="G534" t="inlineStr">
        <is>
          <t>primary</t>
        </is>
      </c>
      <c r="H534" t="inlineStr">
        <is>
          <t>AUTO_VESSEL</t>
        </is>
      </c>
      <c r="I534" t="inlineStr">
        <is>
          <t>是</t>
        </is>
      </c>
      <c r="J534" t="inlineStr">
        <is>
          <t>纳入</t>
        </is>
      </c>
      <c r="K534" t="n">
        <v>1069.045368620038</v>
      </c>
      <c r="L534">
        <f>导管母表_860!G534</f>
        <v/>
      </c>
      <c r="M534" t="inlineStr">
        <is>
          <t>视野内部</t>
        </is>
      </c>
      <c r="N534" t="inlineStr">
        <is>
          <t>纳入A/D/Dh；若有Pair_ID则纳入CWR</t>
        </is>
      </c>
      <c r="O534" t="inlineStr">
        <is>
          <t>自动管线检出的合格导管腔。</t>
        </is>
      </c>
      <c r="P534" t="inlineStr">
        <is>
          <t>auto_pipeline;review_png_green</t>
        </is>
      </c>
      <c r="Q534" t="inlineStr">
        <is>
          <t>55(8)-P01</t>
        </is>
      </c>
      <c r="R534" t="inlineStr">
        <is>
          <t>样品55</t>
        </is>
      </c>
    </row>
    <row r="535">
      <c r="A535" t="inlineStr">
        <is>
          <t>55(8)-V03</t>
        </is>
      </c>
      <c r="B535" t="inlineStr">
        <is>
          <t>55 (8).tif</t>
        </is>
      </c>
      <c r="C535" t="n">
        <v>758</v>
      </c>
      <c r="D535" t="n">
        <v>393</v>
      </c>
      <c r="E535" t="inlineStr">
        <is>
          <t>717,346,800,441</t>
        </is>
      </c>
      <c r="F535" t="n">
        <v>224</v>
      </c>
      <c r="G535" t="inlineStr">
        <is>
          <t>primary</t>
        </is>
      </c>
      <c r="H535" t="inlineStr">
        <is>
          <t>AUTO_VESSEL</t>
        </is>
      </c>
      <c r="I535" t="inlineStr">
        <is>
          <t>是</t>
        </is>
      </c>
      <c r="J535" t="inlineStr">
        <is>
          <t>纳入</t>
        </is>
      </c>
      <c r="K535" t="n">
        <v>212.1928166351607</v>
      </c>
      <c r="L535">
        <f>导管母表_860!G535</f>
        <v/>
      </c>
      <c r="M535" t="inlineStr">
        <is>
          <t>视野内部</t>
        </is>
      </c>
      <c r="N535" t="inlineStr">
        <is>
          <t>纳入A/D/Dh；若有Pair_ID则纳入CWR</t>
        </is>
      </c>
      <c r="O535" t="inlineStr">
        <is>
          <t>自动管线检出的合格导管腔。</t>
        </is>
      </c>
      <c r="P535" t="inlineStr">
        <is>
          <t>auto_pipeline;review_png_green</t>
        </is>
      </c>
      <c r="R535" t="inlineStr">
        <is>
          <t>样品55</t>
        </is>
      </c>
    </row>
    <row r="536">
      <c r="A536" t="inlineStr">
        <is>
          <t>55(8)-V04</t>
        </is>
      </c>
      <c r="B536" t="inlineStr">
        <is>
          <t>55 (8).tif</t>
        </is>
      </c>
      <c r="C536" t="n">
        <v>491</v>
      </c>
      <c r="D536" t="n">
        <v>195</v>
      </c>
      <c r="E536" t="inlineStr">
        <is>
          <t>428,164,555,227</t>
        </is>
      </c>
      <c r="F536" t="n">
        <v>164</v>
      </c>
      <c r="G536" t="inlineStr">
        <is>
          <t>primary</t>
        </is>
      </c>
      <c r="H536" t="inlineStr">
        <is>
          <t>AUTO_VESSEL</t>
        </is>
      </c>
      <c r="I536" t="inlineStr">
        <is>
          <t>是</t>
        </is>
      </c>
      <c r="J536" t="inlineStr">
        <is>
          <t>纳入</t>
        </is>
      </c>
      <c r="K536" t="n">
        <v>192.0604914933838</v>
      </c>
      <c r="L536">
        <f>导管母表_860!G536</f>
        <v/>
      </c>
      <c r="M536" t="inlineStr">
        <is>
          <t>视野内部</t>
        </is>
      </c>
      <c r="N536" t="inlineStr">
        <is>
          <t>纳入A/D/Dh；若有Pair_ID则纳入CWR</t>
        </is>
      </c>
      <c r="O536" t="inlineStr">
        <is>
          <t>自动管线检出的合格导管腔。</t>
        </is>
      </c>
      <c r="P536" t="inlineStr">
        <is>
          <t>auto_pipeline;review_png_green</t>
        </is>
      </c>
      <c r="R536" t="inlineStr">
        <is>
          <t>样品55</t>
        </is>
      </c>
    </row>
    <row r="537">
      <c r="A537" t="inlineStr">
        <is>
          <t>55(8)-V05</t>
        </is>
      </c>
      <c r="B537" t="inlineStr">
        <is>
          <t>55 (8).tif</t>
        </is>
      </c>
      <c r="C537" t="n">
        <v>901</v>
      </c>
      <c r="D537" t="n">
        <v>580</v>
      </c>
      <c r="E537" t="inlineStr">
        <is>
          <t>866,545,937,616</t>
        </is>
      </c>
      <c r="F537" t="n">
        <v>87</v>
      </c>
      <c r="G537" t="inlineStr">
        <is>
          <t>primary</t>
        </is>
      </c>
      <c r="H537" t="inlineStr">
        <is>
          <t>AUTO_VESSEL</t>
        </is>
      </c>
      <c r="I537" t="inlineStr">
        <is>
          <t>是</t>
        </is>
      </c>
      <c r="J537" t="inlineStr">
        <is>
          <t>纳入</t>
        </is>
      </c>
      <c r="K537" t="n">
        <v>181.6398865784499</v>
      </c>
      <c r="L537">
        <f>导管母表_860!G537</f>
        <v/>
      </c>
      <c r="M537" t="inlineStr">
        <is>
          <t>视野内部</t>
        </is>
      </c>
      <c r="N537" t="inlineStr">
        <is>
          <t>纳入A/D/Dh；若有Pair_ID则纳入CWR</t>
        </is>
      </c>
      <c r="O537" t="inlineStr">
        <is>
          <t>自动管线检出的合格导管腔。</t>
        </is>
      </c>
      <c r="P537" t="inlineStr">
        <is>
          <t>auto_pipeline;review_png_green</t>
        </is>
      </c>
      <c r="R537" t="inlineStr">
        <is>
          <t>样品55</t>
        </is>
      </c>
    </row>
    <row r="538">
      <c r="A538" t="inlineStr">
        <is>
          <t>55(8)-V06</t>
        </is>
      </c>
      <c r="B538" t="inlineStr">
        <is>
          <t>55 (8).tif</t>
        </is>
      </c>
      <c r="C538" t="n">
        <v>868</v>
      </c>
      <c r="D538" t="n">
        <v>482</v>
      </c>
      <c r="E538" t="inlineStr">
        <is>
          <t>833,457,904,508</t>
        </is>
      </c>
      <c r="F538" t="n">
        <v>120</v>
      </c>
      <c r="G538" t="inlineStr">
        <is>
          <t>primary</t>
        </is>
      </c>
      <c r="H538" t="inlineStr">
        <is>
          <t>AUTO_VESSEL</t>
        </is>
      </c>
      <c r="I538" t="inlineStr">
        <is>
          <t>是</t>
        </is>
      </c>
      <c r="J538" t="inlineStr">
        <is>
          <t>纳入</t>
        </is>
      </c>
      <c r="K538" t="n">
        <v>125.992438563327</v>
      </c>
      <c r="L538">
        <f>导管母表_860!G538</f>
        <v/>
      </c>
      <c r="M538" t="inlineStr">
        <is>
          <t>视野内部</t>
        </is>
      </c>
      <c r="N538" t="inlineStr">
        <is>
          <t>纳入A/D/Dh；若有Pair_ID则纳入CWR</t>
        </is>
      </c>
      <c r="O538" t="inlineStr">
        <is>
          <t>自动管线检出的合格导管腔。</t>
        </is>
      </c>
      <c r="P538" t="inlineStr">
        <is>
          <t>auto_pipeline;review_png_green</t>
        </is>
      </c>
      <c r="R538" t="inlineStr">
        <is>
          <t>样品55</t>
        </is>
      </c>
    </row>
    <row r="539">
      <c r="A539" t="inlineStr">
        <is>
          <t>55(8)-V07</t>
        </is>
      </c>
      <c r="B539" t="inlineStr">
        <is>
          <t>55 (8).tif</t>
        </is>
      </c>
      <c r="C539" t="n">
        <v>386</v>
      </c>
      <c r="D539" t="n">
        <v>141</v>
      </c>
      <c r="E539" t="inlineStr">
        <is>
          <t>343,120,430,163</t>
        </is>
      </c>
      <c r="F539" t="n">
        <v>120</v>
      </c>
      <c r="G539" t="inlineStr">
        <is>
          <t>primary</t>
        </is>
      </c>
      <c r="H539" t="inlineStr">
        <is>
          <t>AUTO_VESSEL</t>
        </is>
      </c>
      <c r="I539" t="inlineStr">
        <is>
          <t>是</t>
        </is>
      </c>
      <c r="J539" t="inlineStr">
        <is>
          <t>纳入</t>
        </is>
      </c>
      <c r="K539" t="n">
        <v>124.3856332703214</v>
      </c>
      <c r="L539">
        <f>导管母表_860!G539</f>
        <v/>
      </c>
      <c r="M539" t="inlineStr">
        <is>
          <t>视野内部</t>
        </is>
      </c>
      <c r="N539" t="inlineStr">
        <is>
          <t>纳入A/D/Dh；若有Pair_ID则纳入CWR</t>
        </is>
      </c>
      <c r="O539" t="inlineStr">
        <is>
          <t>自动管线检出的合格导管腔。</t>
        </is>
      </c>
      <c r="P539" t="inlineStr">
        <is>
          <t>auto_pipeline;review_png_green</t>
        </is>
      </c>
      <c r="R539" t="inlineStr">
        <is>
          <t>样品55</t>
        </is>
      </c>
    </row>
    <row r="540">
      <c r="A540" t="inlineStr">
        <is>
          <t>55(8)-V08</t>
        </is>
      </c>
      <c r="B540" t="inlineStr">
        <is>
          <t>55 (8).tif</t>
        </is>
      </c>
      <c r="C540" t="n">
        <v>601</v>
      </c>
      <c r="D540" t="n">
        <v>255</v>
      </c>
      <c r="E540" t="inlineStr">
        <is>
          <t>559,231,644,280</t>
        </is>
      </c>
      <c r="F540" t="n">
        <v>231</v>
      </c>
      <c r="G540" t="inlineStr">
        <is>
          <t>primary</t>
        </is>
      </c>
      <c r="H540" t="inlineStr">
        <is>
          <t>AUTO_VESSEL</t>
        </is>
      </c>
      <c r="I540" t="inlineStr">
        <is>
          <t>是</t>
        </is>
      </c>
      <c r="J540" t="inlineStr">
        <is>
          <t>纳入</t>
        </is>
      </c>
      <c r="K540" t="n">
        <v>123.9839319470699</v>
      </c>
      <c r="L540">
        <f>导管母表_860!G540</f>
        <v/>
      </c>
      <c r="M540" t="inlineStr">
        <is>
          <t>视野内部</t>
        </is>
      </c>
      <c r="N540" t="inlineStr">
        <is>
          <t>纳入A/D/Dh；若有Pair_ID则纳入CWR</t>
        </is>
      </c>
      <c r="O540" t="inlineStr">
        <is>
          <t>自动管线检出的合格导管腔。</t>
        </is>
      </c>
      <c r="P540" t="inlineStr">
        <is>
          <t>auto_pipeline;review_png_green</t>
        </is>
      </c>
      <c r="R540" t="inlineStr">
        <is>
          <t>样品55</t>
        </is>
      </c>
    </row>
    <row r="541">
      <c r="A541" t="inlineStr">
        <is>
          <t>56(1)-V01</t>
        </is>
      </c>
      <c r="B541" t="inlineStr">
        <is>
          <t>56 (1).tif</t>
        </is>
      </c>
      <c r="C541" t="n">
        <v>833</v>
      </c>
      <c r="D541" t="n">
        <v>154</v>
      </c>
      <c r="E541" t="inlineStr">
        <is>
          <t>731,57,936,252</t>
        </is>
      </c>
      <c r="F541" t="n">
        <v>57</v>
      </c>
      <c r="G541" t="inlineStr">
        <is>
          <t>primary</t>
        </is>
      </c>
      <c r="H541" t="inlineStr">
        <is>
          <t>AUTO_VESSEL</t>
        </is>
      </c>
      <c r="I541" t="inlineStr">
        <is>
          <t>是</t>
        </is>
      </c>
      <c r="J541" t="inlineStr">
        <is>
          <t>纳入</t>
        </is>
      </c>
      <c r="K541" t="n">
        <v>1460.396975425331</v>
      </c>
      <c r="L541">
        <f>导管母表_860!G541</f>
        <v/>
      </c>
      <c r="M541" t="inlineStr">
        <is>
          <t>视野内部</t>
        </is>
      </c>
      <c r="N541" t="inlineStr">
        <is>
          <t>纳入A/D/Dh；若有Pair_ID则纳入CWR</t>
        </is>
      </c>
      <c r="O541" t="inlineStr">
        <is>
          <t>自动管线检出的合格导管腔。</t>
        </is>
      </c>
      <c r="P541" t="inlineStr">
        <is>
          <t>auto_pipeline;review_png_green</t>
        </is>
      </c>
      <c r="R541" t="inlineStr">
        <is>
          <t>样品56</t>
        </is>
      </c>
    </row>
    <row r="542">
      <c r="A542" t="inlineStr">
        <is>
          <t>56(1)-V02</t>
        </is>
      </c>
      <c r="B542" t="inlineStr">
        <is>
          <t>56 (1).tif</t>
        </is>
      </c>
      <c r="C542" t="n">
        <v>863</v>
      </c>
      <c r="D542" t="n">
        <v>574</v>
      </c>
      <c r="E542" t="inlineStr">
        <is>
          <t>756,490,971,659</t>
        </is>
      </c>
      <c r="F542" t="n">
        <v>53</v>
      </c>
      <c r="G542" t="inlineStr">
        <is>
          <t>primary</t>
        </is>
      </c>
      <c r="H542" t="inlineStr">
        <is>
          <t>AUTO_VESSEL</t>
        </is>
      </c>
      <c r="I542" t="inlineStr">
        <is>
          <t>是</t>
        </is>
      </c>
      <c r="J542" t="inlineStr">
        <is>
          <t>纳入</t>
        </is>
      </c>
      <c r="K542" t="n">
        <v>1332.868620037807</v>
      </c>
      <c r="L542">
        <f>导管母表_860!G542</f>
        <v/>
      </c>
      <c r="M542" t="inlineStr">
        <is>
          <t>视野内部</t>
        </is>
      </c>
      <c r="N542" t="inlineStr">
        <is>
          <t>纳入A/D/Dh；若有Pair_ID则纳入CWR</t>
        </is>
      </c>
      <c r="O542" t="inlineStr">
        <is>
          <t>自动管线检出的合格导管腔。</t>
        </is>
      </c>
      <c r="P542" t="inlineStr">
        <is>
          <t>auto_pipeline;review_png_green</t>
        </is>
      </c>
      <c r="R542" t="inlineStr">
        <is>
          <t>样品56</t>
        </is>
      </c>
    </row>
    <row r="543">
      <c r="A543" t="inlineStr">
        <is>
          <t>56(1)-V03</t>
        </is>
      </c>
      <c r="B543" t="inlineStr">
        <is>
          <t>56 (1).tif</t>
        </is>
      </c>
      <c r="C543" t="n">
        <v>398</v>
      </c>
      <c r="D543" t="n">
        <v>352</v>
      </c>
      <c r="E543" t="inlineStr">
        <is>
          <t>313,263,484,442</t>
        </is>
      </c>
      <c r="F543" t="n">
        <v>263</v>
      </c>
      <c r="G543" t="inlineStr">
        <is>
          <t>primary</t>
        </is>
      </c>
      <c r="H543" t="inlineStr">
        <is>
          <t>AUTO_VESSEL</t>
        </is>
      </c>
      <c r="I543" t="inlineStr">
        <is>
          <t>是</t>
        </is>
      </c>
      <c r="J543" t="inlineStr">
        <is>
          <t>纳入</t>
        </is>
      </c>
      <c r="K543" t="n">
        <v>1114.933837429111</v>
      </c>
      <c r="L543">
        <f>导管母表_860!G543</f>
        <v/>
      </c>
      <c r="M543" t="inlineStr">
        <is>
          <t>视野内部</t>
        </is>
      </c>
      <c r="N543" t="inlineStr">
        <is>
          <t>纳入A/D/Dh；若有Pair_ID则纳入CWR</t>
        </is>
      </c>
      <c r="O543" t="inlineStr">
        <is>
          <t>自动管线检出的合格导管腔。</t>
        </is>
      </c>
      <c r="P543" t="inlineStr">
        <is>
          <t>auto_pipeline;review_png_green</t>
        </is>
      </c>
      <c r="R543" t="inlineStr">
        <is>
          <t>样品56</t>
        </is>
      </c>
    </row>
    <row r="544">
      <c r="A544" t="inlineStr">
        <is>
          <t>56(1)-V04</t>
        </is>
      </c>
      <c r="B544" t="inlineStr">
        <is>
          <t>56 (1).tif</t>
        </is>
      </c>
      <c r="C544" t="n">
        <v>515</v>
      </c>
      <c r="D544" t="n">
        <v>315</v>
      </c>
      <c r="E544" t="inlineStr">
        <is>
          <t>442,219,589,412</t>
        </is>
      </c>
      <c r="F544" t="n">
        <v>219</v>
      </c>
      <c r="G544" t="inlineStr">
        <is>
          <t>primary</t>
        </is>
      </c>
      <c r="H544" t="inlineStr">
        <is>
          <t>AUTO_VESSEL</t>
        </is>
      </c>
      <c r="I544" t="inlineStr">
        <is>
          <t>是</t>
        </is>
      </c>
      <c r="J544" t="inlineStr">
        <is>
          <t>纳入</t>
        </is>
      </c>
      <c r="K544" t="n">
        <v>989.0595463137996</v>
      </c>
      <c r="L544">
        <f>导管母表_860!G544</f>
        <v/>
      </c>
      <c r="M544" t="inlineStr">
        <is>
          <t>视野内部</t>
        </is>
      </c>
      <c r="N544" t="inlineStr">
        <is>
          <t>纳入A/D/Dh；若有Pair_ID则纳入CWR</t>
        </is>
      </c>
      <c r="O544" t="inlineStr">
        <is>
          <t>自动管线检出的合格导管腔。</t>
        </is>
      </c>
      <c r="P544" t="inlineStr">
        <is>
          <t>auto_pipeline;review_png_green</t>
        </is>
      </c>
      <c r="Q544" t="inlineStr">
        <is>
          <t>56(1)-P01</t>
        </is>
      </c>
      <c r="R544" t="inlineStr">
        <is>
          <t>样品56</t>
        </is>
      </c>
    </row>
    <row r="545">
      <c r="A545" t="inlineStr">
        <is>
          <t>56(1)-V05</t>
        </is>
      </c>
      <c r="B545" t="inlineStr">
        <is>
          <t>56 (1).tif</t>
        </is>
      </c>
      <c r="C545" t="n">
        <v>684</v>
      </c>
      <c r="D545" t="n">
        <v>346</v>
      </c>
      <c r="E545" t="inlineStr">
        <is>
          <t>615,265,754,428</t>
        </is>
      </c>
      <c r="F545" t="n">
        <v>265</v>
      </c>
      <c r="G545" t="inlineStr">
        <is>
          <t>primary</t>
        </is>
      </c>
      <c r="H545" t="inlineStr">
        <is>
          <t>AUTO_VESSEL</t>
        </is>
      </c>
      <c r="I545" t="inlineStr">
        <is>
          <t>是</t>
        </is>
      </c>
      <c r="J545" t="inlineStr">
        <is>
          <t>纳入</t>
        </is>
      </c>
      <c r="K545" t="n">
        <v>827.4338374291116</v>
      </c>
      <c r="L545">
        <f>导管母表_860!G545</f>
        <v/>
      </c>
      <c r="M545" t="inlineStr">
        <is>
          <t>视野内部</t>
        </is>
      </c>
      <c r="N545" t="inlineStr">
        <is>
          <t>纳入A/D/Dh；若有Pair_ID则纳入CWR</t>
        </is>
      </c>
      <c r="O545" t="inlineStr">
        <is>
          <t>自动管线检出的合格导管腔。</t>
        </is>
      </c>
      <c r="P545" t="inlineStr">
        <is>
          <t>auto_pipeline;review_png_green</t>
        </is>
      </c>
      <c r="R545" t="inlineStr">
        <is>
          <t>样品56</t>
        </is>
      </c>
    </row>
    <row r="546">
      <c r="A546" t="inlineStr">
        <is>
          <t>56(1)-V06</t>
        </is>
      </c>
      <c r="B546" t="inlineStr">
        <is>
          <t>56 (1).tif</t>
        </is>
      </c>
      <c r="C546" t="n">
        <v>559</v>
      </c>
      <c r="D546" t="n">
        <v>414</v>
      </c>
      <c r="E546" t="inlineStr">
        <is>
          <t>520,376,599,453</t>
        </is>
      </c>
      <c r="F546" t="n">
        <v>315</v>
      </c>
      <c r="G546" t="inlineStr">
        <is>
          <t>primary</t>
        </is>
      </c>
      <c r="H546" t="inlineStr">
        <is>
          <t>AUTO_VESSEL</t>
        </is>
      </c>
      <c r="I546" t="inlineStr">
        <is>
          <t>是</t>
        </is>
      </c>
      <c r="J546" t="inlineStr">
        <is>
          <t>纳入</t>
        </is>
      </c>
      <c r="K546" t="n">
        <v>209.2627599243856</v>
      </c>
      <c r="L546">
        <f>导管母表_860!G546</f>
        <v/>
      </c>
      <c r="M546" t="inlineStr">
        <is>
          <t>视野内部</t>
        </is>
      </c>
      <c r="N546" t="inlineStr">
        <is>
          <t>纳入A/D/Dh；若有Pair_ID则纳入CWR</t>
        </is>
      </c>
      <c r="O546" t="inlineStr">
        <is>
          <t>自动管线检出的合格导管腔。</t>
        </is>
      </c>
      <c r="P546" t="inlineStr">
        <is>
          <t>auto_pipeline;review_png_green</t>
        </is>
      </c>
      <c r="Q546" t="inlineStr">
        <is>
          <t>56(1)-P01</t>
        </is>
      </c>
      <c r="R546" t="inlineStr">
        <is>
          <t>样品56</t>
        </is>
      </c>
    </row>
    <row r="547">
      <c r="A547" t="inlineStr">
        <is>
          <t>56(1)-V07</t>
        </is>
      </c>
      <c r="B547" t="inlineStr">
        <is>
          <t>56 (1).tif</t>
        </is>
      </c>
      <c r="C547" t="n">
        <v>378</v>
      </c>
      <c r="D547" t="n">
        <v>497</v>
      </c>
      <c r="E547" t="inlineStr">
        <is>
          <t>333,479,424,516</t>
        </is>
      </c>
      <c r="F547" t="n">
        <v>252</v>
      </c>
      <c r="G547" t="inlineStr">
        <is>
          <t>primary</t>
        </is>
      </c>
      <c r="H547" t="inlineStr">
        <is>
          <t>AUTO_VESSEL</t>
        </is>
      </c>
      <c r="I547" t="inlineStr">
        <is>
          <t>是</t>
        </is>
      </c>
      <c r="J547" t="inlineStr">
        <is>
          <t>纳入</t>
        </is>
      </c>
      <c r="K547" t="n">
        <v>113.9177693761815</v>
      </c>
      <c r="L547">
        <f>导管母表_860!G547</f>
        <v/>
      </c>
      <c r="M547" t="inlineStr">
        <is>
          <t>视野内部</t>
        </is>
      </c>
      <c r="N547" t="inlineStr">
        <is>
          <t>纳入A/D/Dh；若有Pair_ID则纳入CWR</t>
        </is>
      </c>
      <c r="O547" t="inlineStr">
        <is>
          <t>自动管线检出的合格导管腔。</t>
        </is>
      </c>
      <c r="P547" t="inlineStr">
        <is>
          <t>auto_pipeline;review_png_green</t>
        </is>
      </c>
      <c r="R547" t="inlineStr">
        <is>
          <t>样品56</t>
        </is>
      </c>
    </row>
    <row r="548">
      <c r="A548" t="inlineStr">
        <is>
          <t>56(1)-V08</t>
        </is>
      </c>
      <c r="B548" t="inlineStr">
        <is>
          <t>56 (1).tif</t>
        </is>
      </c>
      <c r="C548" t="n">
        <v>49</v>
      </c>
      <c r="D548" t="n">
        <v>467</v>
      </c>
      <c r="E548" t="inlineStr">
        <is>
          <t>9,448,90,487</t>
        </is>
      </c>
      <c r="F548" t="n">
        <v>9</v>
      </c>
      <c r="G548" t="inlineStr">
        <is>
          <t>primary</t>
        </is>
      </c>
      <c r="H548" t="inlineStr">
        <is>
          <t>AUTO_VESSEL</t>
        </is>
      </c>
      <c r="I548" t="inlineStr">
        <is>
          <t>是</t>
        </is>
      </c>
      <c r="J548" t="inlineStr">
        <is>
          <t>纳入</t>
        </is>
      </c>
      <c r="K548" t="n">
        <v>112.6654064272212</v>
      </c>
      <c r="L548">
        <f>导管母表_860!G548</f>
        <v/>
      </c>
      <c r="M548" t="inlineStr">
        <is>
          <t>近边缘（&lt;25 px）</t>
        </is>
      </c>
      <c r="N548" t="inlineStr">
        <is>
          <t>纳入A/D/Dh；若有Pair_ID则纳入CWR</t>
        </is>
      </c>
      <c r="O548" t="inlineStr">
        <is>
          <t>自动管线检出的合格导管腔。</t>
        </is>
      </c>
      <c r="P548" t="inlineStr">
        <is>
          <t>auto_pipeline;review_png_green</t>
        </is>
      </c>
      <c r="R548" t="inlineStr">
        <is>
          <t>样品56</t>
        </is>
      </c>
    </row>
    <row r="549">
      <c r="A549" t="inlineStr">
        <is>
          <t>56(2)-V01</t>
        </is>
      </c>
      <c r="B549" t="inlineStr">
        <is>
          <t>56 (2).tif</t>
        </is>
      </c>
      <c r="C549" t="n">
        <v>471</v>
      </c>
      <c r="D549" t="n">
        <v>297</v>
      </c>
      <c r="E549" t="inlineStr">
        <is>
          <t>400,222,543,373</t>
        </is>
      </c>
      <c r="F549" t="n">
        <v>222</v>
      </c>
      <c r="G549" t="inlineStr">
        <is>
          <t>primary</t>
        </is>
      </c>
      <c r="H549" t="inlineStr">
        <is>
          <t>AUTO_VESSEL</t>
        </is>
      </c>
      <c r="I549" t="inlineStr">
        <is>
          <t>是</t>
        </is>
      </c>
      <c r="J549" t="inlineStr">
        <is>
          <t>纳入</t>
        </is>
      </c>
      <c r="K549" t="n">
        <v>790.359168241966</v>
      </c>
      <c r="L549">
        <f>导管母表_860!G549</f>
        <v/>
      </c>
      <c r="M549" t="inlineStr">
        <is>
          <t>视野内部</t>
        </is>
      </c>
      <c r="N549" t="inlineStr">
        <is>
          <t>纳入A/D/Dh；若有Pair_ID则纳入CWR</t>
        </is>
      </c>
      <c r="O549" t="inlineStr">
        <is>
          <t>自动管线检出的合格导管腔。</t>
        </is>
      </c>
      <c r="P549" t="inlineStr">
        <is>
          <t>auto_pipeline;review_png_green</t>
        </is>
      </c>
      <c r="R549" t="inlineStr">
        <is>
          <t>样品56</t>
        </is>
      </c>
    </row>
    <row r="550">
      <c r="A550" t="inlineStr">
        <is>
          <t>56(2)-V02</t>
        </is>
      </c>
      <c r="B550" t="inlineStr">
        <is>
          <t>56 (2).tif</t>
        </is>
      </c>
      <c r="C550" t="n">
        <v>750</v>
      </c>
      <c r="D550" t="n">
        <v>207</v>
      </c>
      <c r="E550" t="inlineStr">
        <is>
          <t>691,128,810,287</t>
        </is>
      </c>
      <c r="F550" t="n">
        <v>128</v>
      </c>
      <c r="G550" t="inlineStr">
        <is>
          <t>primary</t>
        </is>
      </c>
      <c r="H550" t="inlineStr">
        <is>
          <t>AUTO_VESSEL</t>
        </is>
      </c>
      <c r="I550" t="inlineStr">
        <is>
          <t>是</t>
        </is>
      </c>
      <c r="J550" t="inlineStr">
        <is>
          <t>纳入</t>
        </is>
      </c>
      <c r="K550" t="n">
        <v>691.9659735349717</v>
      </c>
      <c r="L550">
        <f>导管母表_860!G550</f>
        <v/>
      </c>
      <c r="M550" t="inlineStr">
        <is>
          <t>视野内部</t>
        </is>
      </c>
      <c r="N550" t="inlineStr">
        <is>
          <t>纳入A/D/Dh；若有Pair_ID则纳入CWR</t>
        </is>
      </c>
      <c r="O550" t="inlineStr">
        <is>
          <t>自动管线检出的合格导管腔。</t>
        </is>
      </c>
      <c r="P550" t="inlineStr">
        <is>
          <t>auto_pipeline;review_png_green</t>
        </is>
      </c>
      <c r="Q550" t="inlineStr">
        <is>
          <t>56(2)-P01</t>
        </is>
      </c>
      <c r="R550" t="inlineStr">
        <is>
          <t>样品56</t>
        </is>
      </c>
    </row>
    <row r="551">
      <c r="A551" t="inlineStr">
        <is>
          <t>56(2)-V03</t>
        </is>
      </c>
      <c r="B551" t="inlineStr">
        <is>
          <t>56 (2).tif</t>
        </is>
      </c>
      <c r="C551" t="n">
        <v>423</v>
      </c>
      <c r="D551" t="n">
        <v>99</v>
      </c>
      <c r="E551" t="inlineStr">
        <is>
          <t>365,43,482,156</t>
        </is>
      </c>
      <c r="F551" t="n">
        <v>43</v>
      </c>
      <c r="G551" t="inlineStr">
        <is>
          <t>primary</t>
        </is>
      </c>
      <c r="H551" t="inlineStr">
        <is>
          <t>AUTO_VESSEL</t>
        </is>
      </c>
      <c r="I551" t="inlineStr">
        <is>
          <t>是</t>
        </is>
      </c>
      <c r="J551" t="inlineStr">
        <is>
          <t>纳入</t>
        </is>
      </c>
      <c r="K551" t="n">
        <v>480.4584120982987</v>
      </c>
      <c r="L551">
        <f>导管母表_860!G551</f>
        <v/>
      </c>
      <c r="M551" t="inlineStr">
        <is>
          <t>视野内部</t>
        </is>
      </c>
      <c r="N551" t="inlineStr">
        <is>
          <t>纳入A/D/Dh；若有Pair_ID则纳入CWR</t>
        </is>
      </c>
      <c r="O551" t="inlineStr">
        <is>
          <t>自动管线检出的合格导管腔。</t>
        </is>
      </c>
      <c r="P551" t="inlineStr">
        <is>
          <t>auto_pipeline;review_png_green</t>
        </is>
      </c>
      <c r="R551" t="inlineStr">
        <is>
          <t>样品56</t>
        </is>
      </c>
    </row>
    <row r="552">
      <c r="A552" t="inlineStr">
        <is>
          <t>56(2)-V04</t>
        </is>
      </c>
      <c r="B552" t="inlineStr">
        <is>
          <t>56 (2).tif</t>
        </is>
      </c>
      <c r="C552" t="n">
        <v>683</v>
      </c>
      <c r="D552" t="n">
        <v>631</v>
      </c>
      <c r="E552" t="inlineStr">
        <is>
          <t>638,585,729,678</t>
        </is>
      </c>
      <c r="F552" t="n">
        <v>90</v>
      </c>
      <c r="G552" t="inlineStr">
        <is>
          <t>primary</t>
        </is>
      </c>
      <c r="H552" t="inlineStr">
        <is>
          <t>AUTO_VESSEL</t>
        </is>
      </c>
      <c r="I552" t="inlineStr">
        <is>
          <t>是</t>
        </is>
      </c>
      <c r="J552" t="inlineStr">
        <is>
          <t>纳入</t>
        </is>
      </c>
      <c r="K552" t="n">
        <v>307.3251417769376</v>
      </c>
      <c r="L552">
        <f>导管母表_860!G552</f>
        <v/>
      </c>
      <c r="M552" t="inlineStr">
        <is>
          <t>视野内部</t>
        </is>
      </c>
      <c r="N552" t="inlineStr">
        <is>
          <t>纳入A/D/Dh；若有Pair_ID则纳入CWR</t>
        </is>
      </c>
      <c r="O552" t="inlineStr">
        <is>
          <t>自动管线检出的合格导管腔。</t>
        </is>
      </c>
      <c r="P552" t="inlineStr">
        <is>
          <t>auto_pipeline;review_png_green</t>
        </is>
      </c>
      <c r="R552" t="inlineStr">
        <is>
          <t>样品56</t>
        </is>
      </c>
    </row>
    <row r="553">
      <c r="A553" t="inlineStr">
        <is>
          <t>56(2)-V05</t>
        </is>
      </c>
      <c r="B553" t="inlineStr">
        <is>
          <t>56 (2).tif</t>
        </is>
      </c>
      <c r="C553" t="n">
        <v>807</v>
      </c>
      <c r="D553" t="n">
        <v>322</v>
      </c>
      <c r="E553" t="inlineStr">
        <is>
          <t>759,280,856,365</t>
        </is>
      </c>
      <c r="F553" t="n">
        <v>168</v>
      </c>
      <c r="G553" t="inlineStr">
        <is>
          <t>primary</t>
        </is>
      </c>
      <c r="H553" t="inlineStr">
        <is>
          <t>AUTO_VESSEL</t>
        </is>
      </c>
      <c r="I553" t="inlineStr">
        <is>
          <t>是</t>
        </is>
      </c>
      <c r="J553" t="inlineStr">
        <is>
          <t>纳入</t>
        </is>
      </c>
      <c r="K553" t="n">
        <v>297.7315689981097</v>
      </c>
      <c r="L553">
        <f>导管母表_860!G553</f>
        <v/>
      </c>
      <c r="M553" t="inlineStr">
        <is>
          <t>视野内部</t>
        </is>
      </c>
      <c r="N553" t="inlineStr">
        <is>
          <t>纳入A/D/Dh；若有Pair_ID则纳入CWR</t>
        </is>
      </c>
      <c r="O553" t="inlineStr">
        <is>
          <t>自动管线检出的合格导管腔。</t>
        </is>
      </c>
      <c r="P553" t="inlineStr">
        <is>
          <t>auto_pipeline;review_png_green</t>
        </is>
      </c>
      <c r="R553" t="inlineStr">
        <is>
          <t>样品56</t>
        </is>
      </c>
    </row>
    <row r="554">
      <c r="A554" t="inlineStr">
        <is>
          <t>56(2)-V06</t>
        </is>
      </c>
      <c r="B554" t="inlineStr">
        <is>
          <t>56 (2).tif</t>
        </is>
      </c>
      <c r="C554" t="n">
        <v>43</v>
      </c>
      <c r="D554" t="n">
        <v>493</v>
      </c>
      <c r="E554" t="inlineStr">
        <is>
          <t>16,455,71,532</t>
        </is>
      </c>
      <c r="F554" t="n">
        <v>16</v>
      </c>
      <c r="G554" t="inlineStr">
        <is>
          <t>primary</t>
        </is>
      </c>
      <c r="H554" t="inlineStr">
        <is>
          <t>AUTO_VESSEL</t>
        </is>
      </c>
      <c r="I554" t="inlineStr">
        <is>
          <t>是</t>
        </is>
      </c>
      <c r="J554" t="inlineStr">
        <is>
          <t>纳入</t>
        </is>
      </c>
      <c r="K554" t="n">
        <v>152.5047258979206</v>
      </c>
      <c r="L554">
        <f>导管母表_860!G554</f>
        <v/>
      </c>
      <c r="M554" t="inlineStr">
        <is>
          <t>近边缘（&lt;25 px）</t>
        </is>
      </c>
      <c r="N554" t="inlineStr">
        <is>
          <t>纳入A/D/Dh；若有Pair_ID则纳入CWR</t>
        </is>
      </c>
      <c r="O554" t="inlineStr">
        <is>
          <t>自动管线检出的合格导管腔。</t>
        </is>
      </c>
      <c r="P554" t="inlineStr">
        <is>
          <t>auto_pipeline;review_png_green</t>
        </is>
      </c>
      <c r="R554" t="inlineStr">
        <is>
          <t>样品56</t>
        </is>
      </c>
    </row>
    <row r="555">
      <c r="A555" t="inlineStr">
        <is>
          <t>56(2)-V07</t>
        </is>
      </c>
      <c r="B555" t="inlineStr">
        <is>
          <t>56 (2).tif</t>
        </is>
      </c>
      <c r="C555" t="n">
        <v>925</v>
      </c>
      <c r="D555" t="n">
        <v>416</v>
      </c>
      <c r="E555" t="inlineStr">
        <is>
          <t>900,379,951,454</t>
        </is>
      </c>
      <c r="F555" t="n">
        <v>73</v>
      </c>
      <c r="G555" t="inlineStr">
        <is>
          <t>primary</t>
        </is>
      </c>
      <c r="H555" t="inlineStr">
        <is>
          <t>AUTO_VESSEL</t>
        </is>
      </c>
      <c r="I555" t="inlineStr">
        <is>
          <t>是</t>
        </is>
      </c>
      <c r="J555" t="inlineStr">
        <is>
          <t>纳入</t>
        </is>
      </c>
      <c r="K555" t="n">
        <v>135.5151228733459</v>
      </c>
      <c r="L555">
        <f>导管母表_860!G555</f>
        <v/>
      </c>
      <c r="M555" t="inlineStr">
        <is>
          <t>视野内部</t>
        </is>
      </c>
      <c r="N555" t="inlineStr">
        <is>
          <t>纳入A/D/Dh；若有Pair_ID则纳入CWR</t>
        </is>
      </c>
      <c r="O555" t="inlineStr">
        <is>
          <t>自动管线检出的合格导管腔。</t>
        </is>
      </c>
      <c r="P555" t="inlineStr">
        <is>
          <t>auto_pipeline;review_png_green</t>
        </is>
      </c>
      <c r="R555" t="inlineStr">
        <is>
          <t>样品56</t>
        </is>
      </c>
    </row>
    <row r="556">
      <c r="A556" t="inlineStr">
        <is>
          <t>56(2)-V08</t>
        </is>
      </c>
      <c r="B556" t="inlineStr">
        <is>
          <t>56 (2).tif</t>
        </is>
      </c>
      <c r="C556" t="n">
        <v>845</v>
      </c>
      <c r="D556" t="n">
        <v>219</v>
      </c>
      <c r="E556" t="inlineStr">
        <is>
          <t>824,173,867,266</t>
        </is>
      </c>
      <c r="F556" t="n">
        <v>157</v>
      </c>
      <c r="G556" t="inlineStr">
        <is>
          <t>primary</t>
        </is>
      </c>
      <c r="H556" t="inlineStr">
        <is>
          <t>AUTO_VESSEL</t>
        </is>
      </c>
      <c r="I556" t="inlineStr">
        <is>
          <t>是</t>
        </is>
      </c>
      <c r="J556" t="inlineStr">
        <is>
          <t>纳入</t>
        </is>
      </c>
      <c r="K556" t="n">
        <v>132.9158790170132</v>
      </c>
      <c r="L556">
        <f>导管母表_860!G556</f>
        <v/>
      </c>
      <c r="M556" t="inlineStr">
        <is>
          <t>视野内部</t>
        </is>
      </c>
      <c r="N556" t="inlineStr">
        <is>
          <t>纳入A/D/Dh；若有Pair_ID则纳入CWR</t>
        </is>
      </c>
      <c r="O556" t="inlineStr">
        <is>
          <t>自动管线检出的合格导管腔。</t>
        </is>
      </c>
      <c r="P556" t="inlineStr">
        <is>
          <t>auto_pipeline;review_png_green</t>
        </is>
      </c>
      <c r="R556" t="inlineStr">
        <is>
          <t>样品56</t>
        </is>
      </c>
    </row>
    <row r="557">
      <c r="A557" t="inlineStr">
        <is>
          <t>56(2)-V09</t>
        </is>
      </c>
      <c r="B557" t="inlineStr">
        <is>
          <t>56 (2).tif</t>
        </is>
      </c>
      <c r="C557" t="n">
        <v>792</v>
      </c>
      <c r="D557" t="n">
        <v>247</v>
      </c>
      <c r="E557" t="inlineStr">
        <is>
          <t>777,221,808,274</t>
        </is>
      </c>
      <c r="F557" t="n">
        <v>216</v>
      </c>
      <c r="G557" t="inlineStr">
        <is>
          <t>primary</t>
        </is>
      </c>
      <c r="H557" t="inlineStr">
        <is>
          <t>AUTO_VESSEL</t>
        </is>
      </c>
      <c r="I557" t="inlineStr">
        <is>
          <t>是</t>
        </is>
      </c>
      <c r="J557" t="inlineStr">
        <is>
          <t>纳入</t>
        </is>
      </c>
      <c r="K557" t="n">
        <v>39.0359168241966</v>
      </c>
      <c r="L557">
        <f>导管母表_860!G557</f>
        <v/>
      </c>
      <c r="M557" t="inlineStr">
        <is>
          <t>视野内部</t>
        </is>
      </c>
      <c r="N557" t="inlineStr">
        <is>
          <t>纳入A/D/Dh；若有Pair_ID则纳入CWR</t>
        </is>
      </c>
      <c r="O557" t="inlineStr">
        <is>
          <t>自动管线检出的合格导管腔。</t>
        </is>
      </c>
      <c r="P557" t="inlineStr">
        <is>
          <t>auto_pipeline;review_png_green</t>
        </is>
      </c>
      <c r="Q557" t="inlineStr">
        <is>
          <t>56(2)-P01</t>
        </is>
      </c>
      <c r="R557" t="inlineStr">
        <is>
          <t>样品56</t>
        </is>
      </c>
    </row>
    <row r="558">
      <c r="A558" t="inlineStr">
        <is>
          <t>56(3)-V01</t>
        </is>
      </c>
      <c r="B558" t="inlineStr">
        <is>
          <t>56 (3).tif</t>
        </is>
      </c>
      <c r="C558" t="n">
        <v>478</v>
      </c>
      <c r="D558" t="n">
        <v>464</v>
      </c>
      <c r="E558" t="inlineStr">
        <is>
          <t>400,378,557,551</t>
        </is>
      </c>
      <c r="F558" t="n">
        <v>217</v>
      </c>
      <c r="G558" t="inlineStr">
        <is>
          <t>primary</t>
        </is>
      </c>
      <c r="H558" t="inlineStr">
        <is>
          <t>AUTO_VESSEL</t>
        </is>
      </c>
      <c r="I558" t="inlineStr">
        <is>
          <t>是</t>
        </is>
      </c>
      <c r="J558" t="inlineStr">
        <is>
          <t>纳入</t>
        </is>
      </c>
      <c r="K558" t="n">
        <v>979.749527410208</v>
      </c>
      <c r="L558">
        <f>导管母表_860!G558</f>
        <v/>
      </c>
      <c r="M558" t="inlineStr">
        <is>
          <t>视野内部</t>
        </is>
      </c>
      <c r="N558" t="inlineStr">
        <is>
          <t>纳入A/D/Dh；若有Pair_ID则纳入CWR</t>
        </is>
      </c>
      <c r="O558" t="inlineStr">
        <is>
          <t>自动管线检出的合格导管腔。</t>
        </is>
      </c>
      <c r="P558" t="inlineStr">
        <is>
          <t>auto_pipeline;review_png_green</t>
        </is>
      </c>
      <c r="R558" t="inlineStr">
        <is>
          <t>样品56</t>
        </is>
      </c>
    </row>
    <row r="559">
      <c r="A559" t="inlineStr">
        <is>
          <t>56(3)-V02</t>
        </is>
      </c>
      <c r="B559" t="inlineStr">
        <is>
          <t>56 (3).tif</t>
        </is>
      </c>
      <c r="C559" t="n">
        <v>698</v>
      </c>
      <c r="D559" t="n">
        <v>174</v>
      </c>
      <c r="E559" t="inlineStr">
        <is>
          <t>672,134,725,215</t>
        </is>
      </c>
      <c r="F559" t="n">
        <v>134</v>
      </c>
      <c r="G559" t="inlineStr">
        <is>
          <t>primary</t>
        </is>
      </c>
      <c r="H559" t="inlineStr">
        <is>
          <t>AUTO_VESSEL</t>
        </is>
      </c>
      <c r="I559" t="inlineStr">
        <is>
          <t>是</t>
        </is>
      </c>
      <c r="J559" t="inlineStr">
        <is>
          <t>纳入</t>
        </is>
      </c>
      <c r="K559" t="n">
        <v>154.3005671077505</v>
      </c>
      <c r="L559">
        <f>导管母表_860!G559</f>
        <v/>
      </c>
      <c r="M559" t="inlineStr">
        <is>
          <t>视野内部</t>
        </is>
      </c>
      <c r="N559" t="inlineStr">
        <is>
          <t>纳入A/D/Dh；若有Pair_ID则纳入CWR</t>
        </is>
      </c>
      <c r="O559" t="inlineStr">
        <is>
          <t>自动管线检出的合格导管腔。</t>
        </is>
      </c>
      <c r="P559" t="inlineStr">
        <is>
          <t>auto_pipeline;review_png_green</t>
        </is>
      </c>
      <c r="R559" t="inlineStr">
        <is>
          <t>样品56</t>
        </is>
      </c>
    </row>
    <row r="560">
      <c r="A560" t="inlineStr">
        <is>
          <t>56(3)-V03</t>
        </is>
      </c>
      <c r="B560" t="inlineStr">
        <is>
          <t>56 (3).tif</t>
        </is>
      </c>
      <c r="C560" t="n">
        <v>278</v>
      </c>
      <c r="D560" t="n">
        <v>468</v>
      </c>
      <c r="E560" t="inlineStr">
        <is>
          <t>261,416,296,521</t>
        </is>
      </c>
      <c r="F560" t="n">
        <v>247</v>
      </c>
      <c r="G560" t="inlineStr">
        <is>
          <t>primary</t>
        </is>
      </c>
      <c r="H560" t="inlineStr">
        <is>
          <t>AUTO_VESSEL</t>
        </is>
      </c>
      <c r="I560" t="inlineStr">
        <is>
          <t>是</t>
        </is>
      </c>
      <c r="J560" t="inlineStr">
        <is>
          <t>纳入</t>
        </is>
      </c>
      <c r="K560" t="n">
        <v>131.3327032136106</v>
      </c>
      <c r="L560">
        <f>导管母表_860!G560</f>
        <v/>
      </c>
      <c r="M560" t="inlineStr">
        <is>
          <t>视野内部</t>
        </is>
      </c>
      <c r="N560" t="inlineStr">
        <is>
          <t>纳入A/D/Dh；若有Pair_ID则纳入CWR</t>
        </is>
      </c>
      <c r="O560" t="inlineStr">
        <is>
          <t>自动管线检出的合格导管腔。</t>
        </is>
      </c>
      <c r="P560" t="inlineStr">
        <is>
          <t>auto_pipeline;review_png_green</t>
        </is>
      </c>
      <c r="R560" t="inlineStr">
        <is>
          <t>样品56</t>
        </is>
      </c>
    </row>
    <row r="561">
      <c r="A561" t="inlineStr">
        <is>
          <t>56(3)-V04</t>
        </is>
      </c>
      <c r="B561" t="inlineStr">
        <is>
          <t>56 (3).tif</t>
        </is>
      </c>
      <c r="C561" t="n">
        <v>652</v>
      </c>
      <c r="D561" t="n">
        <v>53</v>
      </c>
      <c r="E561" t="inlineStr">
        <is>
          <t>628,18,677,89</t>
        </is>
      </c>
      <c r="F561" t="n">
        <v>18</v>
      </c>
      <c r="G561" t="inlineStr">
        <is>
          <t>primary</t>
        </is>
      </c>
      <c r="H561" t="inlineStr">
        <is>
          <t>AUTO_VESSEL</t>
        </is>
      </c>
      <c r="I561" t="inlineStr">
        <is>
          <t>是</t>
        </is>
      </c>
      <c r="J561" t="inlineStr">
        <is>
          <t>纳入</t>
        </is>
      </c>
      <c r="K561" t="n">
        <v>117.8638941398866</v>
      </c>
      <c r="L561">
        <f>导管母表_860!G561</f>
        <v/>
      </c>
      <c r="M561" t="inlineStr">
        <is>
          <t>近边缘（&lt;25 px）</t>
        </is>
      </c>
      <c r="N561" t="inlineStr">
        <is>
          <t>纳入A/D/Dh；若有Pair_ID则纳入CWR</t>
        </is>
      </c>
      <c r="O561" t="inlineStr">
        <is>
          <t>自动管线检出的合格导管腔。</t>
        </is>
      </c>
      <c r="P561" t="inlineStr">
        <is>
          <t>auto_pipeline;review_png_green</t>
        </is>
      </c>
      <c r="R561" t="inlineStr">
        <is>
          <t>样品56</t>
        </is>
      </c>
    </row>
    <row r="562">
      <c r="A562" t="inlineStr">
        <is>
          <t>56(4)-V01</t>
        </is>
      </c>
      <c r="B562" t="inlineStr">
        <is>
          <t>56 (4).tif</t>
        </is>
      </c>
      <c r="C562" t="n">
        <v>483</v>
      </c>
      <c r="D562" t="n">
        <v>441</v>
      </c>
      <c r="E562" t="inlineStr">
        <is>
          <t>398,376,569,507</t>
        </is>
      </c>
      <c r="F562" t="n">
        <v>261</v>
      </c>
      <c r="G562" t="inlineStr">
        <is>
          <t>primary</t>
        </is>
      </c>
      <c r="H562" t="inlineStr">
        <is>
          <t>AUTO_VESSEL</t>
        </is>
      </c>
      <c r="I562" t="inlineStr">
        <is>
          <t>是</t>
        </is>
      </c>
      <c r="J562" t="inlineStr">
        <is>
          <t>纳入</t>
        </is>
      </c>
      <c r="K562" t="n">
        <v>817.0841209829867</v>
      </c>
      <c r="L562">
        <f>导管母表_860!G562</f>
        <v/>
      </c>
      <c r="M562" t="inlineStr">
        <is>
          <t>视野内部</t>
        </is>
      </c>
      <c r="N562" t="inlineStr">
        <is>
          <t>纳入A/D/Dh；若有Pair_ID则纳入CWR</t>
        </is>
      </c>
      <c r="O562" t="inlineStr">
        <is>
          <t>自动管线检出的合格导管腔。</t>
        </is>
      </c>
      <c r="P562" t="inlineStr">
        <is>
          <t>auto_pipeline;review_png_green</t>
        </is>
      </c>
      <c r="Q562" t="inlineStr">
        <is>
          <t>56(4)-P01</t>
        </is>
      </c>
      <c r="R562" t="inlineStr">
        <is>
          <t>样品56</t>
        </is>
      </c>
    </row>
    <row r="563">
      <c r="A563" t="inlineStr">
        <is>
          <t>56(4)-V02</t>
        </is>
      </c>
      <c r="B563" t="inlineStr">
        <is>
          <t>56 (4).tif</t>
        </is>
      </c>
      <c r="C563" t="n">
        <v>510</v>
      </c>
      <c r="D563" t="n">
        <v>280</v>
      </c>
      <c r="E563" t="inlineStr">
        <is>
          <t>436,206,585,355</t>
        </is>
      </c>
      <c r="F563" t="n">
        <v>206</v>
      </c>
      <c r="G563" t="inlineStr">
        <is>
          <t>primary</t>
        </is>
      </c>
      <c r="H563" t="inlineStr">
        <is>
          <t>AUTO_VESSEL</t>
        </is>
      </c>
      <c r="I563" t="inlineStr">
        <is>
          <t>是</t>
        </is>
      </c>
      <c r="J563" t="inlineStr">
        <is>
          <t>纳入</t>
        </is>
      </c>
      <c r="K563" t="n">
        <v>810.9404536862004</v>
      </c>
      <c r="L563">
        <f>导管母表_860!G563</f>
        <v/>
      </c>
      <c r="M563" t="inlineStr">
        <is>
          <t>视野内部</t>
        </is>
      </c>
      <c r="N563" t="inlineStr">
        <is>
          <t>纳入A/D/Dh；若有Pair_ID则纳入CWR</t>
        </is>
      </c>
      <c r="O563" t="inlineStr">
        <is>
          <t>自动管线检出的合格导管腔。</t>
        </is>
      </c>
      <c r="P563" t="inlineStr">
        <is>
          <t>auto_pipeline;review_png_green</t>
        </is>
      </c>
      <c r="Q563" t="inlineStr">
        <is>
          <t>56(4)-P01</t>
        </is>
      </c>
      <c r="R563" t="inlineStr">
        <is>
          <t>样品56</t>
        </is>
      </c>
    </row>
    <row r="564">
      <c r="A564" t="inlineStr">
        <is>
          <t>56(4)-V03</t>
        </is>
      </c>
      <c r="B564" t="inlineStr">
        <is>
          <t>56 (4).tif</t>
        </is>
      </c>
      <c r="C564" t="n">
        <v>644</v>
      </c>
      <c r="D564" t="n">
        <v>139</v>
      </c>
      <c r="E564" t="inlineStr">
        <is>
          <t>573,67,716,212</t>
        </is>
      </c>
      <c r="F564" t="n">
        <v>67</v>
      </c>
      <c r="G564" t="inlineStr">
        <is>
          <t>primary</t>
        </is>
      </c>
      <c r="H564" t="inlineStr">
        <is>
          <t>AUTO_VESSEL</t>
        </is>
      </c>
      <c r="I564" t="inlineStr">
        <is>
          <t>是</t>
        </is>
      </c>
      <c r="J564" t="inlineStr">
        <is>
          <t>纳入</t>
        </is>
      </c>
      <c r="K564" t="n">
        <v>756.3327032136106</v>
      </c>
      <c r="L564">
        <f>导管母表_860!G564</f>
        <v/>
      </c>
      <c r="M564" t="inlineStr">
        <is>
          <t>视野内部</t>
        </is>
      </c>
      <c r="N564" t="inlineStr">
        <is>
          <t>纳入A/D/Dh；若有Pair_ID则纳入CWR</t>
        </is>
      </c>
      <c r="O564" t="inlineStr">
        <is>
          <t>自动管线检出的合格导管腔。</t>
        </is>
      </c>
      <c r="P564" t="inlineStr">
        <is>
          <t>auto_pipeline;review_png_green</t>
        </is>
      </c>
      <c r="R564" t="inlineStr">
        <is>
          <t>样品56</t>
        </is>
      </c>
    </row>
    <row r="565">
      <c r="A565" t="inlineStr">
        <is>
          <t>56(4)-V04</t>
        </is>
      </c>
      <c r="B565" t="inlineStr">
        <is>
          <t>56 (4).tif</t>
        </is>
      </c>
      <c r="C565" t="n">
        <v>843</v>
      </c>
      <c r="D565" t="n">
        <v>556</v>
      </c>
      <c r="E565" t="inlineStr">
        <is>
          <t>804,526,883,587</t>
        </is>
      </c>
      <c r="F565" t="n">
        <v>141</v>
      </c>
      <c r="G565" t="inlineStr">
        <is>
          <t>primary</t>
        </is>
      </c>
      <c r="H565" t="inlineStr">
        <is>
          <t>AUTO_VESSEL</t>
        </is>
      </c>
      <c r="I565" t="inlineStr">
        <is>
          <t>是</t>
        </is>
      </c>
      <c r="J565" t="inlineStr">
        <is>
          <t>纳入</t>
        </is>
      </c>
      <c r="K565" t="n">
        <v>172.117202268431</v>
      </c>
      <c r="L565">
        <f>导管母表_860!G565</f>
        <v/>
      </c>
      <c r="M565" t="inlineStr">
        <is>
          <t>视野内部</t>
        </is>
      </c>
      <c r="N565" t="inlineStr">
        <is>
          <t>纳入A/D/Dh；若有Pair_ID则纳入CWR</t>
        </is>
      </c>
      <c r="O565" t="inlineStr">
        <is>
          <t>自动管线检出的合格导管腔。</t>
        </is>
      </c>
      <c r="P565" t="inlineStr">
        <is>
          <t>auto_pipeline;review_png_green</t>
        </is>
      </c>
      <c r="R565" t="inlineStr">
        <is>
          <t>样品56</t>
        </is>
      </c>
    </row>
    <row r="566">
      <c r="A566" t="inlineStr">
        <is>
          <t>56(4)-V05</t>
        </is>
      </c>
      <c r="B566" t="inlineStr">
        <is>
          <t>56 (4).tif</t>
        </is>
      </c>
      <c r="C566" t="n">
        <v>889</v>
      </c>
      <c r="D566" t="n">
        <v>134</v>
      </c>
      <c r="E566" t="inlineStr">
        <is>
          <t>872,81,907,188</t>
        </is>
      </c>
      <c r="F566" t="n">
        <v>81</v>
      </c>
      <c r="G566" t="inlineStr">
        <is>
          <t>primary</t>
        </is>
      </c>
      <c r="H566" t="inlineStr">
        <is>
          <t>AUTO_VESSEL</t>
        </is>
      </c>
      <c r="I566" t="inlineStr">
        <is>
          <t>是</t>
        </is>
      </c>
      <c r="J566" t="inlineStr">
        <is>
          <t>纳入</t>
        </is>
      </c>
      <c r="K566" t="n">
        <v>133.3884688090737</v>
      </c>
      <c r="L566">
        <f>导管母表_860!G566</f>
        <v/>
      </c>
      <c r="M566" t="inlineStr">
        <is>
          <t>视野内部</t>
        </is>
      </c>
      <c r="N566" t="inlineStr">
        <is>
          <t>纳入A/D/Dh；若有Pair_ID则纳入CWR</t>
        </is>
      </c>
      <c r="O566" t="inlineStr">
        <is>
          <t>自动管线检出的合格导管腔。</t>
        </is>
      </c>
      <c r="P566" t="inlineStr">
        <is>
          <t>auto_pipeline;review_png_green</t>
        </is>
      </c>
      <c r="R566" t="inlineStr">
        <is>
          <t>样品56</t>
        </is>
      </c>
    </row>
    <row r="567">
      <c r="A567" t="inlineStr">
        <is>
          <t>56(4)-V06</t>
        </is>
      </c>
      <c r="B567" t="inlineStr">
        <is>
          <t>56 (4).tif</t>
        </is>
      </c>
      <c r="C567" t="n">
        <v>72</v>
      </c>
      <c r="D567" t="n">
        <v>583</v>
      </c>
      <c r="E567" t="inlineStr">
        <is>
          <t>50,536,95,631</t>
        </is>
      </c>
      <c r="F567" t="n">
        <v>50</v>
      </c>
      <c r="G567" t="inlineStr">
        <is>
          <t>primary</t>
        </is>
      </c>
      <c r="H567" t="inlineStr">
        <is>
          <t>AUTO_VESSEL</t>
        </is>
      </c>
      <c r="I567" t="inlineStr">
        <is>
          <t>是</t>
        </is>
      </c>
      <c r="J567" t="inlineStr">
        <is>
          <t>纳入</t>
        </is>
      </c>
      <c r="K567" t="n">
        <v>123.6767485822306</v>
      </c>
      <c r="L567">
        <f>导管母表_860!G567</f>
        <v/>
      </c>
      <c r="M567" t="inlineStr">
        <is>
          <t>视野内部</t>
        </is>
      </c>
      <c r="N567" t="inlineStr">
        <is>
          <t>纳入A/D/Dh；若有Pair_ID则纳入CWR</t>
        </is>
      </c>
      <c r="O567" t="inlineStr">
        <is>
          <t>自动管线检出的合格导管腔。</t>
        </is>
      </c>
      <c r="P567" t="inlineStr">
        <is>
          <t>auto_pipeline;review_png_green</t>
        </is>
      </c>
      <c r="R567" t="inlineStr">
        <is>
          <t>样品56</t>
        </is>
      </c>
    </row>
    <row r="568">
      <c r="A568" t="inlineStr">
        <is>
          <t>56(4)-V07</t>
        </is>
      </c>
      <c r="B568" t="inlineStr">
        <is>
          <t>56 (4).tif</t>
        </is>
      </c>
      <c r="C568" t="n">
        <v>135</v>
      </c>
      <c r="D568" t="n">
        <v>318</v>
      </c>
      <c r="E568" t="inlineStr">
        <is>
          <t>112,283,159,354</t>
        </is>
      </c>
      <c r="F568" t="n">
        <v>112</v>
      </c>
      <c r="G568" t="inlineStr">
        <is>
          <t>primary</t>
        </is>
      </c>
      <c r="H568" t="inlineStr">
        <is>
          <t>AUTO_VESSEL</t>
        </is>
      </c>
      <c r="I568" t="inlineStr">
        <is>
          <t>是</t>
        </is>
      </c>
      <c r="J568" t="inlineStr">
        <is>
          <t>纳入</t>
        </is>
      </c>
      <c r="K568" t="n">
        <v>119.6597353497164</v>
      </c>
      <c r="L568">
        <f>导管母表_860!G568</f>
        <v/>
      </c>
      <c r="M568" t="inlineStr">
        <is>
          <t>视野内部</t>
        </is>
      </c>
      <c r="N568" t="inlineStr">
        <is>
          <t>纳入A/D/Dh；若有Pair_ID则纳入CWR</t>
        </is>
      </c>
      <c r="O568" t="inlineStr">
        <is>
          <t>自动管线检出的合格导管腔。</t>
        </is>
      </c>
      <c r="P568" t="inlineStr">
        <is>
          <t>auto_pipeline;review_png_green</t>
        </is>
      </c>
      <c r="R568" t="inlineStr">
        <is>
          <t>样品56</t>
        </is>
      </c>
    </row>
    <row r="569">
      <c r="A569" t="inlineStr">
        <is>
          <t>56(5)-V01</t>
        </is>
      </c>
      <c r="B569" t="inlineStr">
        <is>
          <t>56 (5).tif</t>
        </is>
      </c>
      <c r="C569" t="n">
        <v>432</v>
      </c>
      <c r="D569" t="n">
        <v>404</v>
      </c>
      <c r="E569" t="inlineStr">
        <is>
          <t>360,335,505,474</t>
        </is>
      </c>
      <c r="F569" t="n">
        <v>294</v>
      </c>
      <c r="G569" t="inlineStr">
        <is>
          <t>primary</t>
        </is>
      </c>
      <c r="H569" t="inlineStr">
        <is>
          <t>AUTO_VESSEL</t>
        </is>
      </c>
      <c r="I569" t="inlineStr">
        <is>
          <t>是</t>
        </is>
      </c>
      <c r="J569" t="inlineStr">
        <is>
          <t>纳入</t>
        </is>
      </c>
      <c r="K569" t="n">
        <v>735.7277882797731</v>
      </c>
      <c r="L569">
        <f>导管母表_860!G569</f>
        <v/>
      </c>
      <c r="M569" t="inlineStr">
        <is>
          <t>视野内部</t>
        </is>
      </c>
      <c r="N569" t="inlineStr">
        <is>
          <t>纳入A/D/Dh；若有Pair_ID则纳入CWR</t>
        </is>
      </c>
      <c r="O569" t="inlineStr">
        <is>
          <t>自动管线检出的合格导管腔。</t>
        </is>
      </c>
      <c r="P569" t="inlineStr">
        <is>
          <t>auto_pipeline;review_png_green</t>
        </is>
      </c>
      <c r="R569" t="inlineStr">
        <is>
          <t>样品56</t>
        </is>
      </c>
    </row>
    <row r="570">
      <c r="A570" t="inlineStr">
        <is>
          <t>56(5)-V02</t>
        </is>
      </c>
      <c r="B570" t="inlineStr">
        <is>
          <t>56 (5).tif</t>
        </is>
      </c>
      <c r="C570" t="n">
        <v>588</v>
      </c>
      <c r="D570" t="n">
        <v>298</v>
      </c>
      <c r="E570" t="inlineStr">
        <is>
          <t>516,232,661,365</t>
        </is>
      </c>
      <c r="F570" t="n">
        <v>232</v>
      </c>
      <c r="G570" t="inlineStr">
        <is>
          <t>primary</t>
        </is>
      </c>
      <c r="H570" t="inlineStr">
        <is>
          <t>AUTO_VESSEL</t>
        </is>
      </c>
      <c r="I570" t="inlineStr">
        <is>
          <t>是</t>
        </is>
      </c>
      <c r="J570" t="inlineStr">
        <is>
          <t>纳入</t>
        </is>
      </c>
      <c r="K570" t="n">
        <v>696.5028355387524</v>
      </c>
      <c r="L570">
        <f>导管母表_860!G570</f>
        <v/>
      </c>
      <c r="M570" t="inlineStr">
        <is>
          <t>视野内部</t>
        </is>
      </c>
      <c r="N570" t="inlineStr">
        <is>
          <t>纳入A/D/Dh；若有Pair_ID则纳入CWR</t>
        </is>
      </c>
      <c r="O570" t="inlineStr">
        <is>
          <t>自动管线检出的合格导管腔。</t>
        </is>
      </c>
      <c r="P570" t="inlineStr">
        <is>
          <t>auto_pipeline;review_png_green</t>
        </is>
      </c>
      <c r="R570" t="inlineStr">
        <is>
          <t>样品56</t>
        </is>
      </c>
    </row>
    <row r="571">
      <c r="A571" t="inlineStr">
        <is>
          <t>56(5)-V03</t>
        </is>
      </c>
      <c r="B571" t="inlineStr">
        <is>
          <t>56 (5).tif</t>
        </is>
      </c>
      <c r="C571" t="n">
        <v>663</v>
      </c>
      <c r="D571" t="n">
        <v>602</v>
      </c>
      <c r="E571" t="inlineStr">
        <is>
          <t>602,547,725,658</t>
        </is>
      </c>
      <c r="F571" t="n">
        <v>110</v>
      </c>
      <c r="G571" t="inlineStr">
        <is>
          <t>primary</t>
        </is>
      </c>
      <c r="H571" t="inlineStr">
        <is>
          <t>AUTO_VESSEL</t>
        </is>
      </c>
      <c r="I571" t="inlineStr">
        <is>
          <t>是</t>
        </is>
      </c>
      <c r="J571" t="inlineStr">
        <is>
          <t>纳入</t>
        </is>
      </c>
      <c r="K571" t="n">
        <v>493.1474480151228</v>
      </c>
      <c r="L571">
        <f>导管母表_860!G571</f>
        <v/>
      </c>
      <c r="M571" t="inlineStr">
        <is>
          <t>视野内部</t>
        </is>
      </c>
      <c r="N571" t="inlineStr">
        <is>
          <t>纳入A/D/Dh；若有Pair_ID则纳入CWR</t>
        </is>
      </c>
      <c r="O571" t="inlineStr">
        <is>
          <t>自动管线检出的合格导管腔。</t>
        </is>
      </c>
      <c r="P571" t="inlineStr">
        <is>
          <t>auto_pipeline;review_png_green</t>
        </is>
      </c>
      <c r="R571" t="inlineStr">
        <is>
          <t>样品56</t>
        </is>
      </c>
    </row>
    <row r="572">
      <c r="A572" t="inlineStr">
        <is>
          <t>56(5)-V04</t>
        </is>
      </c>
      <c r="B572" t="inlineStr">
        <is>
          <t>56 (5).tif</t>
        </is>
      </c>
      <c r="C572" t="n">
        <v>808</v>
      </c>
      <c r="D572" t="n">
        <v>93</v>
      </c>
      <c r="E572" t="inlineStr">
        <is>
          <t>771,54,846,133</t>
        </is>
      </c>
      <c r="F572" t="n">
        <v>54</v>
      </c>
      <c r="G572" t="inlineStr">
        <is>
          <t>primary</t>
        </is>
      </c>
      <c r="H572" t="inlineStr">
        <is>
          <t>AUTO_VESSEL</t>
        </is>
      </c>
      <c r="I572" t="inlineStr">
        <is>
          <t>是</t>
        </is>
      </c>
      <c r="J572" t="inlineStr">
        <is>
          <t>纳入</t>
        </is>
      </c>
      <c r="K572" t="n">
        <v>213.7287334593573</v>
      </c>
      <c r="L572">
        <f>导管母表_860!G572</f>
        <v/>
      </c>
      <c r="M572" t="inlineStr">
        <is>
          <t>视野内部</t>
        </is>
      </c>
      <c r="N572" t="inlineStr">
        <is>
          <t>纳入A/D/Dh；若有Pair_ID则纳入CWR</t>
        </is>
      </c>
      <c r="O572" t="inlineStr">
        <is>
          <t>自动管线检出的合格导管腔。</t>
        </is>
      </c>
      <c r="P572" t="inlineStr">
        <is>
          <t>auto_pipeline;review_png_green</t>
        </is>
      </c>
      <c r="R572" t="inlineStr">
        <is>
          <t>样品56</t>
        </is>
      </c>
    </row>
    <row r="573">
      <c r="A573" t="inlineStr">
        <is>
          <t>56(5)-V05</t>
        </is>
      </c>
      <c r="B573" t="inlineStr">
        <is>
          <t>56 (5).tif</t>
        </is>
      </c>
      <c r="C573" t="n">
        <v>155</v>
      </c>
      <c r="D573" t="n">
        <v>431</v>
      </c>
      <c r="E573" t="inlineStr">
        <is>
          <t>124,390,187,473</t>
        </is>
      </c>
      <c r="F573" t="n">
        <v>124</v>
      </c>
      <c r="G573" t="inlineStr">
        <is>
          <t>primary</t>
        </is>
      </c>
      <c r="H573" t="inlineStr">
        <is>
          <t>AUTO_VESSEL</t>
        </is>
      </c>
      <c r="I573" t="inlineStr">
        <is>
          <t>是</t>
        </is>
      </c>
      <c r="J573" t="inlineStr">
        <is>
          <t>纳入</t>
        </is>
      </c>
      <c r="K573" t="n">
        <v>189.413988657845</v>
      </c>
      <c r="L573">
        <f>导管母表_860!G573</f>
        <v/>
      </c>
      <c r="M573" t="inlineStr">
        <is>
          <t>视野内部</t>
        </is>
      </c>
      <c r="N573" t="inlineStr">
        <is>
          <t>纳入A/D/Dh；若有Pair_ID则纳入CWR</t>
        </is>
      </c>
      <c r="O573" t="inlineStr">
        <is>
          <t>自动管线检出的合格导管腔。</t>
        </is>
      </c>
      <c r="P573" t="inlineStr">
        <is>
          <t>auto_pipeline;review_png_green</t>
        </is>
      </c>
      <c r="R573" t="inlineStr">
        <is>
          <t>样品56</t>
        </is>
      </c>
    </row>
    <row r="574">
      <c r="A574" t="inlineStr">
        <is>
          <t>56(5)-V06</t>
        </is>
      </c>
      <c r="B574" t="inlineStr">
        <is>
          <t>56 (5).tif</t>
        </is>
      </c>
      <c r="C574" t="n">
        <v>898</v>
      </c>
      <c r="D574" t="n">
        <v>53</v>
      </c>
      <c r="E574" t="inlineStr">
        <is>
          <t>861,11,936,96</t>
        </is>
      </c>
      <c r="F574" t="n">
        <v>11</v>
      </c>
      <c r="G574" t="inlineStr">
        <is>
          <t>primary</t>
        </is>
      </c>
      <c r="H574" t="inlineStr">
        <is>
          <t>AUTO_VESSEL</t>
        </is>
      </c>
      <c r="I574" t="inlineStr">
        <is>
          <t>是</t>
        </is>
      </c>
      <c r="J574" t="inlineStr">
        <is>
          <t>纳入</t>
        </is>
      </c>
      <c r="K574" t="n">
        <v>154.6077504725898</v>
      </c>
      <c r="L574">
        <f>导管母表_860!G574</f>
        <v/>
      </c>
      <c r="M574" t="inlineStr">
        <is>
          <t>近边缘（&lt;25 px）</t>
        </is>
      </c>
      <c r="N574" t="inlineStr">
        <is>
          <t>纳入A/D/Dh；若有Pair_ID则纳入CWR</t>
        </is>
      </c>
      <c r="O574" t="inlineStr">
        <is>
          <t>自动管线检出的合格导管腔。</t>
        </is>
      </c>
      <c r="P574" t="inlineStr">
        <is>
          <t>auto_pipeline;review_png_green</t>
        </is>
      </c>
      <c r="R574" t="inlineStr">
        <is>
          <t>样品56</t>
        </is>
      </c>
    </row>
    <row r="575">
      <c r="A575" t="inlineStr">
        <is>
          <t>56(6)-V01</t>
        </is>
      </c>
      <c r="B575" t="inlineStr">
        <is>
          <t>56 (6).tif</t>
        </is>
      </c>
      <c r="C575" t="n">
        <v>290</v>
      </c>
      <c r="D575" t="n">
        <v>409</v>
      </c>
      <c r="E575" t="inlineStr">
        <is>
          <t>217,318,364,501</t>
        </is>
      </c>
      <c r="F575" t="n">
        <v>217</v>
      </c>
      <c r="G575" t="inlineStr">
        <is>
          <t>primary</t>
        </is>
      </c>
      <c r="H575" t="inlineStr">
        <is>
          <t>AUTO_VESSEL</t>
        </is>
      </c>
      <c r="I575" t="inlineStr">
        <is>
          <t>是</t>
        </is>
      </c>
      <c r="J575" t="inlineStr">
        <is>
          <t>纳入</t>
        </is>
      </c>
      <c r="K575" t="n">
        <v>986.2476370510396</v>
      </c>
      <c r="L575">
        <f>导管母表_860!G575</f>
        <v/>
      </c>
      <c r="M575" t="inlineStr">
        <is>
          <t>视野内部</t>
        </is>
      </c>
      <c r="N575" t="inlineStr">
        <is>
          <t>纳入A/D/Dh；若有Pair_ID则纳入CWR</t>
        </is>
      </c>
      <c r="O575" t="inlineStr">
        <is>
          <t>自动管线检出的合格导管腔。</t>
        </is>
      </c>
      <c r="P575" t="inlineStr">
        <is>
          <t>auto_pipeline;review_png_green</t>
        </is>
      </c>
      <c r="R575" t="inlineStr">
        <is>
          <t>样品56</t>
        </is>
      </c>
    </row>
    <row r="576">
      <c r="A576" t="inlineStr">
        <is>
          <t>56(6)-V02</t>
        </is>
      </c>
      <c r="B576" t="inlineStr">
        <is>
          <t>56 (6).tif</t>
        </is>
      </c>
      <c r="C576" t="n">
        <v>626</v>
      </c>
      <c r="D576" t="n">
        <v>351</v>
      </c>
      <c r="E576" t="inlineStr">
        <is>
          <t>550,275,703,428</t>
        </is>
      </c>
      <c r="F576" t="n">
        <v>275</v>
      </c>
      <c r="G576" t="inlineStr">
        <is>
          <t>primary</t>
        </is>
      </c>
      <c r="H576" t="inlineStr">
        <is>
          <t>AUTO_VESSEL</t>
        </is>
      </c>
      <c r="I576" t="inlineStr">
        <is>
          <t>是</t>
        </is>
      </c>
      <c r="J576" t="inlineStr">
        <is>
          <t>纳入</t>
        </is>
      </c>
      <c r="K576" t="n">
        <v>844.8724007561436</v>
      </c>
      <c r="L576">
        <f>导管母表_860!G576</f>
        <v/>
      </c>
      <c r="M576" t="inlineStr">
        <is>
          <t>视野内部</t>
        </is>
      </c>
      <c r="N576" t="inlineStr">
        <is>
          <t>纳入A/D/Dh；若有Pair_ID则纳入CWR</t>
        </is>
      </c>
      <c r="O576" t="inlineStr">
        <is>
          <t>自动管线检出的合格导管腔。</t>
        </is>
      </c>
      <c r="P576" t="inlineStr">
        <is>
          <t>auto_pipeline;review_png_green</t>
        </is>
      </c>
      <c r="R576" t="inlineStr">
        <is>
          <t>样品56</t>
        </is>
      </c>
    </row>
    <row r="577">
      <c r="A577" t="inlineStr">
        <is>
          <t>56(6)-V03</t>
        </is>
      </c>
      <c r="B577" t="inlineStr">
        <is>
          <t>56 (6).tif</t>
        </is>
      </c>
      <c r="C577" t="n">
        <v>805</v>
      </c>
      <c r="D577" t="n">
        <v>381</v>
      </c>
      <c r="E577" t="inlineStr">
        <is>
          <t>750,344,861,419</t>
        </is>
      </c>
      <c r="F577" t="n">
        <v>163</v>
      </c>
      <c r="G577" t="inlineStr">
        <is>
          <t>primary</t>
        </is>
      </c>
      <c r="H577" t="inlineStr">
        <is>
          <t>AUTO_VESSEL</t>
        </is>
      </c>
      <c r="I577" t="inlineStr">
        <is>
          <t>是</t>
        </is>
      </c>
      <c r="J577" t="inlineStr">
        <is>
          <t>纳入</t>
        </is>
      </c>
      <c r="K577" t="n">
        <v>301.6540642722117</v>
      </c>
      <c r="L577">
        <f>导管母表_860!G577</f>
        <v/>
      </c>
      <c r="M577" t="inlineStr">
        <is>
          <t>视野内部</t>
        </is>
      </c>
      <c r="N577" t="inlineStr">
        <is>
          <t>纳入A/D/Dh；若有Pair_ID则纳入CWR</t>
        </is>
      </c>
      <c r="O577" t="inlineStr">
        <is>
          <t>自动管线检出的合格导管腔。</t>
        </is>
      </c>
      <c r="P577" t="inlineStr">
        <is>
          <t>auto_pipeline;review_png_green</t>
        </is>
      </c>
      <c r="R577" t="inlineStr">
        <is>
          <t>样品56</t>
        </is>
      </c>
    </row>
    <row r="578">
      <c r="A578" t="inlineStr">
        <is>
          <t>56(6)-V04</t>
        </is>
      </c>
      <c r="B578" t="inlineStr">
        <is>
          <t>56 (6).tif</t>
        </is>
      </c>
      <c r="C578" t="n">
        <v>361</v>
      </c>
      <c r="D578" t="n">
        <v>172</v>
      </c>
      <c r="E578" t="inlineStr">
        <is>
          <t>324,144,399,201</t>
        </is>
      </c>
      <c r="F578" t="n">
        <v>144</v>
      </c>
      <c r="G578" t="inlineStr">
        <is>
          <t>primary</t>
        </is>
      </c>
      <c r="H578" t="inlineStr">
        <is>
          <t>AUTO_VESSEL</t>
        </is>
      </c>
      <c r="I578" t="inlineStr">
        <is>
          <t>是</t>
        </is>
      </c>
      <c r="J578" t="inlineStr">
        <is>
          <t>纳入</t>
        </is>
      </c>
      <c r="K578" t="n">
        <v>138.9177693761815</v>
      </c>
      <c r="L578">
        <f>导管母表_860!G578</f>
        <v/>
      </c>
      <c r="M578" t="inlineStr">
        <is>
          <t>视野内部</t>
        </is>
      </c>
      <c r="N578" t="inlineStr">
        <is>
          <t>纳入A/D/Dh；若有Pair_ID则纳入CWR</t>
        </is>
      </c>
      <c r="O578" t="inlineStr">
        <is>
          <t>自动管线检出的合格导管腔。</t>
        </is>
      </c>
      <c r="P578" t="inlineStr">
        <is>
          <t>auto_pipeline;review_png_green</t>
        </is>
      </c>
      <c r="R578" t="inlineStr">
        <is>
          <t>样品56</t>
        </is>
      </c>
    </row>
    <row r="579">
      <c r="A579" t="inlineStr">
        <is>
          <t>56(6)-V05</t>
        </is>
      </c>
      <c r="B579" t="inlineStr">
        <is>
          <t>56 (6).tif</t>
        </is>
      </c>
      <c r="C579" t="n">
        <v>515</v>
      </c>
      <c r="D579" t="n">
        <v>168</v>
      </c>
      <c r="E579" t="inlineStr">
        <is>
          <t>465,151,566,186</t>
        </is>
      </c>
      <c r="F579" t="n">
        <v>151</v>
      </c>
      <c r="G579" t="inlineStr">
        <is>
          <t>primary</t>
        </is>
      </c>
      <c r="H579" t="inlineStr">
        <is>
          <t>AUTO_VESSEL</t>
        </is>
      </c>
      <c r="I579" t="inlineStr">
        <is>
          <t>是</t>
        </is>
      </c>
      <c r="J579" t="inlineStr">
        <is>
          <t>纳入</t>
        </is>
      </c>
      <c r="K579" t="n">
        <v>126.2287334593573</v>
      </c>
      <c r="L579">
        <f>导管母表_860!G579</f>
        <v/>
      </c>
      <c r="M579" t="inlineStr">
        <is>
          <t>视野内部</t>
        </is>
      </c>
      <c r="N579" t="inlineStr">
        <is>
          <t>纳入A/D/Dh；若有Pair_ID则纳入CWR</t>
        </is>
      </c>
      <c r="O579" t="inlineStr">
        <is>
          <t>自动管线检出的合格导管腔。</t>
        </is>
      </c>
      <c r="P579" t="inlineStr">
        <is>
          <t>auto_pipeline;review_png_green</t>
        </is>
      </c>
      <c r="R579" t="inlineStr">
        <is>
          <t>样品56</t>
        </is>
      </c>
    </row>
    <row r="580">
      <c r="A580" t="inlineStr">
        <is>
          <t>56(7)-V01</t>
        </is>
      </c>
      <c r="B580" t="inlineStr">
        <is>
          <t>56 (7).tif</t>
        </is>
      </c>
      <c r="C580" t="n">
        <v>441</v>
      </c>
      <c r="D580" t="n">
        <v>298</v>
      </c>
      <c r="E580" t="inlineStr">
        <is>
          <t>357,203,526,394</t>
        </is>
      </c>
      <c r="F580" t="n">
        <v>203</v>
      </c>
      <c r="G580" t="inlineStr">
        <is>
          <t>primary</t>
        </is>
      </c>
      <c r="H580" t="inlineStr">
        <is>
          <t>AUTO_VESSEL</t>
        </is>
      </c>
      <c r="I580" t="inlineStr">
        <is>
          <t>是</t>
        </is>
      </c>
      <c r="J580" t="inlineStr">
        <is>
          <t>纳入</t>
        </is>
      </c>
      <c r="K580" t="n">
        <v>1184.14461247637</v>
      </c>
      <c r="L580">
        <f>导管母表_860!G580</f>
        <v/>
      </c>
      <c r="M580" t="inlineStr">
        <is>
          <t>视野内部</t>
        </is>
      </c>
      <c r="N580" t="inlineStr">
        <is>
          <t>纳入A/D/Dh；若有Pair_ID则纳入CWR</t>
        </is>
      </c>
      <c r="O580" t="inlineStr">
        <is>
          <t>自动管线检出的合格导管腔。</t>
        </is>
      </c>
      <c r="P580" t="inlineStr">
        <is>
          <t>auto_pipeline;review_png_green</t>
        </is>
      </c>
      <c r="R580" t="inlineStr">
        <is>
          <t>样品56</t>
        </is>
      </c>
    </row>
    <row r="581">
      <c r="A581" t="inlineStr">
        <is>
          <t>56(7)-V02</t>
        </is>
      </c>
      <c r="B581" t="inlineStr">
        <is>
          <t>56 (7).tif</t>
        </is>
      </c>
      <c r="C581" t="n">
        <v>935</v>
      </c>
      <c r="D581" t="n">
        <v>240</v>
      </c>
      <c r="E581" t="inlineStr">
        <is>
          <t>850,148,1021,333</t>
        </is>
      </c>
      <c r="F581" t="n">
        <v>3</v>
      </c>
      <c r="G581" t="inlineStr">
        <is>
          <t>primary</t>
        </is>
      </c>
      <c r="H581" t="inlineStr">
        <is>
          <t>AUTO_VESSEL</t>
        </is>
      </c>
      <c r="I581" t="inlineStr">
        <is>
          <t>是</t>
        </is>
      </c>
      <c r="J581" t="inlineStr">
        <is>
          <t>纳入</t>
        </is>
      </c>
      <c r="K581" t="n">
        <v>1153.875236294896</v>
      </c>
      <c r="L581">
        <f>导管母表_860!G581</f>
        <v/>
      </c>
      <c r="M581" t="inlineStr">
        <is>
          <t>近边缘（&lt;25 px）</t>
        </is>
      </c>
      <c r="N581" t="inlineStr">
        <is>
          <t>纳入A/D/Dh；若有Pair_ID则纳入CWR</t>
        </is>
      </c>
      <c r="O581" t="inlineStr">
        <is>
          <t>自动管线检出的合格导管腔。</t>
        </is>
      </c>
      <c r="P581" t="inlineStr">
        <is>
          <t>auto_pipeline;review_png_green</t>
        </is>
      </c>
      <c r="R581" t="inlineStr">
        <is>
          <t>样品56</t>
        </is>
      </c>
    </row>
    <row r="582">
      <c r="A582" t="inlineStr">
        <is>
          <t>56(8)-V01</t>
        </is>
      </c>
      <c r="B582" t="inlineStr">
        <is>
          <t>56 (8).tif</t>
        </is>
      </c>
      <c r="C582" t="n">
        <v>531</v>
      </c>
      <c r="D582" t="n">
        <v>276</v>
      </c>
      <c r="E582" t="inlineStr">
        <is>
          <t>432,184,631,369</t>
        </is>
      </c>
      <c r="F582" t="n">
        <v>184</v>
      </c>
      <c r="G582" t="inlineStr">
        <is>
          <t>primary</t>
        </is>
      </c>
      <c r="H582" t="inlineStr">
        <is>
          <t>AUTO_VESSEL</t>
        </is>
      </c>
      <c r="I582" t="inlineStr">
        <is>
          <t>是</t>
        </is>
      </c>
      <c r="J582" t="inlineStr">
        <is>
          <t>纳入</t>
        </is>
      </c>
      <c r="K582" t="n">
        <v>1349.314744801512</v>
      </c>
      <c r="L582">
        <f>导管母表_860!G582</f>
        <v/>
      </c>
      <c r="M582" t="inlineStr">
        <is>
          <t>视野内部</t>
        </is>
      </c>
      <c r="N582" t="inlineStr">
        <is>
          <t>纳入A/D/Dh；若有Pair_ID则纳入CWR</t>
        </is>
      </c>
      <c r="O582" t="inlineStr">
        <is>
          <t>自动管线检出的合格导管腔。</t>
        </is>
      </c>
      <c r="P582" t="inlineStr">
        <is>
          <t>auto_pipeline;review_png_green</t>
        </is>
      </c>
      <c r="Q582" t="inlineStr">
        <is>
          <t>56(8)-P01</t>
        </is>
      </c>
      <c r="R582" t="inlineStr">
        <is>
          <t>样品56</t>
        </is>
      </c>
    </row>
    <row r="583">
      <c r="A583" t="inlineStr">
        <is>
          <t>56(8)-V02</t>
        </is>
      </c>
      <c r="B583" t="inlineStr">
        <is>
          <t>56 (8).tif</t>
        </is>
      </c>
      <c r="C583" t="n">
        <v>459</v>
      </c>
      <c r="D583" t="n">
        <v>459</v>
      </c>
      <c r="E583" t="inlineStr">
        <is>
          <t>374,377,545,542</t>
        </is>
      </c>
      <c r="F583" t="n">
        <v>226</v>
      </c>
      <c r="G583" t="inlineStr">
        <is>
          <t>primary</t>
        </is>
      </c>
      <c r="H583" t="inlineStr">
        <is>
          <t>AUTO_VESSEL</t>
        </is>
      </c>
      <c r="I583" t="inlineStr">
        <is>
          <t>是</t>
        </is>
      </c>
      <c r="J583" t="inlineStr">
        <is>
          <t>纳入</t>
        </is>
      </c>
      <c r="K583" t="n">
        <v>1030.789224952741</v>
      </c>
      <c r="L583">
        <f>导管母表_860!G583</f>
        <v/>
      </c>
      <c r="M583" t="inlineStr">
        <is>
          <t>视野内部</t>
        </is>
      </c>
      <c r="N583" t="inlineStr">
        <is>
          <t>纳入A/D/Dh；若有Pair_ID则纳入CWR</t>
        </is>
      </c>
      <c r="O583" t="inlineStr">
        <is>
          <t>自动管线检出的合格导管腔。</t>
        </is>
      </c>
      <c r="P583" t="inlineStr">
        <is>
          <t>auto_pipeline;review_png_green</t>
        </is>
      </c>
      <c r="Q583" t="inlineStr">
        <is>
          <t>56(8)-P01</t>
        </is>
      </c>
      <c r="R583" t="inlineStr">
        <is>
          <t>样品56</t>
        </is>
      </c>
    </row>
    <row r="584">
      <c r="A584" t="inlineStr">
        <is>
          <t>56(8)-V03</t>
        </is>
      </c>
      <c r="B584" t="inlineStr">
        <is>
          <t>56 (8).tif</t>
        </is>
      </c>
      <c r="C584" t="n">
        <v>61</v>
      </c>
      <c r="D584" t="n">
        <v>575</v>
      </c>
      <c r="E584" t="inlineStr">
        <is>
          <t>36,506,87,645</t>
        </is>
      </c>
      <c r="F584" t="n">
        <v>36</v>
      </c>
      <c r="G584" t="inlineStr">
        <is>
          <t>primary</t>
        </is>
      </c>
      <c r="H584" t="inlineStr">
        <is>
          <t>AUTO_VESSEL</t>
        </is>
      </c>
      <c r="I584" t="inlineStr">
        <is>
          <t>是</t>
        </is>
      </c>
      <c r="J584" t="inlineStr">
        <is>
          <t>纳入</t>
        </is>
      </c>
      <c r="K584" t="n">
        <v>229.1824196597354</v>
      </c>
      <c r="L584">
        <f>导管母表_860!G584</f>
        <v/>
      </c>
      <c r="M584" t="inlineStr">
        <is>
          <t>视野内部</t>
        </is>
      </c>
      <c r="N584" t="inlineStr">
        <is>
          <t>纳入A/D/Dh；若有Pair_ID则纳入CWR</t>
        </is>
      </c>
      <c r="O584" t="inlineStr">
        <is>
          <t>自动管线检出的合格导管腔。</t>
        </is>
      </c>
      <c r="P584" t="inlineStr">
        <is>
          <t>auto_pipeline;review_png_green</t>
        </is>
      </c>
      <c r="R584" t="inlineStr">
        <is>
          <t>样品56</t>
        </is>
      </c>
    </row>
    <row r="585">
      <c r="A585" t="inlineStr">
        <is>
          <t>56(8)-V04</t>
        </is>
      </c>
      <c r="B585" t="inlineStr">
        <is>
          <t>56 (8).tif</t>
        </is>
      </c>
      <c r="C585" t="n">
        <v>825</v>
      </c>
      <c r="D585" t="n">
        <v>522</v>
      </c>
      <c r="E585" t="inlineStr">
        <is>
          <t>797,487,854,558</t>
        </is>
      </c>
      <c r="F585" t="n">
        <v>170</v>
      </c>
      <c r="G585" t="inlineStr">
        <is>
          <t>primary</t>
        </is>
      </c>
      <c r="H585" t="inlineStr">
        <is>
          <t>AUTO_VESSEL</t>
        </is>
      </c>
      <c r="I585" t="inlineStr">
        <is>
          <t>是</t>
        </is>
      </c>
      <c r="J585" t="inlineStr">
        <is>
          <t>纳入</t>
        </is>
      </c>
      <c r="K585" t="n">
        <v>122.2117202268431</v>
      </c>
      <c r="L585">
        <f>导管母表_860!G585</f>
        <v/>
      </c>
      <c r="M585" t="inlineStr">
        <is>
          <t>视野内部</t>
        </is>
      </c>
      <c r="N585" t="inlineStr">
        <is>
          <t>纳入A/D/Dh；若有Pair_ID则纳入CWR</t>
        </is>
      </c>
      <c r="O585" t="inlineStr">
        <is>
          <t>自动管线检出的合格导管腔。</t>
        </is>
      </c>
      <c r="P585" t="inlineStr">
        <is>
          <t>auto_pipeline;review_png_green</t>
        </is>
      </c>
      <c r="R585" t="inlineStr">
        <is>
          <t>样品56</t>
        </is>
      </c>
    </row>
    <row r="586">
      <c r="A586" t="inlineStr">
        <is>
          <t>57(1)-V01</t>
        </is>
      </c>
      <c r="B586" t="inlineStr">
        <is>
          <t>57 (1).tif</t>
        </is>
      </c>
      <c r="C586" t="n">
        <v>717</v>
      </c>
      <c r="D586" t="n">
        <v>537</v>
      </c>
      <c r="E586" t="inlineStr">
        <is>
          <t>645,468,790,607</t>
        </is>
      </c>
      <c r="F586" t="n">
        <v>161</v>
      </c>
      <c r="G586" t="inlineStr">
        <is>
          <t>primary</t>
        </is>
      </c>
      <c r="H586" t="inlineStr">
        <is>
          <t>AUTO_VESSEL</t>
        </is>
      </c>
      <c r="I586" t="inlineStr">
        <is>
          <t>是</t>
        </is>
      </c>
      <c r="J586" t="inlineStr">
        <is>
          <t>纳入</t>
        </is>
      </c>
      <c r="K586" t="n">
        <v>721.8100189035916</v>
      </c>
      <c r="L586">
        <f>导管母表_860!G586</f>
        <v/>
      </c>
      <c r="M586" t="inlineStr">
        <is>
          <t>视野内部</t>
        </is>
      </c>
      <c r="N586" t="inlineStr">
        <is>
          <t>纳入A/D/Dh；若有Pair_ID则纳入CWR</t>
        </is>
      </c>
      <c r="O586" t="inlineStr">
        <is>
          <t>自动管线检出的合格导管腔。</t>
        </is>
      </c>
      <c r="P586" t="inlineStr">
        <is>
          <t>auto_pipeline;review_png_green</t>
        </is>
      </c>
      <c r="R586" t="inlineStr">
        <is>
          <t>样品57</t>
        </is>
      </c>
    </row>
    <row r="587">
      <c r="A587" t="inlineStr">
        <is>
          <t>57(1)-V02</t>
        </is>
      </c>
      <c r="B587" t="inlineStr">
        <is>
          <t>57 (1).tif</t>
        </is>
      </c>
      <c r="C587" t="n">
        <v>507</v>
      </c>
      <c r="D587" t="n">
        <v>278</v>
      </c>
      <c r="E587" t="inlineStr">
        <is>
          <t>438,217,577,340</t>
        </is>
      </c>
      <c r="F587" t="n">
        <v>217</v>
      </c>
      <c r="G587" t="inlineStr">
        <is>
          <t>primary</t>
        </is>
      </c>
      <c r="H587" t="inlineStr">
        <is>
          <t>AUTO_VESSEL</t>
        </is>
      </c>
      <c r="I587" t="inlineStr">
        <is>
          <t>是</t>
        </is>
      </c>
      <c r="J587" t="inlineStr">
        <is>
          <t>纳入</t>
        </is>
      </c>
      <c r="K587" t="n">
        <v>623.2514177693762</v>
      </c>
      <c r="L587">
        <f>导管母表_860!G587</f>
        <v/>
      </c>
      <c r="M587" t="inlineStr">
        <is>
          <t>视野内部</t>
        </is>
      </c>
      <c r="N587" t="inlineStr">
        <is>
          <t>纳入A/D/Dh；若有Pair_ID则纳入CWR</t>
        </is>
      </c>
      <c r="O587" t="inlineStr">
        <is>
          <t>自动管线检出的合格导管腔。</t>
        </is>
      </c>
      <c r="P587" t="inlineStr">
        <is>
          <t>auto_pipeline;review_png_green</t>
        </is>
      </c>
      <c r="R587" t="inlineStr">
        <is>
          <t>样品57</t>
        </is>
      </c>
    </row>
    <row r="588">
      <c r="A588" t="inlineStr">
        <is>
          <t>57(1)-V03</t>
        </is>
      </c>
      <c r="B588" t="inlineStr">
        <is>
          <t>57 (1).tif</t>
        </is>
      </c>
      <c r="C588" t="n">
        <v>288</v>
      </c>
      <c r="D588" t="n">
        <v>414</v>
      </c>
      <c r="E588" t="inlineStr">
        <is>
          <t>253,354,324,475</t>
        </is>
      </c>
      <c r="F588" t="n">
        <v>253</v>
      </c>
      <c r="G588" t="inlineStr">
        <is>
          <t>primary</t>
        </is>
      </c>
      <c r="H588" t="inlineStr">
        <is>
          <t>AUTO_VESSEL</t>
        </is>
      </c>
      <c r="I588" t="inlineStr">
        <is>
          <t>是</t>
        </is>
      </c>
      <c r="J588" t="inlineStr">
        <is>
          <t>纳入</t>
        </is>
      </c>
      <c r="K588" t="n">
        <v>261.8383742911153</v>
      </c>
      <c r="L588">
        <f>导管母表_860!G588</f>
        <v/>
      </c>
      <c r="M588" t="inlineStr">
        <is>
          <t>视野内部</t>
        </is>
      </c>
      <c r="N588" t="inlineStr">
        <is>
          <t>纳入A/D/Dh；若有Pair_ID则纳入CWR</t>
        </is>
      </c>
      <c r="O588" t="inlineStr">
        <is>
          <t>自动管线检出的合格导管腔。</t>
        </is>
      </c>
      <c r="P588" t="inlineStr">
        <is>
          <t>auto_pipeline;review_png_green</t>
        </is>
      </c>
      <c r="R588" t="inlineStr">
        <is>
          <t>样品57</t>
        </is>
      </c>
    </row>
    <row r="589">
      <c r="A589" t="inlineStr">
        <is>
          <t>57(2)-V01</t>
        </is>
      </c>
      <c r="B589" t="inlineStr">
        <is>
          <t>57 (2).tif</t>
        </is>
      </c>
      <c r="C589" t="n">
        <v>547</v>
      </c>
      <c r="D589" t="n">
        <v>204</v>
      </c>
      <c r="E589" t="inlineStr">
        <is>
          <t>456,127,639,282</t>
        </is>
      </c>
      <c r="F589" t="n">
        <v>127</v>
      </c>
      <c r="G589" t="inlineStr">
        <is>
          <t>primary</t>
        </is>
      </c>
      <c r="H589" t="inlineStr">
        <is>
          <t>AUTO_VESSEL</t>
        </is>
      </c>
      <c r="I589" t="inlineStr">
        <is>
          <t>是</t>
        </is>
      </c>
      <c r="J589" t="inlineStr">
        <is>
          <t>纳入</t>
        </is>
      </c>
      <c r="K589" t="n">
        <v>1037.665406427221</v>
      </c>
      <c r="L589">
        <f>导管母表_860!G589</f>
        <v/>
      </c>
      <c r="M589" t="inlineStr">
        <is>
          <t>视野内部</t>
        </is>
      </c>
      <c r="N589" t="inlineStr">
        <is>
          <t>纳入A/D/Dh；若有Pair_ID则纳入CWR</t>
        </is>
      </c>
      <c r="O589" t="inlineStr">
        <is>
          <t>自动管线检出的合格导管腔。</t>
        </is>
      </c>
      <c r="P589" t="inlineStr">
        <is>
          <t>auto_pipeline;review_png_green</t>
        </is>
      </c>
      <c r="R589" t="inlineStr">
        <is>
          <t>样品57</t>
        </is>
      </c>
    </row>
    <row r="590">
      <c r="A590" t="inlineStr">
        <is>
          <t>57(2)-V02</t>
        </is>
      </c>
      <c r="B590" t="inlineStr">
        <is>
          <t>57 (2).tif</t>
        </is>
      </c>
      <c r="C590" t="n">
        <v>499</v>
      </c>
      <c r="D590" t="n">
        <v>360</v>
      </c>
      <c r="E590" t="inlineStr">
        <is>
          <t>409,285,590,436</t>
        </is>
      </c>
      <c r="F590" t="n">
        <v>285</v>
      </c>
      <c r="G590" t="inlineStr">
        <is>
          <t>primary</t>
        </is>
      </c>
      <c r="H590" t="inlineStr">
        <is>
          <t>AUTO_VESSEL</t>
        </is>
      </c>
      <c r="I590" t="inlineStr">
        <is>
          <t>是</t>
        </is>
      </c>
      <c r="J590" t="inlineStr">
        <is>
          <t>纳入</t>
        </is>
      </c>
      <c r="K590" t="n">
        <v>926.2287334593573</v>
      </c>
      <c r="L590">
        <f>导管母表_860!G590</f>
        <v/>
      </c>
      <c r="M590" t="inlineStr">
        <is>
          <t>视野内部</t>
        </is>
      </c>
      <c r="N590" t="inlineStr">
        <is>
          <t>纳入A/D/Dh；若有Pair_ID则纳入CWR</t>
        </is>
      </c>
      <c r="O590" t="inlineStr">
        <is>
          <t>自动管线检出的合格导管腔。</t>
        </is>
      </c>
      <c r="P590" t="inlineStr">
        <is>
          <t>auto_pipeline;review_png_green</t>
        </is>
      </c>
      <c r="R590" t="inlineStr">
        <is>
          <t>样品57</t>
        </is>
      </c>
    </row>
    <row r="591">
      <c r="A591" t="inlineStr">
        <is>
          <t>57(2)-V03</t>
        </is>
      </c>
      <c r="B591" t="inlineStr">
        <is>
          <t>57 (2).tif</t>
        </is>
      </c>
      <c r="C591" t="n">
        <v>784</v>
      </c>
      <c r="D591" t="n">
        <v>267</v>
      </c>
      <c r="E591" t="inlineStr">
        <is>
          <t>724,208,845,327</t>
        </is>
      </c>
      <c r="F591" t="n">
        <v>179</v>
      </c>
      <c r="G591" t="inlineStr">
        <is>
          <t>primary</t>
        </is>
      </c>
      <c r="H591" t="inlineStr">
        <is>
          <t>AUTO_VESSEL</t>
        </is>
      </c>
      <c r="I591" t="inlineStr">
        <is>
          <t>是</t>
        </is>
      </c>
      <c r="J591" t="inlineStr">
        <is>
          <t>纳入</t>
        </is>
      </c>
      <c r="K591" t="n">
        <v>523.5822306238185</v>
      </c>
      <c r="L591">
        <f>导管母表_860!G591</f>
        <v/>
      </c>
      <c r="M591" t="inlineStr">
        <is>
          <t>视野内部</t>
        </is>
      </c>
      <c r="N591" t="inlineStr">
        <is>
          <t>纳入A/D/Dh；若有Pair_ID则纳入CWR</t>
        </is>
      </c>
      <c r="O591" t="inlineStr">
        <is>
          <t>自动管线检出的合格导管腔。</t>
        </is>
      </c>
      <c r="P591" t="inlineStr">
        <is>
          <t>auto_pipeline;review_png_green</t>
        </is>
      </c>
      <c r="R591" t="inlineStr">
        <is>
          <t>样品57</t>
        </is>
      </c>
    </row>
    <row r="592">
      <c r="A592" t="inlineStr">
        <is>
          <t>57(2)-V04</t>
        </is>
      </c>
      <c r="B592" t="inlineStr">
        <is>
          <t>57 (2).tif</t>
        </is>
      </c>
      <c r="C592" t="n">
        <v>370</v>
      </c>
      <c r="D592" t="n">
        <v>431</v>
      </c>
      <c r="E592" t="inlineStr">
        <is>
          <t>304,385,437,478</t>
        </is>
      </c>
      <c r="F592" t="n">
        <v>290</v>
      </c>
      <c r="G592" t="inlineStr">
        <is>
          <t>primary</t>
        </is>
      </c>
      <c r="H592" t="inlineStr">
        <is>
          <t>AUTO_VESSEL</t>
        </is>
      </c>
      <c r="I592" t="inlineStr">
        <is>
          <t>是</t>
        </is>
      </c>
      <c r="J592" t="inlineStr">
        <is>
          <t>纳入</t>
        </is>
      </c>
      <c r="K592" t="n">
        <v>447.9914933837429</v>
      </c>
      <c r="L592">
        <f>导管母表_860!G592</f>
        <v/>
      </c>
      <c r="M592" t="inlineStr">
        <is>
          <t>视野内部</t>
        </is>
      </c>
      <c r="N592" t="inlineStr">
        <is>
          <t>纳入A/D/Dh；若有Pair_ID则纳入CWR</t>
        </is>
      </c>
      <c r="O592" t="inlineStr">
        <is>
          <t>自动管线检出的合格导管腔。</t>
        </is>
      </c>
      <c r="P592" t="inlineStr">
        <is>
          <t>auto_pipeline;review_png_green</t>
        </is>
      </c>
      <c r="R592" t="inlineStr">
        <is>
          <t>样品57</t>
        </is>
      </c>
    </row>
    <row r="593">
      <c r="A593" t="inlineStr">
        <is>
          <t>57(2)-V05</t>
        </is>
      </c>
      <c r="B593" t="inlineStr">
        <is>
          <t>57 (2).tif</t>
        </is>
      </c>
      <c r="C593" t="n">
        <v>388</v>
      </c>
      <c r="D593" t="n">
        <v>163</v>
      </c>
      <c r="E593" t="inlineStr">
        <is>
          <t>335,114,442,213</t>
        </is>
      </c>
      <c r="F593" t="n">
        <v>114</v>
      </c>
      <c r="G593" t="inlineStr">
        <is>
          <t>primary</t>
        </is>
      </c>
      <c r="H593" t="inlineStr">
        <is>
          <t>AUTO_VESSEL</t>
        </is>
      </c>
      <c r="I593" t="inlineStr">
        <is>
          <t>是</t>
        </is>
      </c>
      <c r="J593" t="inlineStr">
        <is>
          <t>纳入</t>
        </is>
      </c>
      <c r="K593" t="n">
        <v>353.1663516068053</v>
      </c>
      <c r="L593">
        <f>导管母表_860!G593</f>
        <v/>
      </c>
      <c r="M593" t="inlineStr">
        <is>
          <t>视野内部</t>
        </is>
      </c>
      <c r="N593" t="inlineStr">
        <is>
          <t>纳入A/D/Dh；若有Pair_ID则纳入CWR</t>
        </is>
      </c>
      <c r="O593" t="inlineStr">
        <is>
          <t>自动管线检出的合格导管腔。</t>
        </is>
      </c>
      <c r="P593" t="inlineStr">
        <is>
          <t>auto_pipeline;review_png_green</t>
        </is>
      </c>
      <c r="R593" t="inlineStr">
        <is>
          <t>样品57</t>
        </is>
      </c>
    </row>
    <row r="594">
      <c r="A594" t="inlineStr">
        <is>
          <t>57(2)-V06</t>
        </is>
      </c>
      <c r="B594" t="inlineStr">
        <is>
          <t>57 (2).tif</t>
        </is>
      </c>
      <c r="C594" t="n">
        <v>954</v>
      </c>
      <c r="D594" t="n">
        <v>614</v>
      </c>
      <c r="E594" t="inlineStr">
        <is>
          <t>897,576,1012,653</t>
        </is>
      </c>
      <c r="F594" t="n">
        <v>12</v>
      </c>
      <c r="G594" t="inlineStr">
        <is>
          <t>primary</t>
        </is>
      </c>
      <c r="H594" t="inlineStr">
        <is>
          <t>AUTO_VESSEL</t>
        </is>
      </c>
      <c r="I594" t="inlineStr">
        <is>
          <t>是</t>
        </is>
      </c>
      <c r="J594" t="inlineStr">
        <is>
          <t>纳入</t>
        </is>
      </c>
      <c r="K594" t="n">
        <v>321.6209829867675</v>
      </c>
      <c r="L594">
        <f>导管母表_860!G594</f>
        <v/>
      </c>
      <c r="M594" t="inlineStr">
        <is>
          <t>近边缘（&lt;25 px）</t>
        </is>
      </c>
      <c r="N594" t="inlineStr">
        <is>
          <t>纳入A/D/Dh；若有Pair_ID则纳入CWR</t>
        </is>
      </c>
      <c r="O594" t="inlineStr">
        <is>
          <t>自动管线检出的合格导管腔。</t>
        </is>
      </c>
      <c r="P594" t="inlineStr">
        <is>
          <t>auto_pipeline;review_png_green</t>
        </is>
      </c>
      <c r="R594" t="inlineStr">
        <is>
          <t>样品57</t>
        </is>
      </c>
    </row>
    <row r="595">
      <c r="A595" t="inlineStr">
        <is>
          <t>57(3)-V01</t>
        </is>
      </c>
      <c r="B595" t="inlineStr">
        <is>
          <t>57 (3).tif</t>
        </is>
      </c>
      <c r="C595" t="n">
        <v>279</v>
      </c>
      <c r="D595" t="n">
        <v>198</v>
      </c>
      <c r="E595" t="inlineStr">
        <is>
          <t>215,126,344,271</t>
        </is>
      </c>
      <c r="F595" t="n">
        <v>126</v>
      </c>
      <c r="G595" t="inlineStr">
        <is>
          <t>primary</t>
        </is>
      </c>
      <c r="H595" t="inlineStr">
        <is>
          <t>AUTO_VESSEL</t>
        </is>
      </c>
      <c r="I595" t="inlineStr">
        <is>
          <t>是</t>
        </is>
      </c>
      <c r="J595" t="inlineStr">
        <is>
          <t>纳入</t>
        </is>
      </c>
      <c r="K595" t="n">
        <v>669.7778827977315</v>
      </c>
      <c r="L595">
        <f>导管母表_860!G595</f>
        <v/>
      </c>
      <c r="M595" t="inlineStr">
        <is>
          <t>视野内部</t>
        </is>
      </c>
      <c r="N595" t="inlineStr">
        <is>
          <t>纳入A/D/Dh；若有Pair_ID则纳入CWR</t>
        </is>
      </c>
      <c r="O595" t="inlineStr">
        <is>
          <t>自动管线检出的合格导管腔。</t>
        </is>
      </c>
      <c r="P595" t="inlineStr">
        <is>
          <t>auto_pipeline;review_png_green</t>
        </is>
      </c>
      <c r="R595" t="inlineStr">
        <is>
          <t>样品57</t>
        </is>
      </c>
    </row>
    <row r="596">
      <c r="A596" t="inlineStr">
        <is>
          <t>57(3)-V02</t>
        </is>
      </c>
      <c r="B596" t="inlineStr">
        <is>
          <t>57 (3).tif</t>
        </is>
      </c>
      <c r="C596" t="n">
        <v>894</v>
      </c>
      <c r="D596" t="n">
        <v>183</v>
      </c>
      <c r="E596" t="inlineStr">
        <is>
          <t>835,116,954,251</t>
        </is>
      </c>
      <c r="F596" t="n">
        <v>70</v>
      </c>
      <c r="G596" t="inlineStr">
        <is>
          <t>primary</t>
        </is>
      </c>
      <c r="H596" t="inlineStr">
        <is>
          <t>AUTO_VESSEL</t>
        </is>
      </c>
      <c r="I596" t="inlineStr">
        <is>
          <t>是</t>
        </is>
      </c>
      <c r="J596" t="inlineStr">
        <is>
          <t>纳入</t>
        </is>
      </c>
      <c r="K596" t="n">
        <v>584.0737240075614</v>
      </c>
      <c r="L596">
        <f>导管母表_860!G596</f>
        <v/>
      </c>
      <c r="M596" t="inlineStr">
        <is>
          <t>视野内部</t>
        </is>
      </c>
      <c r="N596" t="inlineStr">
        <is>
          <t>纳入A/D/Dh；若有Pair_ID则纳入CWR</t>
        </is>
      </c>
      <c r="O596" t="inlineStr">
        <is>
          <t>自动管线检出的合格导管腔。</t>
        </is>
      </c>
      <c r="P596" t="inlineStr">
        <is>
          <t>auto_pipeline;review_png_green</t>
        </is>
      </c>
      <c r="R596" t="inlineStr">
        <is>
          <t>样品57</t>
        </is>
      </c>
    </row>
    <row r="597">
      <c r="A597" t="inlineStr">
        <is>
          <t>57(3)-V03</t>
        </is>
      </c>
      <c r="B597" t="inlineStr">
        <is>
          <t>57 (3).tif</t>
        </is>
      </c>
      <c r="C597" t="n">
        <v>108</v>
      </c>
      <c r="D597" t="n">
        <v>216</v>
      </c>
      <c r="E597" t="inlineStr">
        <is>
          <t>53,152,164,281</t>
        </is>
      </c>
      <c r="F597" t="n">
        <v>53</v>
      </c>
      <c r="G597" t="inlineStr">
        <is>
          <t>primary</t>
        </is>
      </c>
      <c r="H597" t="inlineStr">
        <is>
          <t>AUTO_VESSEL</t>
        </is>
      </c>
      <c r="I597" t="inlineStr">
        <is>
          <t>是</t>
        </is>
      </c>
      <c r="J597" t="inlineStr">
        <is>
          <t>纳入</t>
        </is>
      </c>
      <c r="K597" t="n">
        <v>510.5151228733459</v>
      </c>
      <c r="L597">
        <f>导管母表_860!G597</f>
        <v/>
      </c>
      <c r="M597" t="inlineStr">
        <is>
          <t>视野内部</t>
        </is>
      </c>
      <c r="N597" t="inlineStr">
        <is>
          <t>纳入A/D/Dh；若有Pair_ID则纳入CWR</t>
        </is>
      </c>
      <c r="O597" t="inlineStr">
        <is>
          <t>自动管线检出的合格导管腔。</t>
        </is>
      </c>
      <c r="P597" t="inlineStr">
        <is>
          <t>auto_pipeline;review_png_green</t>
        </is>
      </c>
      <c r="R597" t="inlineStr">
        <is>
          <t>样品57</t>
        </is>
      </c>
    </row>
    <row r="598">
      <c r="A598" t="inlineStr">
        <is>
          <t>57(3)-V04</t>
        </is>
      </c>
      <c r="B598" t="inlineStr">
        <is>
          <t>57 (3).tif</t>
        </is>
      </c>
      <c r="C598" t="n">
        <v>472</v>
      </c>
      <c r="D598" t="n">
        <v>348</v>
      </c>
      <c r="E598" t="inlineStr">
        <is>
          <t>417,287,528,410</t>
        </is>
      </c>
      <c r="F598" t="n">
        <v>287</v>
      </c>
      <c r="G598" t="inlineStr">
        <is>
          <t>primary</t>
        </is>
      </c>
      <c r="H598" t="inlineStr">
        <is>
          <t>AUTO_VESSEL</t>
        </is>
      </c>
      <c r="I598" t="inlineStr">
        <is>
          <t>是</t>
        </is>
      </c>
      <c r="J598" t="inlineStr">
        <is>
          <t>纳入</t>
        </is>
      </c>
      <c r="K598" t="n">
        <v>498.5822306238185</v>
      </c>
      <c r="L598">
        <f>导管母表_860!G598</f>
        <v/>
      </c>
      <c r="M598" t="inlineStr">
        <is>
          <t>视野内部</t>
        </is>
      </c>
      <c r="N598" t="inlineStr">
        <is>
          <t>纳入A/D/Dh；若有Pair_ID则纳入CWR</t>
        </is>
      </c>
      <c r="O598" t="inlineStr">
        <is>
          <t>自动管线检出的合格导管腔。</t>
        </is>
      </c>
      <c r="P598" t="inlineStr">
        <is>
          <t>auto_pipeline;review_png_green</t>
        </is>
      </c>
      <c r="R598" t="inlineStr">
        <is>
          <t>样品57</t>
        </is>
      </c>
    </row>
    <row r="599">
      <c r="A599" t="inlineStr">
        <is>
          <t>57(3)-V05</t>
        </is>
      </c>
      <c r="B599" t="inlineStr">
        <is>
          <t>57 (3).tif</t>
        </is>
      </c>
      <c r="C599" t="n">
        <v>311</v>
      </c>
      <c r="D599" t="n">
        <v>452</v>
      </c>
      <c r="E599" t="inlineStr">
        <is>
          <t>276,412,347,493</t>
        </is>
      </c>
      <c r="F599" t="n">
        <v>275</v>
      </c>
      <c r="G599" t="inlineStr">
        <is>
          <t>primary</t>
        </is>
      </c>
      <c r="H599" t="inlineStr">
        <is>
          <t>AUTO_VESSEL</t>
        </is>
      </c>
      <c r="I599" t="inlineStr">
        <is>
          <t>是</t>
        </is>
      </c>
      <c r="J599" t="inlineStr">
        <is>
          <t>纳入</t>
        </is>
      </c>
      <c r="K599" t="n">
        <v>208.2939508506616</v>
      </c>
      <c r="L599">
        <f>导管母表_860!G599</f>
        <v/>
      </c>
      <c r="M599" t="inlineStr">
        <is>
          <t>视野内部</t>
        </is>
      </c>
      <c r="N599" t="inlineStr">
        <is>
          <t>纳入A/D/Dh；若有Pair_ID则纳入CWR</t>
        </is>
      </c>
      <c r="O599" t="inlineStr">
        <is>
          <t>自动管线检出的合格导管腔。</t>
        </is>
      </c>
      <c r="P599" t="inlineStr">
        <is>
          <t>auto_pipeline;review_png_green</t>
        </is>
      </c>
      <c r="R599" t="inlineStr">
        <is>
          <t>样品57</t>
        </is>
      </c>
    </row>
    <row r="600">
      <c r="A600" t="inlineStr">
        <is>
          <t>57(3)-V06</t>
        </is>
      </c>
      <c r="B600" t="inlineStr">
        <is>
          <t>57 (3).tif</t>
        </is>
      </c>
      <c r="C600" t="n">
        <v>374</v>
      </c>
      <c r="D600" t="n">
        <v>513</v>
      </c>
      <c r="E600" t="inlineStr">
        <is>
          <t>342,474,407,553</t>
        </is>
      </c>
      <c r="F600" t="n">
        <v>215</v>
      </c>
      <c r="G600" t="inlineStr">
        <is>
          <t>primary</t>
        </is>
      </c>
      <c r="H600" t="inlineStr">
        <is>
          <t>AUTO_VESSEL</t>
        </is>
      </c>
      <c r="I600" t="inlineStr">
        <is>
          <t>是</t>
        </is>
      </c>
      <c r="J600" t="inlineStr">
        <is>
          <t>纳入</t>
        </is>
      </c>
      <c r="K600" t="n">
        <v>184.3809073724008</v>
      </c>
      <c r="L600">
        <f>导管母表_860!G600</f>
        <v/>
      </c>
      <c r="M600" t="inlineStr">
        <is>
          <t>视野内部</t>
        </is>
      </c>
      <c r="N600" t="inlineStr">
        <is>
          <t>纳入A/D/Dh；若有Pair_ID则纳入CWR</t>
        </is>
      </c>
      <c r="O600" t="inlineStr">
        <is>
          <t>自动管线检出的合格导管腔。</t>
        </is>
      </c>
      <c r="P600" t="inlineStr">
        <is>
          <t>auto_pipeline;review_png_green</t>
        </is>
      </c>
      <c r="R600" t="inlineStr">
        <is>
          <t>样品57</t>
        </is>
      </c>
    </row>
    <row r="601">
      <c r="A601" t="inlineStr">
        <is>
          <t>57(4)-V01</t>
        </is>
      </c>
      <c r="B601" t="inlineStr">
        <is>
          <t>57 (4).tif</t>
        </is>
      </c>
      <c r="C601" t="n">
        <v>456</v>
      </c>
      <c r="D601" t="n">
        <v>289</v>
      </c>
      <c r="E601" t="inlineStr">
        <is>
          <t>359,203,554,376</t>
        </is>
      </c>
      <c r="F601" t="n">
        <v>203</v>
      </c>
      <c r="G601" t="inlineStr">
        <is>
          <t>primary</t>
        </is>
      </c>
      <c r="H601" t="inlineStr">
        <is>
          <t>AUTO_VESSEL</t>
        </is>
      </c>
      <c r="I601" t="inlineStr">
        <is>
          <t>是</t>
        </is>
      </c>
      <c r="J601" t="inlineStr">
        <is>
          <t>纳入</t>
        </is>
      </c>
      <c r="K601" t="n">
        <v>1233.624763705104</v>
      </c>
      <c r="L601">
        <f>导管母表_860!G601</f>
        <v/>
      </c>
      <c r="M601" t="inlineStr">
        <is>
          <t>视野内部</t>
        </is>
      </c>
      <c r="N601" t="inlineStr">
        <is>
          <t>纳入A/D/Dh；若有Pair_ID则纳入CWR</t>
        </is>
      </c>
      <c r="O601" t="inlineStr">
        <is>
          <t>自动管线检出的合格导管腔。</t>
        </is>
      </c>
      <c r="P601" t="inlineStr">
        <is>
          <t>auto_pipeline;review_png_green</t>
        </is>
      </c>
      <c r="R601" t="inlineStr">
        <is>
          <t>样品57</t>
        </is>
      </c>
    </row>
    <row r="602">
      <c r="A602" t="inlineStr">
        <is>
          <t>57(4)-V02</t>
        </is>
      </c>
      <c r="B602" t="inlineStr">
        <is>
          <t>57 (4).tif</t>
        </is>
      </c>
      <c r="C602" t="n">
        <v>936</v>
      </c>
      <c r="D602" t="n">
        <v>377</v>
      </c>
      <c r="E602" t="inlineStr">
        <is>
          <t>859,285,1014,470</t>
        </is>
      </c>
      <c r="F602" t="n">
        <v>10</v>
      </c>
      <c r="G602" t="inlineStr">
        <is>
          <t>primary</t>
        </is>
      </c>
      <c r="H602" t="inlineStr">
        <is>
          <t>AUTO_VESSEL</t>
        </is>
      </c>
      <c r="I602" t="inlineStr">
        <is>
          <t>是</t>
        </is>
      </c>
      <c r="J602" t="inlineStr">
        <is>
          <t>纳入</t>
        </is>
      </c>
      <c r="K602" t="n">
        <v>1051.79584120983</v>
      </c>
      <c r="L602">
        <f>导管母表_860!G602</f>
        <v/>
      </c>
      <c r="M602" t="inlineStr">
        <is>
          <t>近边缘（&lt;25 px）</t>
        </is>
      </c>
      <c r="N602" t="inlineStr">
        <is>
          <t>纳入A/D/Dh；若有Pair_ID则纳入CWR</t>
        </is>
      </c>
      <c r="O602" t="inlineStr">
        <is>
          <t>自动管线检出的合格导管腔。</t>
        </is>
      </c>
      <c r="P602" t="inlineStr">
        <is>
          <t>auto_pipeline;review_png_green</t>
        </is>
      </c>
      <c r="R602" t="inlineStr">
        <is>
          <t>样品57</t>
        </is>
      </c>
    </row>
    <row r="603">
      <c r="A603" t="inlineStr">
        <is>
          <t>57(4)-V03</t>
        </is>
      </c>
      <c r="B603" t="inlineStr">
        <is>
          <t>57 (4).tif</t>
        </is>
      </c>
      <c r="C603" t="n">
        <v>521</v>
      </c>
      <c r="D603" t="n">
        <v>460</v>
      </c>
      <c r="E603" t="inlineStr">
        <is>
          <t>441,389,602,532</t>
        </is>
      </c>
      <c r="F603" t="n">
        <v>236</v>
      </c>
      <c r="G603" t="inlineStr">
        <is>
          <t>primary</t>
        </is>
      </c>
      <c r="H603" t="inlineStr">
        <is>
          <t>AUTO_VESSEL</t>
        </is>
      </c>
      <c r="I603" t="inlineStr">
        <is>
          <t>是</t>
        </is>
      </c>
      <c r="J603" t="inlineStr">
        <is>
          <t>纳入</t>
        </is>
      </c>
      <c r="K603" t="n">
        <v>842.9347826086956</v>
      </c>
      <c r="L603">
        <f>导管母表_860!G603</f>
        <v/>
      </c>
      <c r="M603" t="inlineStr">
        <is>
          <t>视野内部</t>
        </is>
      </c>
      <c r="N603" t="inlineStr">
        <is>
          <t>纳入A/D/Dh；若有Pair_ID则纳入CWR</t>
        </is>
      </c>
      <c r="O603" t="inlineStr">
        <is>
          <t>自动管线检出的合格导管腔。</t>
        </is>
      </c>
      <c r="P603" t="inlineStr">
        <is>
          <t>auto_pipeline;review_png_green</t>
        </is>
      </c>
      <c r="R603" t="inlineStr">
        <is>
          <t>样品57</t>
        </is>
      </c>
    </row>
    <row r="604">
      <c r="A604" t="inlineStr">
        <is>
          <t>57(4)-V04</t>
        </is>
      </c>
      <c r="B604" t="inlineStr">
        <is>
          <t>57 (4).tif</t>
        </is>
      </c>
      <c r="C604" t="n">
        <v>91</v>
      </c>
      <c r="D604" t="n">
        <v>344</v>
      </c>
      <c r="E604" t="inlineStr">
        <is>
          <t>25,284,158,405</t>
        </is>
      </c>
      <c r="F604" t="n">
        <v>25</v>
      </c>
      <c r="G604" t="inlineStr">
        <is>
          <t>primary</t>
        </is>
      </c>
      <c r="H604" t="inlineStr">
        <is>
          <t>AUTO_VESSEL</t>
        </is>
      </c>
      <c r="I604" t="inlineStr">
        <is>
          <t>是</t>
        </is>
      </c>
      <c r="J604" t="inlineStr">
        <is>
          <t>纳入</t>
        </is>
      </c>
      <c r="K604" t="n">
        <v>586.1531190926275</v>
      </c>
      <c r="L604">
        <f>导管母表_860!G604</f>
        <v/>
      </c>
      <c r="M604" t="inlineStr">
        <is>
          <t>视野内部</t>
        </is>
      </c>
      <c r="N604" t="inlineStr">
        <is>
          <t>纳入A/D/Dh；若有Pair_ID则纳入CWR</t>
        </is>
      </c>
      <c r="O604" t="inlineStr">
        <is>
          <t>自动管线检出的合格导管腔。</t>
        </is>
      </c>
      <c r="P604" t="inlineStr">
        <is>
          <t>auto_pipeline;review_png_green</t>
        </is>
      </c>
      <c r="R604" t="inlineStr">
        <is>
          <t>样品57</t>
        </is>
      </c>
    </row>
    <row r="605">
      <c r="A605" t="inlineStr">
        <is>
          <t>57(4)-V05</t>
        </is>
      </c>
      <c r="B605" t="inlineStr">
        <is>
          <t>57 (4).tif</t>
        </is>
      </c>
      <c r="C605" t="n">
        <v>598</v>
      </c>
      <c r="D605" t="n">
        <v>123</v>
      </c>
      <c r="E605" t="inlineStr">
        <is>
          <t>535,78,662,169</t>
        </is>
      </c>
      <c r="F605" t="n">
        <v>78</v>
      </c>
      <c r="G605" t="inlineStr">
        <is>
          <t>primary</t>
        </is>
      </c>
      <c r="H605" t="inlineStr">
        <is>
          <t>AUTO_VESSEL</t>
        </is>
      </c>
      <c r="I605" t="inlineStr">
        <is>
          <t>是</t>
        </is>
      </c>
      <c r="J605" t="inlineStr">
        <is>
          <t>纳入</t>
        </is>
      </c>
      <c r="K605" t="n">
        <v>420.7939508506616</v>
      </c>
      <c r="L605">
        <f>导管母表_860!G605</f>
        <v/>
      </c>
      <c r="M605" t="inlineStr">
        <is>
          <t>视野内部</t>
        </is>
      </c>
      <c r="N605" t="inlineStr">
        <is>
          <t>纳入A/D/Dh；若有Pair_ID则纳入CWR</t>
        </is>
      </c>
      <c r="O605" t="inlineStr">
        <is>
          <t>自动管线检出的合格导管腔。</t>
        </is>
      </c>
      <c r="P605" t="inlineStr">
        <is>
          <t>auto_pipeline;review_png_green</t>
        </is>
      </c>
      <c r="R605" t="inlineStr">
        <is>
          <t>样品57</t>
        </is>
      </c>
    </row>
    <row r="606">
      <c r="A606" t="inlineStr">
        <is>
          <t>57(4)-V06</t>
        </is>
      </c>
      <c r="B606" t="inlineStr">
        <is>
          <t>57 (4).tif</t>
        </is>
      </c>
      <c r="C606" t="n">
        <v>277</v>
      </c>
      <c r="D606" t="n">
        <v>46</v>
      </c>
      <c r="E606" t="inlineStr">
        <is>
          <t>243,19,312,74</t>
        </is>
      </c>
      <c r="F606" t="n">
        <v>19</v>
      </c>
      <c r="G606" t="inlineStr">
        <is>
          <t>primary</t>
        </is>
      </c>
      <c r="H606" t="inlineStr">
        <is>
          <t>AUTO_VESSEL</t>
        </is>
      </c>
      <c r="I606" t="inlineStr">
        <is>
          <t>是</t>
        </is>
      </c>
      <c r="J606" t="inlineStr">
        <is>
          <t>纳入</t>
        </is>
      </c>
      <c r="K606" t="n">
        <v>135.0189035916824</v>
      </c>
      <c r="L606">
        <f>导管母表_860!G606</f>
        <v/>
      </c>
      <c r="M606" t="inlineStr">
        <is>
          <t>近边缘（&lt;25 px）</t>
        </is>
      </c>
      <c r="N606" t="inlineStr">
        <is>
          <t>纳入A/D/Dh；若有Pair_ID则纳入CWR</t>
        </is>
      </c>
      <c r="O606" t="inlineStr">
        <is>
          <t>自动管线检出的合格导管腔。</t>
        </is>
      </c>
      <c r="P606" t="inlineStr">
        <is>
          <t>auto_pipeline;review_png_green</t>
        </is>
      </c>
      <c r="R606" t="inlineStr">
        <is>
          <t>样品57</t>
        </is>
      </c>
    </row>
    <row r="607">
      <c r="A607" t="inlineStr">
        <is>
          <t>57(5)-V01</t>
        </is>
      </c>
      <c r="B607" t="inlineStr">
        <is>
          <t>57 (5).tif</t>
        </is>
      </c>
      <c r="C607" t="n">
        <v>469</v>
      </c>
      <c r="D607" t="n">
        <v>315</v>
      </c>
      <c r="E607" t="inlineStr">
        <is>
          <t>402,256,537,375</t>
        </is>
      </c>
      <c r="F607" t="n">
        <v>256</v>
      </c>
      <c r="G607" t="inlineStr">
        <is>
          <t>primary</t>
        </is>
      </c>
      <c r="H607" t="inlineStr">
        <is>
          <t>AUTO_VESSEL</t>
        </is>
      </c>
      <c r="I607" t="inlineStr">
        <is>
          <t>是</t>
        </is>
      </c>
      <c r="J607" t="inlineStr">
        <is>
          <t>纳入</t>
        </is>
      </c>
      <c r="K607" t="n">
        <v>586.2948960302457</v>
      </c>
      <c r="L607">
        <f>导管母表_860!G607</f>
        <v/>
      </c>
      <c r="M607" t="inlineStr">
        <is>
          <t>视野内部</t>
        </is>
      </c>
      <c r="N607" t="inlineStr">
        <is>
          <t>纳入A/D/Dh；若有Pair_ID则纳入CWR</t>
        </is>
      </c>
      <c r="O607" t="inlineStr">
        <is>
          <t>自动管线检出的合格导管腔。</t>
        </is>
      </c>
      <c r="P607" t="inlineStr">
        <is>
          <t>auto_pipeline;review_png_green</t>
        </is>
      </c>
      <c r="R607" t="inlineStr">
        <is>
          <t>样品57</t>
        </is>
      </c>
    </row>
    <row r="608">
      <c r="A608" t="inlineStr">
        <is>
          <t>57(5)-V02</t>
        </is>
      </c>
      <c r="B608" t="inlineStr">
        <is>
          <t>57 (5).tif</t>
        </is>
      </c>
      <c r="C608" t="n">
        <v>455</v>
      </c>
      <c r="D608" t="n">
        <v>105</v>
      </c>
      <c r="E608" t="inlineStr">
        <is>
          <t>429,66,482,145</t>
        </is>
      </c>
      <c r="F608" t="n">
        <v>66</v>
      </c>
      <c r="G608" t="inlineStr">
        <is>
          <t>primary</t>
        </is>
      </c>
      <c r="H608" t="inlineStr">
        <is>
          <t>AUTO_VESSEL</t>
        </is>
      </c>
      <c r="I608" t="inlineStr">
        <is>
          <t>是</t>
        </is>
      </c>
      <c r="J608" t="inlineStr">
        <is>
          <t>纳入</t>
        </is>
      </c>
      <c r="K608" t="n">
        <v>150.4017013232514</v>
      </c>
      <c r="L608">
        <f>导管母表_860!G608</f>
        <v/>
      </c>
      <c r="M608" t="inlineStr">
        <is>
          <t>视野内部</t>
        </is>
      </c>
      <c r="N608" t="inlineStr">
        <is>
          <t>纳入A/D/Dh；若有Pair_ID则纳入CWR</t>
        </is>
      </c>
      <c r="O608" t="inlineStr">
        <is>
          <t>自动管线检出的合格导管腔。</t>
        </is>
      </c>
      <c r="P608" t="inlineStr">
        <is>
          <t>auto_pipeline;review_png_green</t>
        </is>
      </c>
      <c r="R608" t="inlineStr">
        <is>
          <t>样品57</t>
        </is>
      </c>
    </row>
    <row r="609">
      <c r="A609" t="inlineStr">
        <is>
          <t>57(5)-V03</t>
        </is>
      </c>
      <c r="B609" t="inlineStr">
        <is>
          <t>57 (5).tif</t>
        </is>
      </c>
      <c r="C609" t="n">
        <v>777</v>
      </c>
      <c r="D609" t="n">
        <v>285</v>
      </c>
      <c r="E609" t="inlineStr">
        <is>
          <t>759,237,796,334</t>
        </is>
      </c>
      <c r="F609" t="n">
        <v>228</v>
      </c>
      <c r="G609" t="inlineStr">
        <is>
          <t>primary</t>
        </is>
      </c>
      <c r="H609" t="inlineStr">
        <is>
          <t>AUTO_VESSEL</t>
        </is>
      </c>
      <c r="I609" t="inlineStr">
        <is>
          <t>是</t>
        </is>
      </c>
      <c r="J609" t="inlineStr">
        <is>
          <t>纳入</t>
        </is>
      </c>
      <c r="K609" t="n">
        <v>122.8497164461248</v>
      </c>
      <c r="L609">
        <f>导管母表_860!G609</f>
        <v/>
      </c>
      <c r="M609" t="inlineStr">
        <is>
          <t>视野内部</t>
        </is>
      </c>
      <c r="N609" t="inlineStr">
        <is>
          <t>纳入A/D/Dh；若有Pair_ID则纳入CWR</t>
        </is>
      </c>
      <c r="O609" t="inlineStr">
        <is>
          <t>自动管线检出的合格导管腔。</t>
        </is>
      </c>
      <c r="P609" t="inlineStr">
        <is>
          <t>auto_pipeline;review_png_green</t>
        </is>
      </c>
      <c r="R609" t="inlineStr">
        <is>
          <t>样品57</t>
        </is>
      </c>
    </row>
    <row r="610">
      <c r="A610" t="inlineStr">
        <is>
          <t>57(5)-V04</t>
        </is>
      </c>
      <c r="B610" t="inlineStr">
        <is>
          <t>57 (5).tif</t>
        </is>
      </c>
      <c r="C610" t="n">
        <v>907</v>
      </c>
      <c r="D610" t="n">
        <v>419</v>
      </c>
      <c r="E610" t="inlineStr">
        <is>
          <t>876,395,939,444</t>
        </is>
      </c>
      <c r="F610" t="n">
        <v>85</v>
      </c>
      <c r="G610" t="inlineStr">
        <is>
          <t>primary</t>
        </is>
      </c>
      <c r="H610" t="inlineStr">
        <is>
          <t>AUTO_VESSEL</t>
        </is>
      </c>
      <c r="I610" t="inlineStr">
        <is>
          <t>是</t>
        </is>
      </c>
      <c r="J610" t="inlineStr">
        <is>
          <t>纳入</t>
        </is>
      </c>
      <c r="K610" t="n">
        <v>110.4678638941399</v>
      </c>
      <c r="L610">
        <f>导管母表_860!G610</f>
        <v/>
      </c>
      <c r="M610" t="inlineStr">
        <is>
          <t>视野内部</t>
        </is>
      </c>
      <c r="N610" t="inlineStr">
        <is>
          <t>纳入A/D/Dh；若有Pair_ID则纳入CWR</t>
        </is>
      </c>
      <c r="O610" t="inlineStr">
        <is>
          <t>自动管线检出的合格导管腔。</t>
        </is>
      </c>
      <c r="P610" t="inlineStr">
        <is>
          <t>auto_pipeline;review_png_green</t>
        </is>
      </c>
      <c r="R610" t="inlineStr">
        <is>
          <t>样品57</t>
        </is>
      </c>
    </row>
    <row r="611">
      <c r="A611" t="inlineStr">
        <is>
          <t>57(6)-V01</t>
        </is>
      </c>
      <c r="B611" t="inlineStr">
        <is>
          <t>57 (6).tif</t>
        </is>
      </c>
      <c r="C611" t="n">
        <v>144</v>
      </c>
      <c r="D611" t="n">
        <v>533</v>
      </c>
      <c r="E611" t="inlineStr">
        <is>
          <t>57,454,232,613</t>
        </is>
      </c>
      <c r="F611" t="n">
        <v>57</v>
      </c>
      <c r="G611" t="inlineStr">
        <is>
          <t>primary</t>
        </is>
      </c>
      <c r="H611" t="inlineStr">
        <is>
          <t>AUTO_VESSEL</t>
        </is>
      </c>
      <c r="I611" t="inlineStr">
        <is>
          <t>是</t>
        </is>
      </c>
      <c r="J611" t="inlineStr">
        <is>
          <t>纳入</t>
        </is>
      </c>
      <c r="K611" t="n">
        <v>913.5160680529301</v>
      </c>
      <c r="L611">
        <f>导管母表_860!G611</f>
        <v/>
      </c>
      <c r="M611" t="inlineStr">
        <is>
          <t>视野内部</t>
        </is>
      </c>
      <c r="N611" t="inlineStr">
        <is>
          <t>纳入A/D/Dh；若有Pair_ID则纳入CWR</t>
        </is>
      </c>
      <c r="O611" t="inlineStr">
        <is>
          <t>自动管线检出的合格导管腔。</t>
        </is>
      </c>
      <c r="P611" t="inlineStr">
        <is>
          <t>auto_pipeline;review_png_green</t>
        </is>
      </c>
      <c r="R611" t="inlineStr">
        <is>
          <t>样品57</t>
        </is>
      </c>
    </row>
    <row r="612">
      <c r="A612" t="inlineStr">
        <is>
          <t>57(6)-V02</t>
        </is>
      </c>
      <c r="B612" t="inlineStr">
        <is>
          <t>57 (6).tif</t>
        </is>
      </c>
      <c r="C612" t="n">
        <v>469</v>
      </c>
      <c r="D612" t="n">
        <v>354</v>
      </c>
      <c r="E612" t="inlineStr">
        <is>
          <t>410,290,529,419</t>
        </is>
      </c>
      <c r="F612" t="n">
        <v>290</v>
      </c>
      <c r="G612" t="inlineStr">
        <is>
          <t>primary</t>
        </is>
      </c>
      <c r="H612" t="inlineStr">
        <is>
          <t>AUTO_VESSEL</t>
        </is>
      </c>
      <c r="I612" t="inlineStr">
        <is>
          <t>是</t>
        </is>
      </c>
      <c r="J612" t="inlineStr">
        <is>
          <t>纳入</t>
        </is>
      </c>
      <c r="K612" t="n">
        <v>556.8525519848771</v>
      </c>
      <c r="L612">
        <f>导管母表_860!G612</f>
        <v/>
      </c>
      <c r="M612" t="inlineStr">
        <is>
          <t>视野内部</t>
        </is>
      </c>
      <c r="N612" t="inlineStr">
        <is>
          <t>纳入A/D/Dh；若有Pair_ID则纳入CWR</t>
        </is>
      </c>
      <c r="O612" t="inlineStr">
        <is>
          <t>自动管线检出的合格导管腔。</t>
        </is>
      </c>
      <c r="P612" t="inlineStr">
        <is>
          <t>auto_pipeline;review_png_green</t>
        </is>
      </c>
      <c r="Q612" t="inlineStr">
        <is>
          <t>57(6)-P01</t>
        </is>
      </c>
      <c r="R612" t="inlineStr">
        <is>
          <t>样品57</t>
        </is>
      </c>
    </row>
    <row r="613">
      <c r="A613" t="inlineStr">
        <is>
          <t>57(6)-V03</t>
        </is>
      </c>
      <c r="B613" t="inlineStr">
        <is>
          <t>57 (6).tif</t>
        </is>
      </c>
      <c r="C613" t="n">
        <v>601</v>
      </c>
      <c r="D613" t="n">
        <v>381</v>
      </c>
      <c r="E613" t="inlineStr">
        <is>
          <t>541,328,662,435</t>
        </is>
      </c>
      <c r="F613" t="n">
        <v>328</v>
      </c>
      <c r="G613" t="inlineStr">
        <is>
          <t>primary</t>
        </is>
      </c>
      <c r="H613" t="inlineStr">
        <is>
          <t>AUTO_VESSEL</t>
        </is>
      </c>
      <c r="I613" t="inlineStr">
        <is>
          <t>是</t>
        </is>
      </c>
      <c r="J613" t="inlineStr">
        <is>
          <t>纳入</t>
        </is>
      </c>
      <c r="K613" t="n">
        <v>455.6001890359168</v>
      </c>
      <c r="L613">
        <f>导管母表_860!G613</f>
        <v/>
      </c>
      <c r="M613" t="inlineStr">
        <is>
          <t>视野内部</t>
        </is>
      </c>
      <c r="N613" t="inlineStr">
        <is>
          <t>纳入A/D/Dh；若有Pair_ID则纳入CWR</t>
        </is>
      </c>
      <c r="O613" t="inlineStr">
        <is>
          <t>自动管线检出的合格导管腔。</t>
        </is>
      </c>
      <c r="P613" t="inlineStr">
        <is>
          <t>auto_pipeline;review_png_green</t>
        </is>
      </c>
      <c r="Q613" t="inlineStr">
        <is>
          <t>57(6)-P01</t>
        </is>
      </c>
      <c r="R613" t="inlineStr">
        <is>
          <t>样品57</t>
        </is>
      </c>
    </row>
    <row r="614">
      <c r="A614" t="inlineStr">
        <is>
          <t>57(7)-V01</t>
        </is>
      </c>
      <c r="B614" t="inlineStr">
        <is>
          <t>57 (7).tif</t>
        </is>
      </c>
      <c r="C614" t="n">
        <v>339</v>
      </c>
      <c r="D614" t="n">
        <v>335</v>
      </c>
      <c r="E614" t="inlineStr">
        <is>
          <t>253,261,426,410</t>
        </is>
      </c>
      <c r="F614" t="n">
        <v>253</v>
      </c>
      <c r="G614" t="inlineStr">
        <is>
          <t>primary</t>
        </is>
      </c>
      <c r="H614" t="inlineStr">
        <is>
          <t>AUTO_VESSEL</t>
        </is>
      </c>
      <c r="I614" t="inlineStr">
        <is>
          <t>是</t>
        </is>
      </c>
      <c r="J614" t="inlineStr">
        <is>
          <t>纳入</t>
        </is>
      </c>
      <c r="K614" t="n">
        <v>942.4621928166351</v>
      </c>
      <c r="L614">
        <f>导管母表_860!G614</f>
        <v/>
      </c>
      <c r="M614" t="inlineStr">
        <is>
          <t>视野内部</t>
        </is>
      </c>
      <c r="N614" t="inlineStr">
        <is>
          <t>纳入A/D/Dh；若有Pair_ID则纳入CWR</t>
        </is>
      </c>
      <c r="O614" t="inlineStr">
        <is>
          <t>自动管线检出的合格导管腔。</t>
        </is>
      </c>
      <c r="P614" t="inlineStr">
        <is>
          <t>auto_pipeline;review_png_green</t>
        </is>
      </c>
      <c r="R614" t="inlineStr">
        <is>
          <t>样品57</t>
        </is>
      </c>
    </row>
    <row r="615">
      <c r="A615" t="inlineStr">
        <is>
          <t>57(7)-V02</t>
        </is>
      </c>
      <c r="B615" t="inlineStr">
        <is>
          <t>57 (7).tif</t>
        </is>
      </c>
      <c r="C615" t="n">
        <v>523</v>
      </c>
      <c r="D615" t="n">
        <v>362</v>
      </c>
      <c r="E615" t="inlineStr">
        <is>
          <t>447,285,600,440</t>
        </is>
      </c>
      <c r="F615" t="n">
        <v>285</v>
      </c>
      <c r="G615" t="inlineStr">
        <is>
          <t>primary</t>
        </is>
      </c>
      <c r="H615" t="inlineStr">
        <is>
          <t>AUTO_VESSEL</t>
        </is>
      </c>
      <c r="I615" t="inlineStr">
        <is>
          <t>是</t>
        </is>
      </c>
      <c r="J615" t="inlineStr">
        <is>
          <t>纳入</t>
        </is>
      </c>
      <c r="K615" t="n">
        <v>860.1843100189036</v>
      </c>
      <c r="L615">
        <f>导管母表_860!G615</f>
        <v/>
      </c>
      <c r="M615" t="inlineStr">
        <is>
          <t>视野内部</t>
        </is>
      </c>
      <c r="N615" t="inlineStr">
        <is>
          <t>纳入A/D/Dh；若有Pair_ID则纳入CWR</t>
        </is>
      </c>
      <c r="O615" t="inlineStr">
        <is>
          <t>自动管线检出的合格导管腔。</t>
        </is>
      </c>
      <c r="P615" t="inlineStr">
        <is>
          <t>auto_pipeline;review_png_green</t>
        </is>
      </c>
      <c r="R615" t="inlineStr">
        <is>
          <t>样品57</t>
        </is>
      </c>
    </row>
    <row r="616">
      <c r="A616" t="inlineStr">
        <is>
          <t>57(7)-V03</t>
        </is>
      </c>
      <c r="B616" t="inlineStr">
        <is>
          <t>57 (7).tif</t>
        </is>
      </c>
      <c r="C616" t="n">
        <v>889</v>
      </c>
      <c r="D616" t="n">
        <v>568</v>
      </c>
      <c r="E616" t="inlineStr">
        <is>
          <t>851,521,928,616</t>
        </is>
      </c>
      <c r="F616" t="n">
        <v>96</v>
      </c>
      <c r="G616" t="inlineStr">
        <is>
          <t>primary</t>
        </is>
      </c>
      <c r="H616" t="inlineStr">
        <is>
          <t>AUTO_VESSEL</t>
        </is>
      </c>
      <c r="I616" t="inlineStr">
        <is>
          <t>是</t>
        </is>
      </c>
      <c r="J616" t="inlineStr">
        <is>
          <t>纳入</t>
        </is>
      </c>
      <c r="K616" t="n">
        <v>245.3686200378072</v>
      </c>
      <c r="L616">
        <f>导管母表_860!G616</f>
        <v/>
      </c>
      <c r="M616" t="inlineStr">
        <is>
          <t>视野内部</t>
        </is>
      </c>
      <c r="N616" t="inlineStr">
        <is>
          <t>纳入A/D/Dh；若有Pair_ID则纳入CWR</t>
        </is>
      </c>
      <c r="O616" t="inlineStr">
        <is>
          <t>自动管线检出的合格导管腔。</t>
        </is>
      </c>
      <c r="P616" t="inlineStr">
        <is>
          <t>auto_pipeline;review_png_green</t>
        </is>
      </c>
      <c r="R616" t="inlineStr">
        <is>
          <t>样品57</t>
        </is>
      </c>
    </row>
    <row r="617">
      <c r="A617" t="inlineStr">
        <is>
          <t>57(7)-V04</t>
        </is>
      </c>
      <c r="B617" t="inlineStr">
        <is>
          <t>57 (7).tif</t>
        </is>
      </c>
      <c r="C617" t="n">
        <v>795</v>
      </c>
      <c r="D617" t="n">
        <v>539</v>
      </c>
      <c r="E617" t="inlineStr">
        <is>
          <t>754,506,837,573</t>
        </is>
      </c>
      <c r="F617" t="n">
        <v>187</v>
      </c>
      <c r="G617" t="inlineStr">
        <is>
          <t>primary</t>
        </is>
      </c>
      <c r="H617" t="inlineStr">
        <is>
          <t>AUTO_VESSEL</t>
        </is>
      </c>
      <c r="I617" t="inlineStr">
        <is>
          <t>是</t>
        </is>
      </c>
      <c r="J617" t="inlineStr">
        <is>
          <t>纳入</t>
        </is>
      </c>
      <c r="K617" t="n">
        <v>182.8449905482042</v>
      </c>
      <c r="L617">
        <f>导管母表_860!G617</f>
        <v/>
      </c>
      <c r="M617" t="inlineStr">
        <is>
          <t>视野内部</t>
        </is>
      </c>
      <c r="N617" t="inlineStr">
        <is>
          <t>纳入A/D/Dh；若有Pair_ID则纳入CWR</t>
        </is>
      </c>
      <c r="O617" t="inlineStr">
        <is>
          <t>自动管线检出的合格导管腔。</t>
        </is>
      </c>
      <c r="P617" t="inlineStr">
        <is>
          <t>auto_pipeline;review_png_green</t>
        </is>
      </c>
      <c r="R617" t="inlineStr">
        <is>
          <t>样品57</t>
        </is>
      </c>
    </row>
    <row r="618">
      <c r="A618" t="inlineStr">
        <is>
          <t>57(7)-V05</t>
        </is>
      </c>
      <c r="B618" t="inlineStr">
        <is>
          <t>57 (7).tif</t>
        </is>
      </c>
      <c r="C618" t="n">
        <v>642</v>
      </c>
      <c r="D618" t="n">
        <v>511</v>
      </c>
      <c r="E618" t="inlineStr">
        <is>
          <t>622,464,663,559</t>
        </is>
      </c>
      <c r="F618" t="n">
        <v>209</v>
      </c>
      <c r="G618" t="inlineStr">
        <is>
          <t>primary</t>
        </is>
      </c>
      <c r="H618" t="inlineStr">
        <is>
          <t>AUTO_VESSEL</t>
        </is>
      </c>
      <c r="I618" t="inlineStr">
        <is>
          <t>是</t>
        </is>
      </c>
      <c r="J618" t="inlineStr">
        <is>
          <t>纳入</t>
        </is>
      </c>
      <c r="K618" t="n">
        <v>128.5207939508507</v>
      </c>
      <c r="L618">
        <f>导管母表_860!G618</f>
        <v/>
      </c>
      <c r="M618" t="inlineStr">
        <is>
          <t>视野内部</t>
        </is>
      </c>
      <c r="N618" t="inlineStr">
        <is>
          <t>纳入A/D/Dh；若有Pair_ID则纳入CWR</t>
        </is>
      </c>
      <c r="O618" t="inlineStr">
        <is>
          <t>自动管线检出的合格导管腔。</t>
        </is>
      </c>
      <c r="P618" t="inlineStr">
        <is>
          <t>auto_pipeline;review_png_green</t>
        </is>
      </c>
      <c r="R618" t="inlineStr">
        <is>
          <t>样品57</t>
        </is>
      </c>
    </row>
    <row r="619">
      <c r="A619" t="inlineStr">
        <is>
          <t>57(7)-V06</t>
        </is>
      </c>
      <c r="B619" t="inlineStr">
        <is>
          <t>57 (7).tif</t>
        </is>
      </c>
      <c r="C619" t="n">
        <v>811</v>
      </c>
      <c r="D619" t="n">
        <v>469</v>
      </c>
      <c r="E619" t="inlineStr">
        <is>
          <t>779,443,844,496</t>
        </is>
      </c>
      <c r="F619" t="n">
        <v>180</v>
      </c>
      <c r="G619" t="inlineStr">
        <is>
          <t>primary</t>
        </is>
      </c>
      <c r="H619" t="inlineStr">
        <is>
          <t>AUTO_VESSEL</t>
        </is>
      </c>
      <c r="I619" t="inlineStr">
        <is>
          <t>是</t>
        </is>
      </c>
      <c r="J619" t="inlineStr">
        <is>
          <t>纳入</t>
        </is>
      </c>
      <c r="K619" t="n">
        <v>118.0529300567108</v>
      </c>
      <c r="L619">
        <f>导管母表_860!G619</f>
        <v/>
      </c>
      <c r="M619" t="inlineStr">
        <is>
          <t>视野内部</t>
        </is>
      </c>
      <c r="N619" t="inlineStr">
        <is>
          <t>纳入A/D/Dh；若有Pair_ID则纳入CWR</t>
        </is>
      </c>
      <c r="O619" t="inlineStr">
        <is>
          <t>自动管线检出的合格导管腔。</t>
        </is>
      </c>
      <c r="P619" t="inlineStr">
        <is>
          <t>auto_pipeline;review_png_green</t>
        </is>
      </c>
      <c r="R619" t="inlineStr">
        <is>
          <t>样品57</t>
        </is>
      </c>
    </row>
    <row r="620">
      <c r="A620" t="inlineStr">
        <is>
          <t>57(8)-V01</t>
        </is>
      </c>
      <c r="B620" t="inlineStr">
        <is>
          <t>57 (8).tif</t>
        </is>
      </c>
      <c r="C620" t="n">
        <v>663</v>
      </c>
      <c r="D620" t="n">
        <v>90</v>
      </c>
      <c r="E620" t="inlineStr">
        <is>
          <t>577,4,750,177</t>
        </is>
      </c>
      <c r="F620" t="n">
        <v>4</v>
      </c>
      <c r="G620" t="inlineStr">
        <is>
          <t>primary</t>
        </is>
      </c>
      <c r="H620" t="inlineStr">
        <is>
          <t>AUTO_VESSEL</t>
        </is>
      </c>
      <c r="I620" t="inlineStr">
        <is>
          <t>是</t>
        </is>
      </c>
      <c r="J620" t="inlineStr">
        <is>
          <t>纳入</t>
        </is>
      </c>
      <c r="K620" t="n">
        <v>973.2041587901701</v>
      </c>
      <c r="L620">
        <f>导管母表_860!G620</f>
        <v/>
      </c>
      <c r="M620" t="inlineStr">
        <is>
          <t>近边缘（&lt;25 px）</t>
        </is>
      </c>
      <c r="N620" t="inlineStr">
        <is>
          <t>纳入A/D/Dh；若有Pair_ID则纳入CWR</t>
        </is>
      </c>
      <c r="O620" t="inlineStr">
        <is>
          <t>自动管线检出的合格导管腔。</t>
        </is>
      </c>
      <c r="P620" t="inlineStr">
        <is>
          <t>auto_pipeline;review_png_green</t>
        </is>
      </c>
      <c r="R620" t="inlineStr">
        <is>
          <t>样品57</t>
        </is>
      </c>
    </row>
    <row r="621">
      <c r="A621" t="inlineStr">
        <is>
          <t>57(8)-V02</t>
        </is>
      </c>
      <c r="B621" t="inlineStr">
        <is>
          <t>57 (8).tif</t>
        </is>
      </c>
      <c r="C621" t="n">
        <v>928</v>
      </c>
      <c r="D621" t="n">
        <v>574</v>
      </c>
      <c r="E621" t="inlineStr">
        <is>
          <t>853,498,1004,651</t>
        </is>
      </c>
      <c r="F621" t="n">
        <v>20</v>
      </c>
      <c r="G621" t="inlineStr">
        <is>
          <t>primary</t>
        </is>
      </c>
      <c r="H621" t="inlineStr">
        <is>
          <t>AUTO_VESSEL</t>
        </is>
      </c>
      <c r="I621" t="inlineStr">
        <is>
          <t>是</t>
        </is>
      </c>
      <c r="J621" t="inlineStr">
        <is>
          <t>纳入</t>
        </is>
      </c>
      <c r="K621" t="n">
        <v>828.6862003780718</v>
      </c>
      <c r="L621">
        <f>导管母表_860!G621</f>
        <v/>
      </c>
      <c r="M621" t="inlineStr">
        <is>
          <t>近边缘（&lt;25 px）</t>
        </is>
      </c>
      <c r="N621" t="inlineStr">
        <is>
          <t>纳入A/D/Dh；若有Pair_ID则纳入CWR</t>
        </is>
      </c>
      <c r="O621" t="inlineStr">
        <is>
          <t>自动管线检出的合格导管腔。</t>
        </is>
      </c>
      <c r="P621" t="inlineStr">
        <is>
          <t>auto_pipeline;review_png_green</t>
        </is>
      </c>
      <c r="R621" t="inlineStr">
        <is>
          <t>样品57</t>
        </is>
      </c>
    </row>
    <row r="622">
      <c r="A622" t="inlineStr">
        <is>
          <t>57(8)-V03</t>
        </is>
      </c>
      <c r="B622" t="inlineStr">
        <is>
          <t>57 (8).tif</t>
        </is>
      </c>
      <c r="C622" t="n">
        <v>607</v>
      </c>
      <c r="D622" t="n">
        <v>488</v>
      </c>
      <c r="E622" t="inlineStr">
        <is>
          <t>544,409,671,568</t>
        </is>
      </c>
      <c r="F622" t="n">
        <v>200</v>
      </c>
      <c r="G622" t="inlineStr">
        <is>
          <t>primary</t>
        </is>
      </c>
      <c r="H622" t="inlineStr">
        <is>
          <t>AUTO_VESSEL</t>
        </is>
      </c>
      <c r="I622" t="inlineStr">
        <is>
          <t>是</t>
        </is>
      </c>
      <c r="J622" t="inlineStr">
        <is>
          <t>纳入</t>
        </is>
      </c>
      <c r="K622" t="n">
        <v>738.8232514177694</v>
      </c>
      <c r="L622">
        <f>导管母表_860!G622</f>
        <v/>
      </c>
      <c r="M622" t="inlineStr">
        <is>
          <t>视野内部</t>
        </is>
      </c>
      <c r="N622" t="inlineStr">
        <is>
          <t>纳入A/D/Dh；若有Pair_ID则纳入CWR</t>
        </is>
      </c>
      <c r="O622" t="inlineStr">
        <is>
          <t>自动管线检出的合格导管腔。</t>
        </is>
      </c>
      <c r="P622" t="inlineStr">
        <is>
          <t>auto_pipeline;review_png_green</t>
        </is>
      </c>
      <c r="R622" t="inlineStr">
        <is>
          <t>样品57</t>
        </is>
      </c>
    </row>
    <row r="623">
      <c r="A623" t="inlineStr">
        <is>
          <t>57(8)-V04</t>
        </is>
      </c>
      <c r="B623" t="inlineStr">
        <is>
          <t>57 (8).tif</t>
        </is>
      </c>
      <c r="C623" t="n">
        <v>523</v>
      </c>
      <c r="D623" t="n">
        <v>307</v>
      </c>
      <c r="E623" t="inlineStr">
        <is>
          <t>466,237,581,378</t>
        </is>
      </c>
      <c r="F623" t="n">
        <v>237</v>
      </c>
      <c r="G623" t="inlineStr">
        <is>
          <t>primary</t>
        </is>
      </c>
      <c r="H623" t="inlineStr">
        <is>
          <t>AUTO_VESSEL</t>
        </is>
      </c>
      <c r="I623" t="inlineStr">
        <is>
          <t>是</t>
        </is>
      </c>
      <c r="J623" t="inlineStr">
        <is>
          <t>纳入</t>
        </is>
      </c>
      <c r="K623" t="n">
        <v>567.6512287334593</v>
      </c>
      <c r="L623">
        <f>导管母表_860!G623</f>
        <v/>
      </c>
      <c r="M623" t="inlineStr">
        <is>
          <t>视野内部</t>
        </is>
      </c>
      <c r="N623" t="inlineStr">
        <is>
          <t>纳入A/D/Dh；若有Pair_ID则纳入CWR</t>
        </is>
      </c>
      <c r="O623" t="inlineStr">
        <is>
          <t>自动管线检出的合格导管腔。</t>
        </is>
      </c>
      <c r="P623" t="inlineStr">
        <is>
          <t>auto_pipeline;review_png_green</t>
        </is>
      </c>
      <c r="R623" t="inlineStr">
        <is>
          <t>样品57</t>
        </is>
      </c>
    </row>
    <row r="624">
      <c r="A624" t="inlineStr">
        <is>
          <t>57(8)-V05</t>
        </is>
      </c>
      <c r="B624" t="inlineStr">
        <is>
          <t>57 (8).tif</t>
        </is>
      </c>
      <c r="C624" t="n">
        <v>915</v>
      </c>
      <c r="D624" t="n">
        <v>168</v>
      </c>
      <c r="E624" t="inlineStr">
        <is>
          <t>861,107,970,230</t>
        </is>
      </c>
      <c r="F624" t="n">
        <v>54</v>
      </c>
      <c r="G624" t="inlineStr">
        <is>
          <t>primary</t>
        </is>
      </c>
      <c r="H624" t="inlineStr">
        <is>
          <t>AUTO_VESSEL</t>
        </is>
      </c>
      <c r="I624" t="inlineStr">
        <is>
          <t>是</t>
        </is>
      </c>
      <c r="J624" t="inlineStr">
        <is>
          <t>纳入</t>
        </is>
      </c>
      <c r="K624" t="n">
        <v>477.4102079395085</v>
      </c>
      <c r="L624">
        <f>导管母表_860!G624</f>
        <v/>
      </c>
      <c r="M624" t="inlineStr">
        <is>
          <t>视野内部</t>
        </is>
      </c>
      <c r="N624" t="inlineStr">
        <is>
          <t>纳入A/D/Dh；若有Pair_ID则纳入CWR</t>
        </is>
      </c>
      <c r="O624" t="inlineStr">
        <is>
          <t>自动管线检出的合格导管腔。</t>
        </is>
      </c>
      <c r="P624" t="inlineStr">
        <is>
          <t>auto_pipeline;review_png_green</t>
        </is>
      </c>
      <c r="R624" t="inlineStr">
        <is>
          <t>样品57</t>
        </is>
      </c>
    </row>
    <row r="625">
      <c r="A625" t="inlineStr">
        <is>
          <t>57(8)-V06</t>
        </is>
      </c>
      <c r="B625" t="inlineStr">
        <is>
          <t>57 (8).tif</t>
        </is>
      </c>
      <c r="C625" t="n">
        <v>67</v>
      </c>
      <c r="D625" t="n">
        <v>488</v>
      </c>
      <c r="E625" t="inlineStr">
        <is>
          <t>15,425,120,552</t>
        </is>
      </c>
      <c r="F625" t="n">
        <v>15</v>
      </c>
      <c r="G625" t="inlineStr">
        <is>
          <t>primary</t>
        </is>
      </c>
      <c r="H625" t="inlineStr">
        <is>
          <t>AUTO_VESSEL</t>
        </is>
      </c>
      <c r="I625" t="inlineStr">
        <is>
          <t>是</t>
        </is>
      </c>
      <c r="J625" t="inlineStr">
        <is>
          <t>纳入</t>
        </is>
      </c>
      <c r="K625" t="n">
        <v>476.2523629489603</v>
      </c>
      <c r="L625">
        <f>导管母表_860!G625</f>
        <v/>
      </c>
      <c r="M625" t="inlineStr">
        <is>
          <t>近边缘（&lt;25 px）</t>
        </is>
      </c>
      <c r="N625" t="inlineStr">
        <is>
          <t>纳入A/D/Dh；若有Pair_ID则纳入CWR</t>
        </is>
      </c>
      <c r="O625" t="inlineStr">
        <is>
          <t>自动管线检出的合格导管腔。</t>
        </is>
      </c>
      <c r="P625" t="inlineStr">
        <is>
          <t>auto_pipeline;review_png_green</t>
        </is>
      </c>
      <c r="R625" t="inlineStr">
        <is>
          <t>样品57</t>
        </is>
      </c>
    </row>
    <row r="626">
      <c r="A626" t="inlineStr">
        <is>
          <t>58(1)-V01</t>
        </is>
      </c>
      <c r="B626" t="inlineStr">
        <is>
          <t>58 (1).tif</t>
        </is>
      </c>
      <c r="C626" t="n">
        <v>391</v>
      </c>
      <c r="D626" t="n">
        <v>346</v>
      </c>
      <c r="E626" t="inlineStr">
        <is>
          <t>322,288,461,405</t>
        </is>
      </c>
      <c r="F626" t="n">
        <v>288</v>
      </c>
      <c r="G626" t="inlineStr">
        <is>
          <t>primary</t>
        </is>
      </c>
      <c r="H626" t="inlineStr">
        <is>
          <t>AUTO_VESSEL</t>
        </is>
      </c>
      <c r="I626" t="inlineStr">
        <is>
          <t>是</t>
        </is>
      </c>
      <c r="J626" t="inlineStr">
        <is>
          <t>纳入</t>
        </is>
      </c>
      <c r="K626" t="n">
        <v>594.0689981096408</v>
      </c>
      <c r="L626">
        <f>导管母表_860!G626</f>
        <v/>
      </c>
      <c r="M626" t="inlineStr">
        <is>
          <t>视野内部</t>
        </is>
      </c>
      <c r="N626" t="inlineStr">
        <is>
          <t>纳入A/D/Dh；若有Pair_ID则纳入CWR</t>
        </is>
      </c>
      <c r="O626" t="inlineStr">
        <is>
          <t>自动管线检出的合格导管腔。</t>
        </is>
      </c>
      <c r="P626" t="inlineStr">
        <is>
          <t>auto_pipeline;review_png_green</t>
        </is>
      </c>
      <c r="R626" t="inlineStr">
        <is>
          <t>样品58</t>
        </is>
      </c>
    </row>
    <row r="627">
      <c r="A627" t="inlineStr">
        <is>
          <t>58(1)-V02</t>
        </is>
      </c>
      <c r="B627" t="inlineStr">
        <is>
          <t>58 (1).tif</t>
        </is>
      </c>
      <c r="C627" t="n">
        <v>875</v>
      </c>
      <c r="D627" t="n">
        <v>147</v>
      </c>
      <c r="E627" t="inlineStr">
        <is>
          <t>813,94,938,201</t>
        </is>
      </c>
      <c r="F627" t="n">
        <v>86</v>
      </c>
      <c r="G627" t="inlineStr">
        <is>
          <t>primary</t>
        </is>
      </c>
      <c r="H627" t="inlineStr">
        <is>
          <t>AUTO_VESSEL</t>
        </is>
      </c>
      <c r="I627" t="inlineStr">
        <is>
          <t>是</t>
        </is>
      </c>
      <c r="J627" t="inlineStr">
        <is>
          <t>纳入</t>
        </is>
      </c>
      <c r="K627" t="n">
        <v>484.1918714555766</v>
      </c>
      <c r="L627">
        <f>导管母表_860!G627</f>
        <v/>
      </c>
      <c r="M627" t="inlineStr">
        <is>
          <t>视野内部</t>
        </is>
      </c>
      <c r="N627" t="inlineStr">
        <is>
          <t>纳入A/D/Dh；若有Pair_ID则纳入CWR</t>
        </is>
      </c>
      <c r="O627" t="inlineStr">
        <is>
          <t>自动管线检出的合格导管腔。</t>
        </is>
      </c>
      <c r="P627" t="inlineStr">
        <is>
          <t>auto_pipeline;review_png_green</t>
        </is>
      </c>
      <c r="R627" t="inlineStr">
        <is>
          <t>样品58</t>
        </is>
      </c>
    </row>
    <row r="628">
      <c r="A628" t="inlineStr">
        <is>
          <t>58(1)-V03</t>
        </is>
      </c>
      <c r="B628" t="inlineStr">
        <is>
          <t>58 (1).tif</t>
        </is>
      </c>
      <c r="C628" t="n">
        <v>530</v>
      </c>
      <c r="D628" t="n">
        <v>315</v>
      </c>
      <c r="E628" t="inlineStr">
        <is>
          <t>472,262,589,369</t>
        </is>
      </c>
      <c r="F628" t="n">
        <v>262</v>
      </c>
      <c r="G628" t="inlineStr">
        <is>
          <t>primary</t>
        </is>
      </c>
      <c r="H628" t="inlineStr">
        <is>
          <t>AUTO_VESSEL</t>
        </is>
      </c>
      <c r="I628" t="inlineStr">
        <is>
          <t>是</t>
        </is>
      </c>
      <c r="J628" t="inlineStr">
        <is>
          <t>纳入</t>
        </is>
      </c>
      <c r="K628" t="n">
        <v>455.4820415879017</v>
      </c>
      <c r="L628">
        <f>导管母表_860!G628</f>
        <v/>
      </c>
      <c r="M628" t="inlineStr">
        <is>
          <t>视野内部</t>
        </is>
      </c>
      <c r="N628" t="inlineStr">
        <is>
          <t>纳入A/D/Dh；若有Pair_ID则纳入CWR</t>
        </is>
      </c>
      <c r="O628" t="inlineStr">
        <is>
          <t>自动管线检出的合格导管腔。</t>
        </is>
      </c>
      <c r="P628" t="inlineStr">
        <is>
          <t>auto_pipeline;review_png_green</t>
        </is>
      </c>
      <c r="R628" t="inlineStr">
        <is>
          <t>样品58</t>
        </is>
      </c>
    </row>
    <row r="629">
      <c r="A629" t="inlineStr">
        <is>
          <t>58(1)-V04</t>
        </is>
      </c>
      <c r="B629" t="inlineStr">
        <is>
          <t>58 (1).tif</t>
        </is>
      </c>
      <c r="C629" t="n">
        <v>263</v>
      </c>
      <c r="D629" t="n">
        <v>628</v>
      </c>
      <c r="E629" t="inlineStr">
        <is>
          <t>215,588,312,669</t>
        </is>
      </c>
      <c r="F629" t="n">
        <v>99</v>
      </c>
      <c r="G629" t="inlineStr">
        <is>
          <t>primary</t>
        </is>
      </c>
      <c r="H629" t="inlineStr">
        <is>
          <t>AUTO_VESSEL</t>
        </is>
      </c>
      <c r="I629" t="inlineStr">
        <is>
          <t>是</t>
        </is>
      </c>
      <c r="J629" t="inlineStr">
        <is>
          <t>纳入</t>
        </is>
      </c>
      <c r="K629" t="n">
        <v>270.1086956521739</v>
      </c>
      <c r="L629">
        <f>导管母表_860!G629</f>
        <v/>
      </c>
      <c r="M629" t="inlineStr">
        <is>
          <t>视野内部</t>
        </is>
      </c>
      <c r="N629" t="inlineStr">
        <is>
          <t>纳入A/D/Dh；若有Pair_ID则纳入CWR</t>
        </is>
      </c>
      <c r="O629" t="inlineStr">
        <is>
          <t>自动管线检出的合格导管腔。</t>
        </is>
      </c>
      <c r="P629" t="inlineStr">
        <is>
          <t>auto_pipeline;review_png_green</t>
        </is>
      </c>
      <c r="R629" t="inlineStr">
        <is>
          <t>样品58</t>
        </is>
      </c>
    </row>
    <row r="630">
      <c r="A630" t="inlineStr">
        <is>
          <t>58(1)-V05</t>
        </is>
      </c>
      <c r="B630" t="inlineStr">
        <is>
          <t>58 (1).tif</t>
        </is>
      </c>
      <c r="C630" t="n">
        <v>871</v>
      </c>
      <c r="D630" t="n">
        <v>643</v>
      </c>
      <c r="E630" t="inlineStr">
        <is>
          <t>813,611,930,676</t>
        </is>
      </c>
      <c r="F630" t="n">
        <v>92</v>
      </c>
      <c r="G630" t="inlineStr">
        <is>
          <t>primary</t>
        </is>
      </c>
      <c r="H630" t="inlineStr">
        <is>
          <t>AUTO_VESSEL</t>
        </is>
      </c>
      <c r="I630" t="inlineStr">
        <is>
          <t>是</t>
        </is>
      </c>
      <c r="J630" t="inlineStr">
        <is>
          <t>纳入</t>
        </is>
      </c>
      <c r="K630" t="n">
        <v>211.9092627599244</v>
      </c>
      <c r="L630">
        <f>导管母表_860!G630</f>
        <v/>
      </c>
      <c r="M630" t="inlineStr">
        <is>
          <t>视野内部</t>
        </is>
      </c>
      <c r="N630" t="inlineStr">
        <is>
          <t>纳入A/D/Dh；若有Pair_ID则纳入CWR</t>
        </is>
      </c>
      <c r="O630" t="inlineStr">
        <is>
          <t>自动管线检出的合格导管腔。</t>
        </is>
      </c>
      <c r="P630" t="inlineStr">
        <is>
          <t>auto_pipeline;review_png_green</t>
        </is>
      </c>
      <c r="R630" t="inlineStr">
        <is>
          <t>样品58</t>
        </is>
      </c>
    </row>
    <row r="631">
      <c r="A631" t="inlineStr">
        <is>
          <t>58(1)-V06</t>
        </is>
      </c>
      <c r="B631" t="inlineStr">
        <is>
          <t>58 (1).tif</t>
        </is>
      </c>
      <c r="C631" t="n">
        <v>117</v>
      </c>
      <c r="D631" t="n">
        <v>418</v>
      </c>
      <c r="E631" t="inlineStr">
        <is>
          <t>76,394,159,443</t>
        </is>
      </c>
      <c r="F631" t="n">
        <v>76</v>
      </c>
      <c r="G631" t="inlineStr">
        <is>
          <t>primary</t>
        </is>
      </c>
      <c r="H631" t="inlineStr">
        <is>
          <t>AUTO_VESSEL</t>
        </is>
      </c>
      <c r="I631" t="inlineStr">
        <is>
          <t>是</t>
        </is>
      </c>
      <c r="J631" t="inlineStr">
        <is>
          <t>纳入</t>
        </is>
      </c>
      <c r="K631" t="n">
        <v>146.2192816635161</v>
      </c>
      <c r="L631">
        <f>导管母表_860!G631</f>
        <v/>
      </c>
      <c r="M631" t="inlineStr">
        <is>
          <t>视野内部</t>
        </is>
      </c>
      <c r="N631" t="inlineStr">
        <is>
          <t>纳入A/D/Dh；若有Pair_ID则纳入CWR</t>
        </is>
      </c>
      <c r="O631" t="inlineStr">
        <is>
          <t>自动管线检出的合格导管腔。</t>
        </is>
      </c>
      <c r="P631" t="inlineStr">
        <is>
          <t>auto_pipeline;review_png_green</t>
        </is>
      </c>
      <c r="R631" t="inlineStr">
        <is>
          <t>样品58</t>
        </is>
      </c>
    </row>
    <row r="632">
      <c r="A632" t="inlineStr">
        <is>
          <t>58(2)-V01</t>
        </is>
      </c>
      <c r="B632" t="inlineStr">
        <is>
          <t>58 (2).tif</t>
        </is>
      </c>
      <c r="C632" t="n">
        <v>387</v>
      </c>
      <c r="D632" t="n">
        <v>412</v>
      </c>
      <c r="E632" t="inlineStr">
        <is>
          <t>300,332,475,493</t>
        </is>
      </c>
      <c r="F632" t="n">
        <v>275</v>
      </c>
      <c r="G632" t="inlineStr">
        <is>
          <t>primary</t>
        </is>
      </c>
      <c r="H632" t="inlineStr">
        <is>
          <t>AUTO_VESSEL</t>
        </is>
      </c>
      <c r="I632" t="inlineStr">
        <is>
          <t>是</t>
        </is>
      </c>
      <c r="J632" t="inlineStr">
        <is>
          <t>纳入</t>
        </is>
      </c>
      <c r="K632" t="n">
        <v>1032.301512287335</v>
      </c>
      <c r="L632">
        <f>导管母表_860!G632</f>
        <v/>
      </c>
      <c r="M632" t="inlineStr">
        <is>
          <t>视野内部</t>
        </is>
      </c>
      <c r="N632" t="inlineStr">
        <is>
          <t>纳入A/D/Dh；若有Pair_ID则纳入CWR</t>
        </is>
      </c>
      <c r="O632" t="inlineStr">
        <is>
          <t>自动管线检出的合格导管腔。</t>
        </is>
      </c>
      <c r="P632" t="inlineStr">
        <is>
          <t>auto_pipeline;review_png_green</t>
        </is>
      </c>
      <c r="Q632" t="inlineStr">
        <is>
          <t>58(2)-P01</t>
        </is>
      </c>
      <c r="R632" t="inlineStr">
        <is>
          <t>样品58</t>
        </is>
      </c>
    </row>
    <row r="633">
      <c r="A633" t="inlineStr">
        <is>
          <t>58(2)-V02</t>
        </is>
      </c>
      <c r="B633" t="inlineStr">
        <is>
          <t>58 (2).tif</t>
        </is>
      </c>
      <c r="C633" t="n">
        <v>152</v>
      </c>
      <c r="D633" t="n">
        <v>442</v>
      </c>
      <c r="E633" t="inlineStr">
        <is>
          <t>75,380,230,505</t>
        </is>
      </c>
      <c r="F633" t="n">
        <v>75</v>
      </c>
      <c r="G633" t="inlineStr">
        <is>
          <t>primary</t>
        </is>
      </c>
      <c r="H633" t="inlineStr">
        <is>
          <t>AUTO_VESSEL</t>
        </is>
      </c>
      <c r="I633" t="inlineStr">
        <is>
          <t>是</t>
        </is>
      </c>
      <c r="J633" t="inlineStr">
        <is>
          <t>纳入</t>
        </is>
      </c>
      <c r="K633" t="n">
        <v>705.7892249527411</v>
      </c>
      <c r="L633">
        <f>导管母表_860!G633</f>
        <v/>
      </c>
      <c r="M633" t="inlineStr">
        <is>
          <t>视野内部</t>
        </is>
      </c>
      <c r="N633" t="inlineStr">
        <is>
          <t>纳入A/D/Dh；若有Pair_ID则纳入CWR</t>
        </is>
      </c>
      <c r="O633" t="inlineStr">
        <is>
          <t>自动管线检出的合格导管腔。</t>
        </is>
      </c>
      <c r="P633" t="inlineStr">
        <is>
          <t>auto_pipeline;review_png_green</t>
        </is>
      </c>
      <c r="R633" t="inlineStr">
        <is>
          <t>样品58</t>
        </is>
      </c>
    </row>
    <row r="634">
      <c r="A634" t="inlineStr">
        <is>
          <t>58(2)-V03</t>
        </is>
      </c>
      <c r="B634" t="inlineStr">
        <is>
          <t>58 (2).tif</t>
        </is>
      </c>
      <c r="C634" t="n">
        <v>84</v>
      </c>
      <c r="D634" t="n">
        <v>85</v>
      </c>
      <c r="E634" t="inlineStr">
        <is>
          <t>14,25,155,146</t>
        </is>
      </c>
      <c r="F634" t="n">
        <v>14</v>
      </c>
      <c r="G634" t="inlineStr">
        <is>
          <t>primary</t>
        </is>
      </c>
      <c r="H634" t="inlineStr">
        <is>
          <t>AUTO_VESSEL</t>
        </is>
      </c>
      <c r="I634" t="inlineStr">
        <is>
          <t>是</t>
        </is>
      </c>
      <c r="J634" t="inlineStr">
        <is>
          <t>纳入</t>
        </is>
      </c>
      <c r="K634" t="n">
        <v>621.5500945179584</v>
      </c>
      <c r="L634">
        <f>导管母表_860!G634</f>
        <v/>
      </c>
      <c r="M634" t="inlineStr">
        <is>
          <t>近边缘（&lt;25 px）</t>
        </is>
      </c>
      <c r="N634" t="inlineStr">
        <is>
          <t>纳入A/D/Dh；若有Pair_ID则纳入CWR</t>
        </is>
      </c>
      <c r="O634" t="inlineStr">
        <is>
          <t>自动管线检出的合格导管腔。</t>
        </is>
      </c>
      <c r="P634" t="inlineStr">
        <is>
          <t>auto_pipeline;review_png_green</t>
        </is>
      </c>
      <c r="R634" t="inlineStr">
        <is>
          <t>样品58</t>
        </is>
      </c>
    </row>
    <row r="635">
      <c r="A635" t="inlineStr">
        <is>
          <t>58(2)-V04</t>
        </is>
      </c>
      <c r="B635" t="inlineStr">
        <is>
          <t>58 (2).tif</t>
        </is>
      </c>
      <c r="C635" t="n">
        <v>532</v>
      </c>
      <c r="D635" t="n">
        <v>383</v>
      </c>
      <c r="E635" t="inlineStr">
        <is>
          <t>477,323,588,444</t>
        </is>
      </c>
      <c r="F635" t="n">
        <v>323</v>
      </c>
      <c r="G635" t="inlineStr">
        <is>
          <t>primary</t>
        </is>
      </c>
      <c r="H635" t="inlineStr">
        <is>
          <t>AUTO_VESSEL</t>
        </is>
      </c>
      <c r="I635" t="inlineStr">
        <is>
          <t>是</t>
        </is>
      </c>
      <c r="J635" t="inlineStr">
        <is>
          <t>纳入</t>
        </is>
      </c>
      <c r="K635" t="n">
        <v>489.7920604914934</v>
      </c>
      <c r="L635">
        <f>导管母表_860!G635</f>
        <v/>
      </c>
      <c r="M635" t="inlineStr">
        <is>
          <t>视野内部</t>
        </is>
      </c>
      <c r="N635" t="inlineStr">
        <is>
          <t>纳入A/D/Dh；若有Pair_ID则纳入CWR</t>
        </is>
      </c>
      <c r="O635" t="inlineStr">
        <is>
          <t>自动管线检出的合格导管腔。</t>
        </is>
      </c>
      <c r="P635" t="inlineStr">
        <is>
          <t>auto_pipeline;review_png_green</t>
        </is>
      </c>
      <c r="Q635" t="inlineStr">
        <is>
          <t>58(2)-P01</t>
        </is>
      </c>
      <c r="R635" t="inlineStr">
        <is>
          <t>样品58</t>
        </is>
      </c>
    </row>
    <row r="636">
      <c r="A636" t="inlineStr">
        <is>
          <t>58(2)-V05</t>
        </is>
      </c>
      <c r="B636" t="inlineStr">
        <is>
          <t>58 (2).tif</t>
        </is>
      </c>
      <c r="C636" t="n">
        <v>885</v>
      </c>
      <c r="D636" t="n">
        <v>222</v>
      </c>
      <c r="E636" t="inlineStr">
        <is>
          <t>829,164,942,281</t>
        </is>
      </c>
      <c r="F636" t="n">
        <v>82</v>
      </c>
      <c r="G636" t="inlineStr">
        <is>
          <t>primary</t>
        </is>
      </c>
      <c r="H636" t="inlineStr">
        <is>
          <t>AUTO_VESSEL</t>
        </is>
      </c>
      <c r="I636" t="inlineStr">
        <is>
          <t>是</t>
        </is>
      </c>
      <c r="J636" t="inlineStr">
        <is>
          <t>纳入</t>
        </is>
      </c>
      <c r="K636" t="n">
        <v>446.7155009451796</v>
      </c>
      <c r="L636">
        <f>导管母表_860!G636</f>
        <v/>
      </c>
      <c r="M636" t="inlineStr">
        <is>
          <t>视野内部</t>
        </is>
      </c>
      <c r="N636" t="inlineStr">
        <is>
          <t>纳入A/D/Dh；若有Pair_ID则纳入CWR</t>
        </is>
      </c>
      <c r="O636" t="inlineStr">
        <is>
          <t>自动管线检出的合格导管腔。</t>
        </is>
      </c>
      <c r="P636" t="inlineStr">
        <is>
          <t>auto_pipeline;review_png_green</t>
        </is>
      </c>
      <c r="R636" t="inlineStr">
        <is>
          <t>样品58</t>
        </is>
      </c>
    </row>
    <row r="637">
      <c r="A637" t="inlineStr">
        <is>
          <t>58(2)-V06</t>
        </is>
      </c>
      <c r="B637" t="inlineStr">
        <is>
          <t>58 (2).tif</t>
        </is>
      </c>
      <c r="C637" t="n">
        <v>607</v>
      </c>
      <c r="D637" t="n">
        <v>374</v>
      </c>
      <c r="E637" t="inlineStr">
        <is>
          <t>584,342,631,407</t>
        </is>
      </c>
      <c r="F637" t="n">
        <v>342</v>
      </c>
      <c r="G637" t="inlineStr">
        <is>
          <t>primary</t>
        </is>
      </c>
      <c r="H637" t="inlineStr">
        <is>
          <t>AUTO_VESSEL</t>
        </is>
      </c>
      <c r="I637" t="inlineStr">
        <is>
          <t>是</t>
        </is>
      </c>
      <c r="J637" t="inlineStr">
        <is>
          <t>纳入</t>
        </is>
      </c>
      <c r="K637" t="n">
        <v>109.1918714555766</v>
      </c>
      <c r="L637">
        <f>导管母表_860!G637</f>
        <v/>
      </c>
      <c r="M637" t="inlineStr">
        <is>
          <t>视野内部</t>
        </is>
      </c>
      <c r="N637" t="inlineStr">
        <is>
          <t>纳入A/D/Dh；若有Pair_ID则纳入CWR</t>
        </is>
      </c>
      <c r="O637" t="inlineStr">
        <is>
          <t>自动管线检出的合格导管腔。</t>
        </is>
      </c>
      <c r="P637" t="inlineStr">
        <is>
          <t>auto_pipeline;review_png_green</t>
        </is>
      </c>
      <c r="R637" t="inlineStr">
        <is>
          <t>样品58</t>
        </is>
      </c>
    </row>
    <row r="638">
      <c r="A638" t="inlineStr">
        <is>
          <t>58(3)-V01</t>
        </is>
      </c>
      <c r="B638" t="inlineStr">
        <is>
          <t>58 (3).tif</t>
        </is>
      </c>
      <c r="C638" t="n">
        <v>911</v>
      </c>
      <c r="D638" t="n">
        <v>251</v>
      </c>
      <c r="E638" t="inlineStr">
        <is>
          <t>824,202,999,301</t>
        </is>
      </c>
      <c r="F638" t="n">
        <v>25</v>
      </c>
      <c r="G638" t="inlineStr">
        <is>
          <t>primary</t>
        </is>
      </c>
      <c r="H638" t="inlineStr">
        <is>
          <t>AUTO_VESSEL</t>
        </is>
      </c>
      <c r="I638" t="inlineStr">
        <is>
          <t>是</t>
        </is>
      </c>
      <c r="J638" t="inlineStr">
        <is>
          <t>纳入</t>
        </is>
      </c>
      <c r="K638" t="n">
        <v>633.624763705104</v>
      </c>
      <c r="L638">
        <f>导管母表_860!G638</f>
        <v/>
      </c>
      <c r="M638" t="inlineStr">
        <is>
          <t>视野内部</t>
        </is>
      </c>
      <c r="N638" t="inlineStr">
        <is>
          <t>纳入A/D/Dh；若有Pair_ID则纳入CWR</t>
        </is>
      </c>
      <c r="O638" t="inlineStr">
        <is>
          <t>自动管线检出的合格导管腔。</t>
        </is>
      </c>
      <c r="P638" t="inlineStr">
        <is>
          <t>auto_pipeline;review_png_green</t>
        </is>
      </c>
      <c r="R638" t="inlineStr">
        <is>
          <t>样品58</t>
        </is>
      </c>
    </row>
    <row r="639">
      <c r="A639" t="inlineStr">
        <is>
          <t>58(3)-V02</t>
        </is>
      </c>
      <c r="B639" t="inlineStr">
        <is>
          <t>58 (3).tif</t>
        </is>
      </c>
      <c r="C639" t="n">
        <v>419</v>
      </c>
      <c r="D639" t="n">
        <v>399</v>
      </c>
      <c r="E639" t="inlineStr">
        <is>
          <t>355,338,484,461</t>
        </is>
      </c>
      <c r="F639" t="n">
        <v>307</v>
      </c>
      <c r="G639" t="inlineStr">
        <is>
          <t>primary</t>
        </is>
      </c>
      <c r="H639" t="inlineStr">
        <is>
          <t>AUTO_VESSEL</t>
        </is>
      </c>
      <c r="I639" t="inlineStr">
        <is>
          <t>是</t>
        </is>
      </c>
      <c r="J639" t="inlineStr">
        <is>
          <t>纳入</t>
        </is>
      </c>
      <c r="K639" t="n">
        <v>578.9933837429112</v>
      </c>
      <c r="L639">
        <f>导管母表_860!G639</f>
        <v/>
      </c>
      <c r="M639" t="inlineStr">
        <is>
          <t>视野内部</t>
        </is>
      </c>
      <c r="N639" t="inlineStr">
        <is>
          <t>纳入A/D/Dh；若有Pair_ID则纳入CWR</t>
        </is>
      </c>
      <c r="O639" t="inlineStr">
        <is>
          <t>自动管线检出的合格导管腔。</t>
        </is>
      </c>
      <c r="P639" t="inlineStr">
        <is>
          <t>auto_pipeline;review_png_green</t>
        </is>
      </c>
      <c r="R639" t="inlineStr">
        <is>
          <t>样品58</t>
        </is>
      </c>
    </row>
    <row r="640">
      <c r="A640" t="inlineStr">
        <is>
          <t>58(3)-V03</t>
        </is>
      </c>
      <c r="B640" t="inlineStr">
        <is>
          <t>58 (3).tif</t>
        </is>
      </c>
      <c r="C640" t="n">
        <v>559</v>
      </c>
      <c r="D640" t="n">
        <v>344</v>
      </c>
      <c r="E640" t="inlineStr">
        <is>
          <t>494,287,625,402</t>
        </is>
      </c>
      <c r="F640" t="n">
        <v>287</v>
      </c>
      <c r="G640" t="inlineStr">
        <is>
          <t>primary</t>
        </is>
      </c>
      <c r="H640" t="inlineStr">
        <is>
          <t>AUTO_VESSEL</t>
        </is>
      </c>
      <c r="I640" t="inlineStr">
        <is>
          <t>是</t>
        </is>
      </c>
      <c r="J640" t="inlineStr">
        <is>
          <t>纳入</t>
        </is>
      </c>
      <c r="K640" t="n">
        <v>546.9990548204158</v>
      </c>
      <c r="L640">
        <f>导管母表_860!G640</f>
        <v/>
      </c>
      <c r="M640" t="inlineStr">
        <is>
          <t>视野内部</t>
        </is>
      </c>
      <c r="N640" t="inlineStr">
        <is>
          <t>纳入A/D/Dh；若有Pair_ID则纳入CWR</t>
        </is>
      </c>
      <c r="O640" t="inlineStr">
        <is>
          <t>自动管线检出的合格导管腔。</t>
        </is>
      </c>
      <c r="P640" t="inlineStr">
        <is>
          <t>auto_pipeline;review_png_green</t>
        </is>
      </c>
      <c r="R640" t="inlineStr">
        <is>
          <t>样品58</t>
        </is>
      </c>
    </row>
    <row r="641">
      <c r="A641" t="inlineStr">
        <is>
          <t>58(3)-V04</t>
        </is>
      </c>
      <c r="B641" t="inlineStr">
        <is>
          <t>58 (3).tif</t>
        </is>
      </c>
      <c r="C641" t="n">
        <v>903</v>
      </c>
      <c r="D641" t="n">
        <v>601</v>
      </c>
      <c r="E641" t="inlineStr">
        <is>
          <t>833,559,974,644</t>
        </is>
      </c>
      <c r="F641" t="n">
        <v>50</v>
      </c>
      <c r="G641" t="inlineStr">
        <is>
          <t>primary</t>
        </is>
      </c>
      <c r="H641" t="inlineStr">
        <is>
          <t>AUTO_VESSEL</t>
        </is>
      </c>
      <c r="I641" t="inlineStr">
        <is>
          <t>是</t>
        </is>
      </c>
      <c r="J641" t="inlineStr">
        <is>
          <t>纳入</t>
        </is>
      </c>
      <c r="K641" t="n">
        <v>436.9801512287335</v>
      </c>
      <c r="L641">
        <f>导管母表_860!G641</f>
        <v/>
      </c>
      <c r="M641" t="inlineStr">
        <is>
          <t>视野内部</t>
        </is>
      </c>
      <c r="N641" t="inlineStr">
        <is>
          <t>纳入A/D/Dh；若有Pair_ID则纳入CWR</t>
        </is>
      </c>
      <c r="O641" t="inlineStr">
        <is>
          <t>自动管线检出的合格导管腔。</t>
        </is>
      </c>
      <c r="P641" t="inlineStr">
        <is>
          <t>auto_pipeline;review_png_green</t>
        </is>
      </c>
      <c r="R641" t="inlineStr">
        <is>
          <t>样品58</t>
        </is>
      </c>
    </row>
    <row r="642">
      <c r="A642" t="inlineStr">
        <is>
          <t>58(3)-V05</t>
        </is>
      </c>
      <c r="B642" t="inlineStr">
        <is>
          <t>58 (3).tif</t>
        </is>
      </c>
      <c r="C642" t="n">
        <v>74</v>
      </c>
      <c r="D642" t="n">
        <v>583</v>
      </c>
      <c r="E642" t="inlineStr">
        <is>
          <t>29,547,120,620</t>
        </is>
      </c>
      <c r="F642" t="n">
        <v>29</v>
      </c>
      <c r="G642" t="inlineStr">
        <is>
          <t>primary</t>
        </is>
      </c>
      <c r="H642" t="inlineStr">
        <is>
          <t>AUTO_VESSEL</t>
        </is>
      </c>
      <c r="I642" t="inlineStr">
        <is>
          <t>是</t>
        </is>
      </c>
      <c r="J642" t="inlineStr">
        <is>
          <t>纳入</t>
        </is>
      </c>
      <c r="K642" t="n">
        <v>238.7523629489603</v>
      </c>
      <c r="L642">
        <f>导管母表_860!G642</f>
        <v/>
      </c>
      <c r="M642" t="inlineStr">
        <is>
          <t>视野内部</t>
        </is>
      </c>
      <c r="N642" t="inlineStr">
        <is>
          <t>纳入A/D/Dh；若有Pair_ID则纳入CWR</t>
        </is>
      </c>
      <c r="O642" t="inlineStr">
        <is>
          <t>自动管线检出的合格导管腔。</t>
        </is>
      </c>
      <c r="P642" t="inlineStr">
        <is>
          <t>auto_pipeline;review_png_green</t>
        </is>
      </c>
      <c r="R642" t="inlineStr">
        <is>
          <t>样品58</t>
        </is>
      </c>
    </row>
    <row r="643">
      <c r="A643" t="inlineStr">
        <is>
          <t>58(4)-V01</t>
        </is>
      </c>
      <c r="B643" t="inlineStr">
        <is>
          <t>58 (4).tif</t>
        </is>
      </c>
      <c r="C643" t="n">
        <v>431</v>
      </c>
      <c r="D643" t="n">
        <v>435</v>
      </c>
      <c r="E643" t="inlineStr">
        <is>
          <t>366,376,497,495</t>
        </is>
      </c>
      <c r="F643" t="n">
        <v>273</v>
      </c>
      <c r="G643" t="inlineStr">
        <is>
          <t>primary</t>
        </is>
      </c>
      <c r="H643" t="inlineStr">
        <is>
          <t>AUTO_VESSEL</t>
        </is>
      </c>
      <c r="I643" t="inlineStr">
        <is>
          <t>是</t>
        </is>
      </c>
      <c r="J643" t="inlineStr">
        <is>
          <t>纳入</t>
        </is>
      </c>
      <c r="K643" t="n">
        <v>566.9187145557656</v>
      </c>
      <c r="L643">
        <f>导管母表_860!G643</f>
        <v/>
      </c>
      <c r="M643" t="inlineStr">
        <is>
          <t>视野内部</t>
        </is>
      </c>
      <c r="N643" t="inlineStr">
        <is>
          <t>纳入A/D/Dh；若有Pair_ID则纳入CWR</t>
        </is>
      </c>
      <c r="O643" t="inlineStr">
        <is>
          <t>自动管线检出的合格导管腔。</t>
        </is>
      </c>
      <c r="P643" t="inlineStr">
        <is>
          <t>auto_pipeline;review_png_green</t>
        </is>
      </c>
      <c r="Q643" t="inlineStr">
        <is>
          <t>58(4)-P01</t>
        </is>
      </c>
      <c r="R643" t="inlineStr">
        <is>
          <t>样品58</t>
        </is>
      </c>
    </row>
    <row r="644">
      <c r="A644" t="inlineStr">
        <is>
          <t>58(4)-V02</t>
        </is>
      </c>
      <c r="B644" t="inlineStr">
        <is>
          <t>58 (4).tif</t>
        </is>
      </c>
      <c r="C644" t="n">
        <v>905</v>
      </c>
      <c r="D644" t="n">
        <v>602</v>
      </c>
      <c r="E644" t="inlineStr">
        <is>
          <t>844,547,967,658</t>
        </is>
      </c>
      <c r="F644" t="n">
        <v>57</v>
      </c>
      <c r="G644" t="inlineStr">
        <is>
          <t>primary</t>
        </is>
      </c>
      <c r="H644" t="inlineStr">
        <is>
          <t>AUTO_VESSEL</t>
        </is>
      </c>
      <c r="I644" t="inlineStr">
        <is>
          <t>是</t>
        </is>
      </c>
      <c r="J644" t="inlineStr">
        <is>
          <t>纳入</t>
        </is>
      </c>
      <c r="K644" t="n">
        <v>497.1644612476371</v>
      </c>
      <c r="L644">
        <f>导管母表_860!G644</f>
        <v/>
      </c>
      <c r="M644" t="inlineStr">
        <is>
          <t>视野内部</t>
        </is>
      </c>
      <c r="N644" t="inlineStr">
        <is>
          <t>纳入A/D/Dh；若有Pair_ID则纳入CWR</t>
        </is>
      </c>
      <c r="O644" t="inlineStr">
        <is>
          <t>自动管线检出的合格导管腔。</t>
        </is>
      </c>
      <c r="P644" t="inlineStr">
        <is>
          <t>auto_pipeline;review_png_green</t>
        </is>
      </c>
      <c r="R644" t="inlineStr">
        <is>
          <t>样品58</t>
        </is>
      </c>
    </row>
    <row r="645">
      <c r="A645" t="inlineStr">
        <is>
          <t>58(4)-V03</t>
        </is>
      </c>
      <c r="B645" t="inlineStr">
        <is>
          <t>58 (4).tif</t>
        </is>
      </c>
      <c r="C645" t="n">
        <v>555</v>
      </c>
      <c r="D645" t="n">
        <v>329</v>
      </c>
      <c r="E645" t="inlineStr">
        <is>
          <t>497,275,614,384</t>
        </is>
      </c>
      <c r="F645" t="n">
        <v>275</v>
      </c>
      <c r="G645" t="inlineStr">
        <is>
          <t>primary</t>
        </is>
      </c>
      <c r="H645" t="inlineStr">
        <is>
          <t>AUTO_VESSEL</t>
        </is>
      </c>
      <c r="I645" t="inlineStr">
        <is>
          <t>是</t>
        </is>
      </c>
      <c r="J645" t="inlineStr">
        <is>
          <t>纳入</t>
        </is>
      </c>
      <c r="K645" t="n">
        <v>448.5113421550095</v>
      </c>
      <c r="L645">
        <f>导管母表_860!G645</f>
        <v/>
      </c>
      <c r="M645" t="inlineStr">
        <is>
          <t>视野内部</t>
        </is>
      </c>
      <c r="N645" t="inlineStr">
        <is>
          <t>纳入A/D/Dh；若有Pair_ID则纳入CWR</t>
        </is>
      </c>
      <c r="O645" t="inlineStr">
        <is>
          <t>自动管线检出的合格导管腔。</t>
        </is>
      </c>
      <c r="P645" t="inlineStr">
        <is>
          <t>auto_pipeline;review_png_green</t>
        </is>
      </c>
      <c r="Q645" t="inlineStr">
        <is>
          <t>58(4)-P01</t>
        </is>
      </c>
      <c r="R645" t="inlineStr">
        <is>
          <t>样品58</t>
        </is>
      </c>
    </row>
    <row r="646">
      <c r="A646" t="inlineStr">
        <is>
          <t>58(4)-V04</t>
        </is>
      </c>
      <c r="B646" t="inlineStr">
        <is>
          <t>58 (4).tif</t>
        </is>
      </c>
      <c r="C646" t="n">
        <v>256</v>
      </c>
      <c r="D646" t="n">
        <v>398</v>
      </c>
      <c r="E646" t="inlineStr">
        <is>
          <t>197,347,316,450</t>
        </is>
      </c>
      <c r="F646" t="n">
        <v>197</v>
      </c>
      <c r="G646" t="inlineStr">
        <is>
          <t>primary</t>
        </is>
      </c>
      <c r="H646" t="inlineStr">
        <is>
          <t>AUTO_VESSEL</t>
        </is>
      </c>
      <c r="I646" t="inlineStr">
        <is>
          <t>是</t>
        </is>
      </c>
      <c r="J646" t="inlineStr">
        <is>
          <t>纳入</t>
        </is>
      </c>
      <c r="K646" t="n">
        <v>402.7646502835539</v>
      </c>
      <c r="L646">
        <f>导管母表_860!G646</f>
        <v/>
      </c>
      <c r="M646" t="inlineStr">
        <is>
          <t>视野内部</t>
        </is>
      </c>
      <c r="N646" t="inlineStr">
        <is>
          <t>纳入A/D/Dh；若有Pair_ID则纳入CWR</t>
        </is>
      </c>
      <c r="O646" t="inlineStr">
        <is>
          <t>自动管线检出的合格导管腔。</t>
        </is>
      </c>
      <c r="P646" t="inlineStr">
        <is>
          <t>auto_pipeline;review_png_green</t>
        </is>
      </c>
      <c r="R646" t="inlineStr">
        <is>
          <t>样品58</t>
        </is>
      </c>
    </row>
    <row r="647">
      <c r="A647" t="inlineStr">
        <is>
          <t>58(4)-V05</t>
        </is>
      </c>
      <c r="B647" t="inlineStr">
        <is>
          <t>58 (4).tif</t>
        </is>
      </c>
      <c r="C647" t="n">
        <v>88</v>
      </c>
      <c r="D647" t="n">
        <v>572</v>
      </c>
      <c r="E647" t="inlineStr">
        <is>
          <t>49,552,128,593</t>
        </is>
      </c>
      <c r="F647" t="n">
        <v>49</v>
      </c>
      <c r="G647" t="inlineStr">
        <is>
          <t>primary</t>
        </is>
      </c>
      <c r="H647" t="inlineStr">
        <is>
          <t>AUTO_VESSEL</t>
        </is>
      </c>
      <c r="I647" t="inlineStr">
        <is>
          <t>是</t>
        </is>
      </c>
      <c r="J647" t="inlineStr">
        <is>
          <t>纳入</t>
        </is>
      </c>
      <c r="K647" t="n">
        <v>106.687145557656</v>
      </c>
      <c r="L647">
        <f>导管母表_860!G647</f>
        <v/>
      </c>
      <c r="M647" t="inlineStr">
        <is>
          <t>视野内部</t>
        </is>
      </c>
      <c r="N647" t="inlineStr">
        <is>
          <t>纳入A/D/Dh；若有Pair_ID则纳入CWR</t>
        </is>
      </c>
      <c r="O647" t="inlineStr">
        <is>
          <t>自动管线检出的合格导管腔。</t>
        </is>
      </c>
      <c r="P647" t="inlineStr">
        <is>
          <t>auto_pipeline;review_png_green</t>
        </is>
      </c>
      <c r="R647" t="inlineStr">
        <is>
          <t>样品58</t>
        </is>
      </c>
    </row>
    <row r="648">
      <c r="A648" t="inlineStr">
        <is>
          <t>58(4)-V06</t>
        </is>
      </c>
      <c r="B648" t="inlineStr">
        <is>
          <t>58 (4).tif</t>
        </is>
      </c>
      <c r="C648" t="n">
        <v>158</v>
      </c>
      <c r="D648" t="n">
        <v>223</v>
      </c>
      <c r="E648" t="inlineStr">
        <is>
          <t>124,195,193,252</t>
        </is>
      </c>
      <c r="F648" t="n">
        <v>124</v>
      </c>
      <c r="G648" t="inlineStr">
        <is>
          <t>primary</t>
        </is>
      </c>
      <c r="H648" t="inlineStr">
        <is>
          <t>AUTO_VESSEL</t>
        </is>
      </c>
      <c r="I648" t="inlineStr">
        <is>
          <t>是</t>
        </is>
      </c>
      <c r="J648" t="inlineStr">
        <is>
          <t>纳入</t>
        </is>
      </c>
      <c r="K648" t="n">
        <v>101.7485822306238</v>
      </c>
      <c r="L648">
        <f>导管母表_860!G648</f>
        <v/>
      </c>
      <c r="M648" t="inlineStr">
        <is>
          <t>视野内部</t>
        </is>
      </c>
      <c r="N648" t="inlineStr">
        <is>
          <t>纳入A/D/Dh；若有Pair_ID则纳入CWR</t>
        </is>
      </c>
      <c r="O648" t="inlineStr">
        <is>
          <t>自动管线检出的合格导管腔。</t>
        </is>
      </c>
      <c r="P648" t="inlineStr">
        <is>
          <t>auto_pipeline;review_png_green</t>
        </is>
      </c>
      <c r="R648" t="inlineStr">
        <is>
          <t>样品58</t>
        </is>
      </c>
    </row>
    <row r="649">
      <c r="A649" t="inlineStr">
        <is>
          <t>58(5)-V01</t>
        </is>
      </c>
      <c r="B649" t="inlineStr">
        <is>
          <t>58 (5).tif</t>
        </is>
      </c>
      <c r="C649" t="n">
        <v>463</v>
      </c>
      <c r="D649" t="n">
        <v>295</v>
      </c>
      <c r="E649" t="inlineStr">
        <is>
          <t>385,213,542,378</t>
        </is>
      </c>
      <c r="F649" t="n">
        <v>213</v>
      </c>
      <c r="G649" t="inlineStr">
        <is>
          <t>primary</t>
        </is>
      </c>
      <c r="H649" t="inlineStr">
        <is>
          <t>AUTO_VESSEL</t>
        </is>
      </c>
      <c r="I649" t="inlineStr">
        <is>
          <t>是</t>
        </is>
      </c>
      <c r="J649" t="inlineStr">
        <is>
          <t>纳入</t>
        </is>
      </c>
      <c r="K649" t="n">
        <v>947.3298676748582</v>
      </c>
      <c r="L649">
        <f>导管母表_860!G649</f>
        <v/>
      </c>
      <c r="M649" t="inlineStr">
        <is>
          <t>视野内部</t>
        </is>
      </c>
      <c r="N649" t="inlineStr">
        <is>
          <t>纳入A/D/Dh；若有Pair_ID则纳入CWR</t>
        </is>
      </c>
      <c r="O649" t="inlineStr">
        <is>
          <t>自动管线检出的合格导管腔。</t>
        </is>
      </c>
      <c r="P649" t="inlineStr">
        <is>
          <t>auto_pipeline;review_png_green</t>
        </is>
      </c>
      <c r="R649" t="inlineStr">
        <is>
          <t>样品58</t>
        </is>
      </c>
    </row>
    <row r="650">
      <c r="A650" t="inlineStr">
        <is>
          <t>58(5)-V02</t>
        </is>
      </c>
      <c r="B650" t="inlineStr">
        <is>
          <t>58 (5).tif</t>
        </is>
      </c>
      <c r="C650" t="n">
        <v>485</v>
      </c>
      <c r="D650" t="n">
        <v>431</v>
      </c>
      <c r="E650" t="inlineStr">
        <is>
          <t>430,381,541,482</t>
        </is>
      </c>
      <c r="F650" t="n">
        <v>286</v>
      </c>
      <c r="G650" t="inlineStr">
        <is>
          <t>primary</t>
        </is>
      </c>
      <c r="H650" t="inlineStr">
        <is>
          <t>AUTO_VESSEL</t>
        </is>
      </c>
      <c r="I650" t="inlineStr">
        <is>
          <t>是</t>
        </is>
      </c>
      <c r="J650" t="inlineStr">
        <is>
          <t>纳入</t>
        </is>
      </c>
      <c r="K650" t="n">
        <v>407.8686200378072</v>
      </c>
      <c r="L650">
        <f>导管母表_860!G650</f>
        <v/>
      </c>
      <c r="M650" t="inlineStr">
        <is>
          <t>视野内部</t>
        </is>
      </c>
      <c r="N650" t="inlineStr">
        <is>
          <t>纳入A/D/Dh；若有Pair_ID则纳入CWR</t>
        </is>
      </c>
      <c r="O650" t="inlineStr">
        <is>
          <t>自动管线检出的合格导管腔。</t>
        </is>
      </c>
      <c r="P650" t="inlineStr">
        <is>
          <t>auto_pipeline;review_png_green</t>
        </is>
      </c>
      <c r="R650" t="inlineStr">
        <is>
          <t>样品58</t>
        </is>
      </c>
    </row>
    <row r="651">
      <c r="A651" t="inlineStr">
        <is>
          <t>58(6)-V01</t>
        </is>
      </c>
      <c r="B651" t="inlineStr">
        <is>
          <t>58 (6).tif</t>
        </is>
      </c>
      <c r="C651" t="n">
        <v>551</v>
      </c>
      <c r="D651" t="n">
        <v>462</v>
      </c>
      <c r="E651" t="inlineStr">
        <is>
          <t>478,384,625,541</t>
        </is>
      </c>
      <c r="F651" t="n">
        <v>227</v>
      </c>
      <c r="G651" t="inlineStr">
        <is>
          <t>primary</t>
        </is>
      </c>
      <c r="H651" t="inlineStr">
        <is>
          <t>AUTO_VESSEL</t>
        </is>
      </c>
      <c r="I651" t="inlineStr">
        <is>
          <t>是</t>
        </is>
      </c>
      <c r="J651" t="inlineStr">
        <is>
          <t>纳入</t>
        </is>
      </c>
      <c r="K651" t="n">
        <v>841.8005671077505</v>
      </c>
      <c r="L651">
        <f>导管母表_860!G651</f>
        <v/>
      </c>
      <c r="M651" t="inlineStr">
        <is>
          <t>视野内部</t>
        </is>
      </c>
      <c r="N651" t="inlineStr">
        <is>
          <t>纳入A/D/Dh；若有Pair_ID则纳入CWR</t>
        </is>
      </c>
      <c r="O651" t="inlineStr">
        <is>
          <t>自动管线检出的合格导管腔。</t>
        </is>
      </c>
      <c r="P651" t="inlineStr">
        <is>
          <t>auto_pipeline;review_png_green</t>
        </is>
      </c>
      <c r="Q651" t="inlineStr">
        <is>
          <t>58(6)-P01</t>
        </is>
      </c>
      <c r="R651" t="inlineStr">
        <is>
          <t>样品58</t>
        </is>
      </c>
    </row>
    <row r="652">
      <c r="A652" t="inlineStr">
        <is>
          <t>58(6)-V02</t>
        </is>
      </c>
      <c r="B652" t="inlineStr">
        <is>
          <t>58 (6).tif</t>
        </is>
      </c>
      <c r="C652" t="n">
        <v>336</v>
      </c>
      <c r="D652" t="n">
        <v>150</v>
      </c>
      <c r="E652" t="inlineStr">
        <is>
          <t>269,83,404,218</t>
        </is>
      </c>
      <c r="F652" t="n">
        <v>83</v>
      </c>
      <c r="G652" t="inlineStr">
        <is>
          <t>primary</t>
        </is>
      </c>
      <c r="H652" t="inlineStr">
        <is>
          <t>AUTO_VESSEL</t>
        </is>
      </c>
      <c r="I652" t="inlineStr">
        <is>
          <t>是</t>
        </is>
      </c>
      <c r="J652" t="inlineStr">
        <is>
          <t>纳入</t>
        </is>
      </c>
      <c r="K652" t="n">
        <v>664.7448015122874</v>
      </c>
      <c r="L652">
        <f>导管母表_860!G652</f>
        <v/>
      </c>
      <c r="M652" t="inlineStr">
        <is>
          <t>视野内部</t>
        </is>
      </c>
      <c r="N652" t="inlineStr">
        <is>
          <t>纳入A/D/Dh；若有Pair_ID则纳入CWR</t>
        </is>
      </c>
      <c r="O652" t="inlineStr">
        <is>
          <t>自动管线检出的合格导管腔。</t>
        </is>
      </c>
      <c r="P652" t="inlineStr">
        <is>
          <t>auto_pipeline;review_png_green</t>
        </is>
      </c>
      <c r="R652" t="inlineStr">
        <is>
          <t>样品58</t>
        </is>
      </c>
    </row>
    <row r="653">
      <c r="A653" t="inlineStr">
        <is>
          <t>58(6)-V03</t>
        </is>
      </c>
      <c r="B653" t="inlineStr">
        <is>
          <t>58 (6).tif</t>
        </is>
      </c>
      <c r="C653" t="n">
        <v>460</v>
      </c>
      <c r="D653" t="n">
        <v>335</v>
      </c>
      <c r="E653" t="inlineStr">
        <is>
          <t>396,264,525,407</t>
        </is>
      </c>
      <c r="F653" t="n">
        <v>264</v>
      </c>
      <c r="G653" t="inlineStr">
        <is>
          <t>primary</t>
        </is>
      </c>
      <c r="H653" t="inlineStr">
        <is>
          <t>AUTO_VESSEL</t>
        </is>
      </c>
      <c r="I653" t="inlineStr">
        <is>
          <t>是</t>
        </is>
      </c>
      <c r="J653" t="inlineStr">
        <is>
          <t>纳入</t>
        </is>
      </c>
      <c r="K653" t="n">
        <v>640.8317580340265</v>
      </c>
      <c r="L653">
        <f>导管母表_860!G653</f>
        <v/>
      </c>
      <c r="M653" t="inlineStr">
        <is>
          <t>视野内部</t>
        </is>
      </c>
      <c r="N653" t="inlineStr">
        <is>
          <t>纳入A/D/Dh；若有Pair_ID则纳入CWR</t>
        </is>
      </c>
      <c r="O653" t="inlineStr">
        <is>
          <t>自动管线检出的合格导管腔。</t>
        </is>
      </c>
      <c r="P653" t="inlineStr">
        <is>
          <t>auto_pipeline;review_png_green</t>
        </is>
      </c>
      <c r="Q653" t="inlineStr">
        <is>
          <t>58(6)-P01</t>
        </is>
      </c>
      <c r="R653" t="inlineStr">
        <is>
          <t>样品58</t>
        </is>
      </c>
    </row>
    <row r="654">
      <c r="A654" t="inlineStr">
        <is>
          <t>58(6)-V04</t>
        </is>
      </c>
      <c r="B654" t="inlineStr">
        <is>
          <t>58 (6).tif</t>
        </is>
      </c>
      <c r="C654" t="n">
        <v>146</v>
      </c>
      <c r="D654" t="n">
        <v>606</v>
      </c>
      <c r="E654" t="inlineStr">
        <is>
          <t>88,554,205,659</t>
        </is>
      </c>
      <c r="F654" t="n">
        <v>88</v>
      </c>
      <c r="G654" t="inlineStr">
        <is>
          <t>primary</t>
        </is>
      </c>
      <c r="H654" t="inlineStr">
        <is>
          <t>AUTO_VESSEL</t>
        </is>
      </c>
      <c r="I654" t="inlineStr">
        <is>
          <t>是</t>
        </is>
      </c>
      <c r="J654" t="inlineStr">
        <is>
          <t>纳入</t>
        </is>
      </c>
      <c r="K654" t="n">
        <v>448.3931947069943</v>
      </c>
      <c r="L654">
        <f>导管母表_860!G654</f>
        <v/>
      </c>
      <c r="M654" t="inlineStr">
        <is>
          <t>视野内部</t>
        </is>
      </c>
      <c r="N654" t="inlineStr">
        <is>
          <t>纳入A/D/Dh；若有Pair_ID则纳入CWR</t>
        </is>
      </c>
      <c r="O654" t="inlineStr">
        <is>
          <t>自动管线检出的合格导管腔。</t>
        </is>
      </c>
      <c r="P654" t="inlineStr">
        <is>
          <t>auto_pipeline;review_png_green</t>
        </is>
      </c>
      <c r="R654" t="inlineStr">
        <is>
          <t>样品58</t>
        </is>
      </c>
    </row>
    <row r="655">
      <c r="A655" t="inlineStr">
        <is>
          <t>58(6)-V05</t>
        </is>
      </c>
      <c r="B655" t="inlineStr">
        <is>
          <t>58 (6).tif</t>
        </is>
      </c>
      <c r="C655" t="n">
        <v>405</v>
      </c>
      <c r="D655" t="n">
        <v>269</v>
      </c>
      <c r="E655" t="inlineStr">
        <is>
          <t>373,237,438,302</t>
        </is>
      </c>
      <c r="F655" t="n">
        <v>237</v>
      </c>
      <c r="G655" t="inlineStr">
        <is>
          <t>primary</t>
        </is>
      </c>
      <c r="H655" t="inlineStr">
        <is>
          <t>AUTO_VESSEL</t>
        </is>
      </c>
      <c r="I655" t="inlineStr">
        <is>
          <t>是</t>
        </is>
      </c>
      <c r="J655" t="inlineStr">
        <is>
          <t>纳入</t>
        </is>
      </c>
      <c r="K655" t="n">
        <v>147.3534971644613</v>
      </c>
      <c r="L655">
        <f>导管母表_860!G655</f>
        <v/>
      </c>
      <c r="M655" t="inlineStr">
        <is>
          <t>视野内部</t>
        </is>
      </c>
      <c r="N655" t="inlineStr">
        <is>
          <t>纳入A/D/Dh；若有Pair_ID则纳入CWR</t>
        </is>
      </c>
      <c r="O655" t="inlineStr">
        <is>
          <t>自动管线检出的合格导管腔。</t>
        </is>
      </c>
      <c r="P655" t="inlineStr">
        <is>
          <t>auto_pipeline;review_png_green</t>
        </is>
      </c>
      <c r="R655" t="inlineStr">
        <is>
          <t>样品58</t>
        </is>
      </c>
    </row>
    <row r="656">
      <c r="A656" t="inlineStr">
        <is>
          <t>58(6)-V06</t>
        </is>
      </c>
      <c r="B656" t="inlineStr">
        <is>
          <t>58 (6).tif</t>
        </is>
      </c>
      <c r="C656" t="n">
        <v>635</v>
      </c>
      <c r="D656" t="n">
        <v>67</v>
      </c>
      <c r="E656" t="inlineStr">
        <is>
          <t>603,18,668,117</t>
        </is>
      </c>
      <c r="F656" t="n">
        <v>18</v>
      </c>
      <c r="G656" t="inlineStr">
        <is>
          <t>primary</t>
        </is>
      </c>
      <c r="H656" t="inlineStr">
        <is>
          <t>AUTO_VESSEL</t>
        </is>
      </c>
      <c r="I656" t="inlineStr">
        <is>
          <t>是</t>
        </is>
      </c>
      <c r="J656" t="inlineStr">
        <is>
          <t>纳入</t>
        </is>
      </c>
      <c r="K656" t="n">
        <v>141.9659735349717</v>
      </c>
      <c r="L656">
        <f>导管母表_860!G656</f>
        <v/>
      </c>
      <c r="M656" t="inlineStr">
        <is>
          <t>近边缘（&lt;25 px）</t>
        </is>
      </c>
      <c r="N656" t="inlineStr">
        <is>
          <t>纳入A/D/Dh；若有Pair_ID则纳入CWR</t>
        </is>
      </c>
      <c r="O656" t="inlineStr">
        <is>
          <t>自动管线检出的合格导管腔。</t>
        </is>
      </c>
      <c r="P656" t="inlineStr">
        <is>
          <t>auto_pipeline;review_png_green</t>
        </is>
      </c>
      <c r="R656" t="inlineStr">
        <is>
          <t>样品58</t>
        </is>
      </c>
    </row>
    <row r="657">
      <c r="A657" t="inlineStr">
        <is>
          <t>58(6)-V07</t>
        </is>
      </c>
      <c r="B657" t="inlineStr">
        <is>
          <t>58 (6).tif</t>
        </is>
      </c>
      <c r="C657" t="n">
        <v>409</v>
      </c>
      <c r="D657" t="n">
        <v>77</v>
      </c>
      <c r="E657" t="inlineStr">
        <is>
          <t>371,33,448,122</t>
        </is>
      </c>
      <c r="F657" t="n">
        <v>33</v>
      </c>
      <c r="G657" t="inlineStr">
        <is>
          <t>primary</t>
        </is>
      </c>
      <c r="H657" t="inlineStr">
        <is>
          <t>AUTO_VESSEL</t>
        </is>
      </c>
      <c r="I657" t="inlineStr">
        <is>
          <t>是</t>
        </is>
      </c>
      <c r="J657" t="inlineStr">
        <is>
          <t>纳入</t>
        </is>
      </c>
      <c r="K657" t="n">
        <v>139.1540642722117</v>
      </c>
      <c r="L657">
        <f>导管母表_860!G657</f>
        <v/>
      </c>
      <c r="M657" t="inlineStr">
        <is>
          <t>视野内部</t>
        </is>
      </c>
      <c r="N657" t="inlineStr">
        <is>
          <t>纳入A/D/Dh；若有Pair_ID则纳入CWR</t>
        </is>
      </c>
      <c r="O657" t="inlineStr">
        <is>
          <t>自动管线检出的合格导管腔。</t>
        </is>
      </c>
      <c r="P657" t="inlineStr">
        <is>
          <t>auto_pipeline;review_png_green</t>
        </is>
      </c>
      <c r="R657" t="inlineStr">
        <is>
          <t>样品58</t>
        </is>
      </c>
    </row>
    <row r="658">
      <c r="A658" t="inlineStr">
        <is>
          <t>58(6)-V08</t>
        </is>
      </c>
      <c r="B658" t="inlineStr">
        <is>
          <t>58 (6).tif</t>
        </is>
      </c>
      <c r="C658" t="n">
        <v>469</v>
      </c>
      <c r="D658" t="n">
        <v>162</v>
      </c>
      <c r="E658" t="inlineStr">
        <is>
          <t>440,127,499,198</t>
        </is>
      </c>
      <c r="F658" t="n">
        <v>127</v>
      </c>
      <c r="G658" t="inlineStr">
        <is>
          <t>primary</t>
        </is>
      </c>
      <c r="H658" t="inlineStr">
        <is>
          <t>AUTO_VESSEL</t>
        </is>
      </c>
      <c r="I658" t="inlineStr">
        <is>
          <t>是</t>
        </is>
      </c>
      <c r="J658" t="inlineStr">
        <is>
          <t>纳入</t>
        </is>
      </c>
      <c r="K658" t="n">
        <v>133.5775047258979</v>
      </c>
      <c r="L658">
        <f>导管母表_860!G658</f>
        <v/>
      </c>
      <c r="M658" t="inlineStr">
        <is>
          <t>视野内部</t>
        </is>
      </c>
      <c r="N658" t="inlineStr">
        <is>
          <t>纳入A/D/Dh；若有Pair_ID则纳入CWR</t>
        </is>
      </c>
      <c r="O658" t="inlineStr">
        <is>
          <t>自动管线检出的合格导管腔。</t>
        </is>
      </c>
      <c r="P658" t="inlineStr">
        <is>
          <t>auto_pipeline;review_png_green</t>
        </is>
      </c>
      <c r="R658" t="inlineStr">
        <is>
          <t>样品58</t>
        </is>
      </c>
    </row>
    <row r="659">
      <c r="A659" t="inlineStr">
        <is>
          <t>58(7)-V01</t>
        </is>
      </c>
      <c r="B659" t="inlineStr">
        <is>
          <t>58 (7).tif</t>
        </is>
      </c>
      <c r="C659" t="n">
        <v>136</v>
      </c>
      <c r="D659" t="n">
        <v>217</v>
      </c>
      <c r="E659" t="inlineStr">
        <is>
          <t>55,143,218,292</t>
        </is>
      </c>
      <c r="F659" t="n">
        <v>55</v>
      </c>
      <c r="G659" t="inlineStr">
        <is>
          <t>primary</t>
        </is>
      </c>
      <c r="H659" t="inlineStr">
        <is>
          <t>AUTO_VESSEL</t>
        </is>
      </c>
      <c r="I659" t="inlineStr">
        <is>
          <t>是</t>
        </is>
      </c>
      <c r="J659" t="inlineStr">
        <is>
          <t>纳入</t>
        </is>
      </c>
      <c r="K659" t="n">
        <v>861.8856332703214</v>
      </c>
      <c r="L659">
        <f>导管母表_860!G659</f>
        <v/>
      </c>
      <c r="M659" t="inlineStr">
        <is>
          <t>视野内部</t>
        </is>
      </c>
      <c r="N659" t="inlineStr">
        <is>
          <t>纳入A/D/Dh；若有Pair_ID则纳入CWR</t>
        </is>
      </c>
      <c r="O659" t="inlineStr">
        <is>
          <t>自动管线检出的合格导管腔。</t>
        </is>
      </c>
      <c r="P659" t="inlineStr">
        <is>
          <t>auto_pipeline;review_png_green</t>
        </is>
      </c>
      <c r="R659" t="inlineStr">
        <is>
          <t>样品58</t>
        </is>
      </c>
    </row>
    <row r="660">
      <c r="A660" t="inlineStr">
        <is>
          <t>58(7)-V02</t>
        </is>
      </c>
      <c r="B660" t="inlineStr">
        <is>
          <t>58 (7).tif</t>
        </is>
      </c>
      <c r="C660" t="n">
        <v>460</v>
      </c>
      <c r="D660" t="n">
        <v>337</v>
      </c>
      <c r="E660" t="inlineStr">
        <is>
          <t>410,277,511,398</t>
        </is>
      </c>
      <c r="F660" t="n">
        <v>277</v>
      </c>
      <c r="G660" t="inlineStr">
        <is>
          <t>primary</t>
        </is>
      </c>
      <c r="H660" t="inlineStr">
        <is>
          <t>AUTO_VESSEL</t>
        </is>
      </c>
      <c r="I660" t="inlineStr">
        <is>
          <t>是</t>
        </is>
      </c>
      <c r="J660" t="inlineStr">
        <is>
          <t>纳入</t>
        </is>
      </c>
      <c r="K660" t="n">
        <v>435.6805293005671</v>
      </c>
      <c r="L660">
        <f>导管母表_860!G660</f>
        <v/>
      </c>
      <c r="M660" t="inlineStr">
        <is>
          <t>视野内部</t>
        </is>
      </c>
      <c r="N660" t="inlineStr">
        <is>
          <t>纳入A/D/Dh；若有Pair_ID则纳入CWR</t>
        </is>
      </c>
      <c r="O660" t="inlineStr">
        <is>
          <t>自动管线检出的合格导管腔。</t>
        </is>
      </c>
      <c r="P660" t="inlineStr">
        <is>
          <t>auto_pipeline;review_png_green</t>
        </is>
      </c>
      <c r="Q660" t="inlineStr">
        <is>
          <t>58(7)-P01</t>
        </is>
      </c>
      <c r="R660" t="inlineStr">
        <is>
          <t>样品58</t>
        </is>
      </c>
    </row>
    <row r="661">
      <c r="A661" t="inlineStr">
        <is>
          <t>58(7)-V03</t>
        </is>
      </c>
      <c r="B661" t="inlineStr">
        <is>
          <t>58 (7).tif</t>
        </is>
      </c>
      <c r="C661" t="n">
        <v>557</v>
      </c>
      <c r="D661" t="n">
        <v>407</v>
      </c>
      <c r="E661" t="inlineStr">
        <is>
          <t>502,355,613,460</t>
        </is>
      </c>
      <c r="F661" t="n">
        <v>308</v>
      </c>
      <c r="G661" t="inlineStr">
        <is>
          <t>primary</t>
        </is>
      </c>
      <c r="H661" t="inlineStr">
        <is>
          <t>AUTO_VESSEL</t>
        </is>
      </c>
      <c r="I661" t="inlineStr">
        <is>
          <t>是</t>
        </is>
      </c>
      <c r="J661" t="inlineStr">
        <is>
          <t>纳入</t>
        </is>
      </c>
      <c r="K661" t="n">
        <v>419.5888468809074</v>
      </c>
      <c r="L661">
        <f>导管母表_860!G661</f>
        <v/>
      </c>
      <c r="M661" t="inlineStr">
        <is>
          <t>视野内部</t>
        </is>
      </c>
      <c r="N661" t="inlineStr">
        <is>
          <t>纳入A/D/Dh；若有Pair_ID则纳入CWR</t>
        </is>
      </c>
      <c r="O661" t="inlineStr">
        <is>
          <t>自动管线检出的合格导管腔。</t>
        </is>
      </c>
      <c r="P661" t="inlineStr">
        <is>
          <t>auto_pipeline;review_png_green</t>
        </is>
      </c>
      <c r="Q661" t="inlineStr">
        <is>
          <t>58(7)-P01</t>
        </is>
      </c>
      <c r="R661" t="inlineStr">
        <is>
          <t>样品58</t>
        </is>
      </c>
    </row>
    <row r="662">
      <c r="A662" t="inlineStr">
        <is>
          <t>58(7)-V04</t>
        </is>
      </c>
      <c r="B662" t="inlineStr">
        <is>
          <t>58 (7).tif</t>
        </is>
      </c>
      <c r="C662" t="n">
        <v>261</v>
      </c>
      <c r="D662" t="n">
        <v>431</v>
      </c>
      <c r="E662" t="inlineStr">
        <is>
          <t>181,361,342,502</t>
        </is>
      </c>
      <c r="F662" t="n">
        <v>181</v>
      </c>
      <c r="G662" t="inlineStr">
        <is>
          <t>primary</t>
        </is>
      </c>
      <c r="H662" t="inlineStr">
        <is>
          <t>AUTO_VESSEL</t>
        </is>
      </c>
      <c r="I662" t="inlineStr">
        <is>
          <t>是</t>
        </is>
      </c>
      <c r="J662" t="inlineStr">
        <is>
          <t>纳入</t>
        </is>
      </c>
      <c r="K662" t="n">
        <v>311.8620037807183</v>
      </c>
      <c r="L662">
        <f>导管母表_860!G662</f>
        <v/>
      </c>
      <c r="M662" t="inlineStr">
        <is>
          <t>视野内部</t>
        </is>
      </c>
      <c r="N662" t="inlineStr">
        <is>
          <t>纳入A/D/Dh；若有Pair_ID则纳入CWR</t>
        </is>
      </c>
      <c r="O662" t="inlineStr">
        <is>
          <t>自动管线检出的合格导管腔。</t>
        </is>
      </c>
      <c r="P662" t="inlineStr">
        <is>
          <t>auto_pipeline;review_png_green</t>
        </is>
      </c>
      <c r="R662" t="inlineStr">
        <is>
          <t>样品58</t>
        </is>
      </c>
    </row>
    <row r="663">
      <c r="A663" t="inlineStr">
        <is>
          <t>58(7)-V05</t>
        </is>
      </c>
      <c r="B663" t="inlineStr">
        <is>
          <t>58 (7).tif</t>
        </is>
      </c>
      <c r="C663" t="n">
        <v>767</v>
      </c>
      <c r="D663" t="n">
        <v>141</v>
      </c>
      <c r="E663" t="inlineStr">
        <is>
          <t>732,104,803,179</t>
        </is>
      </c>
      <c r="F663" t="n">
        <v>104</v>
      </c>
      <c r="G663" t="inlineStr">
        <is>
          <t>primary</t>
        </is>
      </c>
      <c r="H663" t="inlineStr">
        <is>
          <t>AUTO_VESSEL</t>
        </is>
      </c>
      <c r="I663" t="inlineStr">
        <is>
          <t>是</t>
        </is>
      </c>
      <c r="J663" t="inlineStr">
        <is>
          <t>纳入</t>
        </is>
      </c>
      <c r="K663" t="n">
        <v>182.9158790170132</v>
      </c>
      <c r="L663">
        <f>导管母表_860!G663</f>
        <v/>
      </c>
      <c r="M663" t="inlineStr">
        <is>
          <t>视野内部</t>
        </is>
      </c>
      <c r="N663" t="inlineStr">
        <is>
          <t>纳入A/D/Dh；若有Pair_ID则纳入CWR</t>
        </is>
      </c>
      <c r="O663" t="inlineStr">
        <is>
          <t>自动管线检出的合格导管腔。</t>
        </is>
      </c>
      <c r="P663" t="inlineStr">
        <is>
          <t>auto_pipeline;review_png_green</t>
        </is>
      </c>
      <c r="R663" t="inlineStr">
        <is>
          <t>样品58</t>
        </is>
      </c>
    </row>
    <row r="664">
      <c r="A664" t="inlineStr">
        <is>
          <t>58(8)-V01</t>
        </is>
      </c>
      <c r="B664" t="inlineStr">
        <is>
          <t>58 (8).tif</t>
        </is>
      </c>
      <c r="C664" t="n">
        <v>584</v>
      </c>
      <c r="D664" t="n">
        <v>386</v>
      </c>
      <c r="E664" t="inlineStr">
        <is>
          <t>507,302,662,471</t>
        </is>
      </c>
      <c r="F664" t="n">
        <v>297</v>
      </c>
      <c r="G664" t="inlineStr">
        <is>
          <t>primary</t>
        </is>
      </c>
      <c r="H664" t="inlineStr">
        <is>
          <t>AUTO_VESSEL</t>
        </is>
      </c>
      <c r="I664" t="inlineStr">
        <is>
          <t>是</t>
        </is>
      </c>
      <c r="J664" t="inlineStr">
        <is>
          <t>纳入</t>
        </is>
      </c>
      <c r="K664" t="n">
        <v>958.8374291115312</v>
      </c>
      <c r="L664">
        <f>导管母表_860!G664</f>
        <v/>
      </c>
      <c r="M664" t="inlineStr">
        <is>
          <t>视野内部</t>
        </is>
      </c>
      <c r="N664" t="inlineStr">
        <is>
          <t>纳入A/D/Dh；若有Pair_ID则纳入CWR</t>
        </is>
      </c>
      <c r="O664" t="inlineStr">
        <is>
          <t>自动管线检出的合格导管腔。</t>
        </is>
      </c>
      <c r="P664" t="inlineStr">
        <is>
          <t>auto_pipeline;review_png_green</t>
        </is>
      </c>
      <c r="Q664" t="inlineStr">
        <is>
          <t>58(8)-P01</t>
        </is>
      </c>
      <c r="R664" t="inlineStr">
        <is>
          <t>样品58</t>
        </is>
      </c>
    </row>
    <row r="665">
      <c r="A665" t="inlineStr">
        <is>
          <t>58(8)-V02</t>
        </is>
      </c>
      <c r="B665" t="inlineStr">
        <is>
          <t>58 (8).tif</t>
        </is>
      </c>
      <c r="C665" t="n">
        <v>420</v>
      </c>
      <c r="D665" t="n">
        <v>327</v>
      </c>
      <c r="E665" t="inlineStr">
        <is>
          <t>353,261,488,394</t>
        </is>
      </c>
      <c r="F665" t="n">
        <v>261</v>
      </c>
      <c r="G665" t="inlineStr">
        <is>
          <t>primary</t>
        </is>
      </c>
      <c r="H665" t="inlineStr">
        <is>
          <t>AUTO_VESSEL</t>
        </is>
      </c>
      <c r="I665" t="inlineStr">
        <is>
          <t>是</t>
        </is>
      </c>
      <c r="J665" t="inlineStr">
        <is>
          <t>纳入</t>
        </is>
      </c>
      <c r="K665" t="n">
        <v>656.3327032136106</v>
      </c>
      <c r="L665">
        <f>导管母表_860!G665</f>
        <v/>
      </c>
      <c r="M665" t="inlineStr">
        <is>
          <t>视野内部</t>
        </is>
      </c>
      <c r="N665" t="inlineStr">
        <is>
          <t>纳入A/D/Dh；若有Pair_ID则纳入CWR</t>
        </is>
      </c>
      <c r="O665" t="inlineStr">
        <is>
          <t>自动管线检出的合格导管腔。</t>
        </is>
      </c>
      <c r="P665" t="inlineStr">
        <is>
          <t>auto_pipeline;review_png_green</t>
        </is>
      </c>
      <c r="Q665" t="inlineStr">
        <is>
          <t>58(8)-P01</t>
        </is>
      </c>
      <c r="R665" t="inlineStr">
        <is>
          <t>样品58</t>
        </is>
      </c>
    </row>
    <row r="666">
      <c r="A666" t="inlineStr">
        <is>
          <t>58(8)-V03</t>
        </is>
      </c>
      <c r="B666" t="inlineStr">
        <is>
          <t>58 (8).tif</t>
        </is>
      </c>
      <c r="C666" t="n">
        <v>839</v>
      </c>
      <c r="D666" t="n">
        <v>464</v>
      </c>
      <c r="E666" t="inlineStr">
        <is>
          <t>782,411,897,518</t>
        </is>
      </c>
      <c r="F666" t="n">
        <v>127</v>
      </c>
      <c r="G666" t="inlineStr">
        <is>
          <t>primary</t>
        </is>
      </c>
      <c r="H666" t="inlineStr">
        <is>
          <t>AUTO_VESSEL</t>
        </is>
      </c>
      <c r="I666" t="inlineStr">
        <is>
          <t>是</t>
        </is>
      </c>
      <c r="J666" t="inlineStr">
        <is>
          <t>纳入</t>
        </is>
      </c>
      <c r="K666" t="n">
        <v>449.054820415879</v>
      </c>
      <c r="L666">
        <f>导管母表_860!G666</f>
        <v/>
      </c>
      <c r="M666" t="inlineStr">
        <is>
          <t>视野内部</t>
        </is>
      </c>
      <c r="N666" t="inlineStr">
        <is>
          <t>纳入A/D/Dh；若有Pair_ID则纳入CWR</t>
        </is>
      </c>
      <c r="O666" t="inlineStr">
        <is>
          <t>自动管线检出的合格导管腔。</t>
        </is>
      </c>
      <c r="P666" t="inlineStr">
        <is>
          <t>auto_pipeline;review_png_green</t>
        </is>
      </c>
      <c r="R666" t="inlineStr">
        <is>
          <t>样品58</t>
        </is>
      </c>
    </row>
    <row r="667">
      <c r="A667" t="inlineStr">
        <is>
          <t>58(8)-V04</t>
        </is>
      </c>
      <c r="B667" t="inlineStr">
        <is>
          <t>58 (8).tif</t>
        </is>
      </c>
      <c r="C667" t="n">
        <v>241</v>
      </c>
      <c r="D667" t="n">
        <v>63</v>
      </c>
      <c r="E667" t="inlineStr">
        <is>
          <t>193,24,290,103</t>
        </is>
      </c>
      <c r="F667" t="n">
        <v>24</v>
      </c>
      <c r="G667" t="inlineStr">
        <is>
          <t>primary</t>
        </is>
      </c>
      <c r="H667" t="inlineStr">
        <is>
          <t>AUTO_VESSEL</t>
        </is>
      </c>
      <c r="I667" t="inlineStr">
        <is>
          <t>是</t>
        </is>
      </c>
      <c r="J667" t="inlineStr">
        <is>
          <t>纳入</t>
        </is>
      </c>
      <c r="K667" t="n">
        <v>276.4886578449905</v>
      </c>
      <c r="L667">
        <f>导管母表_860!G667</f>
        <v/>
      </c>
      <c r="M667" t="inlineStr">
        <is>
          <t>近边缘（&lt;25 px）</t>
        </is>
      </c>
      <c r="N667" t="inlineStr">
        <is>
          <t>纳入A/D/Dh；若有Pair_ID则纳入CWR</t>
        </is>
      </c>
      <c r="O667" t="inlineStr">
        <is>
          <t>自动管线检出的合格导管腔。</t>
        </is>
      </c>
      <c r="P667" t="inlineStr">
        <is>
          <t>auto_pipeline;review_png_green</t>
        </is>
      </c>
      <c r="R667" t="inlineStr">
        <is>
          <t>样品58</t>
        </is>
      </c>
    </row>
    <row r="668">
      <c r="A668" t="inlineStr">
        <is>
          <t>58(8)-V05</t>
        </is>
      </c>
      <c r="B668" t="inlineStr">
        <is>
          <t>58 (8).tif</t>
        </is>
      </c>
      <c r="C668" t="n">
        <v>56</v>
      </c>
      <c r="D668" t="n">
        <v>174</v>
      </c>
      <c r="E668" t="inlineStr">
        <is>
          <t>28,132,85,217</t>
        </is>
      </c>
      <c r="F668" t="n">
        <v>28</v>
      </c>
      <c r="G668" t="inlineStr">
        <is>
          <t>primary</t>
        </is>
      </c>
      <c r="H668" t="inlineStr">
        <is>
          <t>AUTO_VESSEL</t>
        </is>
      </c>
      <c r="I668" t="inlineStr">
        <is>
          <t>是</t>
        </is>
      </c>
      <c r="J668" t="inlineStr">
        <is>
          <t>纳入</t>
        </is>
      </c>
      <c r="K668" t="n">
        <v>150.0945179584121</v>
      </c>
      <c r="L668">
        <f>导管母表_860!G668</f>
        <v/>
      </c>
      <c r="M668" t="inlineStr">
        <is>
          <t>视野内部</t>
        </is>
      </c>
      <c r="N668" t="inlineStr">
        <is>
          <t>纳入A/D/Dh；若有Pair_ID则纳入CWR</t>
        </is>
      </c>
      <c r="O668" t="inlineStr">
        <is>
          <t>自动管线检出的合格导管腔。</t>
        </is>
      </c>
      <c r="P668" t="inlineStr">
        <is>
          <t>auto_pipeline;review_png_green</t>
        </is>
      </c>
      <c r="R668" t="inlineStr">
        <is>
          <t>样品58</t>
        </is>
      </c>
    </row>
    <row r="669">
      <c r="A669" t="inlineStr">
        <is>
          <t>58(8)-V06</t>
        </is>
      </c>
      <c r="B669" t="inlineStr">
        <is>
          <t>58 (8).tif</t>
        </is>
      </c>
      <c r="C669" t="n">
        <v>511</v>
      </c>
      <c r="D669" t="n">
        <v>553</v>
      </c>
      <c r="E669" t="inlineStr">
        <is>
          <t>478,525,545,582</t>
        </is>
      </c>
      <c r="F669" t="n">
        <v>186</v>
      </c>
      <c r="G669" t="inlineStr">
        <is>
          <t>primary</t>
        </is>
      </c>
      <c r="H669" t="inlineStr">
        <is>
          <t>AUTO_VESSEL</t>
        </is>
      </c>
      <c r="I669" t="inlineStr">
        <is>
          <t>是</t>
        </is>
      </c>
      <c r="J669" t="inlineStr">
        <is>
          <t>纳入</t>
        </is>
      </c>
      <c r="K669" t="n">
        <v>118.6200378071834</v>
      </c>
      <c r="L669">
        <f>导管母表_860!G669</f>
        <v/>
      </c>
      <c r="M669" t="inlineStr">
        <is>
          <t>视野内部</t>
        </is>
      </c>
      <c r="N669" t="inlineStr">
        <is>
          <t>纳入A/D/Dh；若有Pair_ID则纳入CWR</t>
        </is>
      </c>
      <c r="O669" t="inlineStr">
        <is>
          <t>自动管线检出的合格导管腔。</t>
        </is>
      </c>
      <c r="P669" t="inlineStr">
        <is>
          <t>auto_pipeline;review_png_green</t>
        </is>
      </c>
      <c r="R669" t="inlineStr">
        <is>
          <t>样品58</t>
        </is>
      </c>
    </row>
    <row r="670">
      <c r="A670" t="inlineStr">
        <is>
          <t>59(1)-V01</t>
        </is>
      </c>
      <c r="B670" t="inlineStr">
        <is>
          <t>59 (1).tif</t>
        </is>
      </c>
      <c r="C670" t="n">
        <v>417</v>
      </c>
      <c r="D670" t="n">
        <v>360</v>
      </c>
      <c r="E670" t="inlineStr">
        <is>
          <t>342,293,493,428</t>
        </is>
      </c>
      <c r="F670" t="n">
        <v>293</v>
      </c>
      <c r="G670" t="inlineStr">
        <is>
          <t>primary</t>
        </is>
      </c>
      <c r="H670" t="inlineStr">
        <is>
          <t>AUTO_VESSEL</t>
        </is>
      </c>
      <c r="I670" t="inlineStr">
        <is>
          <t>是</t>
        </is>
      </c>
      <c r="J670" t="inlineStr">
        <is>
          <t>纳入</t>
        </is>
      </c>
      <c r="K670" t="n">
        <v>745.2741020793951</v>
      </c>
      <c r="L670">
        <f>导管母表_860!G670</f>
        <v/>
      </c>
      <c r="M670" t="inlineStr">
        <is>
          <t>视野内部</t>
        </is>
      </c>
      <c r="N670" t="inlineStr">
        <is>
          <t>纳入A/D/Dh；若有Pair_ID则纳入CWR</t>
        </is>
      </c>
      <c r="O670" t="inlineStr">
        <is>
          <t>自动管线检出的合格导管腔。</t>
        </is>
      </c>
      <c r="P670" t="inlineStr">
        <is>
          <t>auto_pipeline;review_png_green</t>
        </is>
      </c>
      <c r="R670" t="inlineStr">
        <is>
          <t>样品59</t>
        </is>
      </c>
    </row>
    <row r="671">
      <c r="A671" t="inlineStr">
        <is>
          <t>59(1)-V02</t>
        </is>
      </c>
      <c r="B671" t="inlineStr">
        <is>
          <t>59 (1).tif</t>
        </is>
      </c>
      <c r="C671" t="n">
        <v>196</v>
      </c>
      <c r="D671" t="n">
        <v>367</v>
      </c>
      <c r="E671" t="inlineStr">
        <is>
          <t>160,337,233,398</t>
        </is>
      </c>
      <c r="F671" t="n">
        <v>160</v>
      </c>
      <c r="G671" t="inlineStr">
        <is>
          <t>primary</t>
        </is>
      </c>
      <c r="H671" t="inlineStr">
        <is>
          <t>AUTO_VESSEL</t>
        </is>
      </c>
      <c r="I671" t="inlineStr">
        <is>
          <t>是</t>
        </is>
      </c>
      <c r="J671" t="inlineStr">
        <is>
          <t>纳入</t>
        </is>
      </c>
      <c r="K671" t="n">
        <v>160.0661625708885</v>
      </c>
      <c r="L671">
        <f>导管母表_860!G671</f>
        <v/>
      </c>
      <c r="M671" t="inlineStr">
        <is>
          <t>视野内部</t>
        </is>
      </c>
      <c r="N671" t="inlineStr">
        <is>
          <t>纳入A/D/Dh；若有Pair_ID则纳入CWR</t>
        </is>
      </c>
      <c r="O671" t="inlineStr">
        <is>
          <t>自动管线检出的合格导管腔。</t>
        </is>
      </c>
      <c r="P671" t="inlineStr">
        <is>
          <t>auto_pipeline;review_png_green</t>
        </is>
      </c>
      <c r="R671" t="inlineStr">
        <is>
          <t>样品59</t>
        </is>
      </c>
    </row>
    <row r="672">
      <c r="A672" t="inlineStr">
        <is>
          <t>59(1)-V03</t>
        </is>
      </c>
      <c r="B672" t="inlineStr">
        <is>
          <t>59 (1).tif</t>
        </is>
      </c>
      <c r="C672" t="n">
        <v>115</v>
      </c>
      <c r="D672" t="n">
        <v>360</v>
      </c>
      <c r="E672" t="inlineStr">
        <is>
          <t>76,332,155,389</t>
        </is>
      </c>
      <c r="F672" t="n">
        <v>76</v>
      </c>
      <c r="G672" t="inlineStr">
        <is>
          <t>primary</t>
        </is>
      </c>
      <c r="H672" t="inlineStr">
        <is>
          <t>AUTO_VESSEL</t>
        </is>
      </c>
      <c r="I672" t="inlineStr">
        <is>
          <t>是</t>
        </is>
      </c>
      <c r="J672" t="inlineStr">
        <is>
          <t>纳入</t>
        </is>
      </c>
      <c r="K672" t="n">
        <v>156.1436672967864</v>
      </c>
      <c r="L672">
        <f>导管母表_860!G672</f>
        <v/>
      </c>
      <c r="M672" t="inlineStr">
        <is>
          <t>视野内部</t>
        </is>
      </c>
      <c r="N672" t="inlineStr">
        <is>
          <t>纳入A/D/Dh；若有Pair_ID则纳入CWR</t>
        </is>
      </c>
      <c r="O672" t="inlineStr">
        <is>
          <t>自动管线检出的合格导管腔。</t>
        </is>
      </c>
      <c r="P672" t="inlineStr">
        <is>
          <t>auto_pipeline;review_png_green</t>
        </is>
      </c>
      <c r="R672" t="inlineStr">
        <is>
          <t>样品59</t>
        </is>
      </c>
    </row>
    <row r="673">
      <c r="A673" t="inlineStr">
        <is>
          <t>59(1)-V04</t>
        </is>
      </c>
      <c r="B673" t="inlineStr">
        <is>
          <t>59 (1).tif</t>
        </is>
      </c>
      <c r="C673" t="n">
        <v>955</v>
      </c>
      <c r="D673" t="n">
        <v>268</v>
      </c>
      <c r="E673" t="inlineStr">
        <is>
          <t>922,239,989,298</t>
        </is>
      </c>
      <c r="F673" t="n">
        <v>35</v>
      </c>
      <c r="G673" t="inlineStr">
        <is>
          <t>primary</t>
        </is>
      </c>
      <c r="H673" t="inlineStr">
        <is>
          <t>AUTO_VESSEL</t>
        </is>
      </c>
      <c r="I673" t="inlineStr">
        <is>
          <t>是</t>
        </is>
      </c>
      <c r="J673" t="inlineStr">
        <is>
          <t>纳入</t>
        </is>
      </c>
      <c r="K673" t="n">
        <v>140.5245746691872</v>
      </c>
      <c r="L673">
        <f>导管母表_860!G673</f>
        <v/>
      </c>
      <c r="M673" t="inlineStr">
        <is>
          <t>视野内部</t>
        </is>
      </c>
      <c r="N673" t="inlineStr">
        <is>
          <t>纳入A/D/Dh；若有Pair_ID则纳入CWR</t>
        </is>
      </c>
      <c r="O673" t="inlineStr">
        <is>
          <t>自动管线检出的合格导管腔。</t>
        </is>
      </c>
      <c r="P673" t="inlineStr">
        <is>
          <t>auto_pipeline;review_png_green</t>
        </is>
      </c>
      <c r="R673" t="inlineStr">
        <is>
          <t>样品59</t>
        </is>
      </c>
    </row>
    <row r="674">
      <c r="A674" t="inlineStr">
        <is>
          <t>59(1)-V05</t>
        </is>
      </c>
      <c r="B674" t="inlineStr">
        <is>
          <t>59 (1).tif</t>
        </is>
      </c>
      <c r="C674" t="n">
        <v>600</v>
      </c>
      <c r="D674" t="n">
        <v>179</v>
      </c>
      <c r="E674" t="inlineStr">
        <is>
          <t>562,155,639,204</t>
        </is>
      </c>
      <c r="F674" t="n">
        <v>155</v>
      </c>
      <c r="G674" t="inlineStr">
        <is>
          <t>primary</t>
        </is>
      </c>
      <c r="H674" t="inlineStr">
        <is>
          <t>AUTO_VESSEL</t>
        </is>
      </c>
      <c r="I674" t="inlineStr">
        <is>
          <t>是</t>
        </is>
      </c>
      <c r="J674" t="inlineStr">
        <is>
          <t>纳入</t>
        </is>
      </c>
      <c r="K674" t="n">
        <v>127.4574669187146</v>
      </c>
      <c r="L674">
        <f>导管母表_860!G674</f>
        <v/>
      </c>
      <c r="M674" t="inlineStr">
        <is>
          <t>视野内部</t>
        </is>
      </c>
      <c r="N674" t="inlineStr">
        <is>
          <t>纳入A/D/Dh；若有Pair_ID则纳入CWR</t>
        </is>
      </c>
      <c r="O674" t="inlineStr">
        <is>
          <t>自动管线检出的合格导管腔。</t>
        </is>
      </c>
      <c r="P674" t="inlineStr">
        <is>
          <t>auto_pipeline;review_png_green</t>
        </is>
      </c>
      <c r="R674" t="inlineStr">
        <is>
          <t>样品59</t>
        </is>
      </c>
    </row>
    <row r="675">
      <c r="A675" t="inlineStr">
        <is>
          <t>59(1)-V06</t>
        </is>
      </c>
      <c r="B675" t="inlineStr">
        <is>
          <t>59 (1).tif</t>
        </is>
      </c>
      <c r="C675" t="n">
        <v>547</v>
      </c>
      <c r="D675" t="n">
        <v>125</v>
      </c>
      <c r="E675" t="inlineStr">
        <is>
          <t>516,98,579,153</t>
        </is>
      </c>
      <c r="F675" t="n">
        <v>98</v>
      </c>
      <c r="G675" t="inlineStr">
        <is>
          <t>primary</t>
        </is>
      </c>
      <c r="H675" t="inlineStr">
        <is>
          <t>AUTO_VESSEL</t>
        </is>
      </c>
      <c r="I675" t="inlineStr">
        <is>
          <t>是</t>
        </is>
      </c>
      <c r="J675" t="inlineStr">
        <is>
          <t>纳入</t>
        </is>
      </c>
      <c r="K675" t="n">
        <v>123.8894139886579</v>
      </c>
      <c r="L675">
        <f>导管母表_860!G675</f>
        <v/>
      </c>
      <c r="M675" t="inlineStr">
        <is>
          <t>视野内部</t>
        </is>
      </c>
      <c r="N675" t="inlineStr">
        <is>
          <t>纳入A/D/Dh；若有Pair_ID则纳入CWR</t>
        </is>
      </c>
      <c r="O675" t="inlineStr">
        <is>
          <t>自动管线检出的合格导管腔。</t>
        </is>
      </c>
      <c r="P675" t="inlineStr">
        <is>
          <t>auto_pipeline;review_png_green</t>
        </is>
      </c>
      <c r="R675" t="inlineStr">
        <is>
          <t>样品59</t>
        </is>
      </c>
    </row>
    <row r="676">
      <c r="A676" t="inlineStr">
        <is>
          <t>59(2)-V01</t>
        </is>
      </c>
      <c r="B676" t="inlineStr">
        <is>
          <t>59 (2).tif</t>
        </is>
      </c>
      <c r="C676" t="n">
        <v>785</v>
      </c>
      <c r="D676" t="n">
        <v>104</v>
      </c>
      <c r="E676" t="inlineStr">
        <is>
          <t>716,27,855,182</t>
        </is>
      </c>
      <c r="F676" t="n">
        <v>27</v>
      </c>
      <c r="G676" t="inlineStr">
        <is>
          <t>primary</t>
        </is>
      </c>
      <c r="H676" t="inlineStr">
        <is>
          <t>AUTO_VESSEL</t>
        </is>
      </c>
      <c r="I676" t="inlineStr">
        <is>
          <t>是</t>
        </is>
      </c>
      <c r="J676" t="inlineStr">
        <is>
          <t>纳入</t>
        </is>
      </c>
      <c r="K676" t="n">
        <v>785.6568998109641</v>
      </c>
      <c r="L676">
        <f>导管母表_860!G676</f>
        <v/>
      </c>
      <c r="M676" t="inlineStr">
        <is>
          <t>视野内部</t>
        </is>
      </c>
      <c r="N676" t="inlineStr">
        <is>
          <t>纳入A/D/Dh；若有Pair_ID则纳入CWR</t>
        </is>
      </c>
      <c r="O676" t="inlineStr">
        <is>
          <t>自动管线检出的合格导管腔。</t>
        </is>
      </c>
      <c r="P676" t="inlineStr">
        <is>
          <t>auto_pipeline;review_png_green</t>
        </is>
      </c>
      <c r="R676" t="inlineStr">
        <is>
          <t>样品59</t>
        </is>
      </c>
    </row>
    <row r="677">
      <c r="A677" t="inlineStr">
        <is>
          <t>59(2)-V02</t>
        </is>
      </c>
      <c r="B677" t="inlineStr">
        <is>
          <t>59 (2).tif</t>
        </is>
      </c>
      <c r="C677" t="n">
        <v>512</v>
      </c>
      <c r="D677" t="n">
        <v>433</v>
      </c>
      <c r="E677" t="inlineStr">
        <is>
          <t>438,369,587,498</t>
        </is>
      </c>
      <c r="F677" t="n">
        <v>270</v>
      </c>
      <c r="G677" t="inlineStr">
        <is>
          <t>primary</t>
        </is>
      </c>
      <c r="H677" t="inlineStr">
        <is>
          <t>AUTO_VESSEL</t>
        </is>
      </c>
      <c r="I677" t="inlineStr">
        <is>
          <t>是</t>
        </is>
      </c>
      <c r="J677" t="inlineStr">
        <is>
          <t>纳入</t>
        </is>
      </c>
      <c r="K677" t="n">
        <v>703.2136105860113</v>
      </c>
      <c r="L677">
        <f>导管母表_860!G677</f>
        <v/>
      </c>
      <c r="M677" t="inlineStr">
        <is>
          <t>视野内部</t>
        </is>
      </c>
      <c r="N677" t="inlineStr">
        <is>
          <t>纳入A/D/Dh；若有Pair_ID则纳入CWR</t>
        </is>
      </c>
      <c r="O677" t="inlineStr">
        <is>
          <t>自动管线检出的合格导管腔。</t>
        </is>
      </c>
      <c r="P677" t="inlineStr">
        <is>
          <t>auto_pipeline;review_png_green</t>
        </is>
      </c>
      <c r="R677" t="inlineStr">
        <is>
          <t>样品59</t>
        </is>
      </c>
    </row>
    <row r="678">
      <c r="A678" t="inlineStr">
        <is>
          <t>59(2)-V03</t>
        </is>
      </c>
      <c r="B678" t="inlineStr">
        <is>
          <t>59 (2).tif</t>
        </is>
      </c>
      <c r="C678" t="n">
        <v>119</v>
      </c>
      <c r="D678" t="n">
        <v>514</v>
      </c>
      <c r="E678" t="inlineStr">
        <is>
          <t>82,475,157,554</t>
        </is>
      </c>
      <c r="F678" t="n">
        <v>82</v>
      </c>
      <c r="G678" t="inlineStr">
        <is>
          <t>primary</t>
        </is>
      </c>
      <c r="H678" t="inlineStr">
        <is>
          <t>AUTO_VESSEL</t>
        </is>
      </c>
      <c r="I678" t="inlineStr">
        <is>
          <t>是</t>
        </is>
      </c>
      <c r="J678" t="inlineStr">
        <is>
          <t>纳入</t>
        </is>
      </c>
      <c r="K678" t="n">
        <v>116.3988657844991</v>
      </c>
      <c r="L678">
        <f>导管母表_860!G678</f>
        <v/>
      </c>
      <c r="M678" t="inlineStr">
        <is>
          <t>视野内部</t>
        </is>
      </c>
      <c r="N678" t="inlineStr">
        <is>
          <t>纳入A/D/Dh；若有Pair_ID则纳入CWR</t>
        </is>
      </c>
      <c r="O678" t="inlineStr">
        <is>
          <t>自动管线检出的合格导管腔。</t>
        </is>
      </c>
      <c r="P678" t="inlineStr">
        <is>
          <t>auto_pipeline;review_png_green</t>
        </is>
      </c>
      <c r="R678" t="inlineStr">
        <is>
          <t>样品59</t>
        </is>
      </c>
    </row>
    <row r="679">
      <c r="A679" t="inlineStr">
        <is>
          <t>59(3)-V01</t>
        </is>
      </c>
      <c r="B679" t="inlineStr">
        <is>
          <t>59 (3).tif</t>
        </is>
      </c>
      <c r="C679" t="n">
        <v>583</v>
      </c>
      <c r="D679" t="n">
        <v>482</v>
      </c>
      <c r="E679" t="inlineStr">
        <is>
          <t>511,393,656,572</t>
        </is>
      </c>
      <c r="F679" t="n">
        <v>196</v>
      </c>
      <c r="G679" t="inlineStr">
        <is>
          <t>primary</t>
        </is>
      </c>
      <c r="H679" t="inlineStr">
        <is>
          <t>AUTO_VESSEL</t>
        </is>
      </c>
      <c r="I679" t="inlineStr">
        <is>
          <t>是</t>
        </is>
      </c>
      <c r="J679" t="inlineStr">
        <is>
          <t>纳入</t>
        </is>
      </c>
      <c r="K679" t="n">
        <v>950.8506616257089</v>
      </c>
      <c r="L679">
        <f>导管母表_860!G679</f>
        <v/>
      </c>
      <c r="M679" t="inlineStr">
        <is>
          <t>视野内部</t>
        </is>
      </c>
      <c r="N679" t="inlineStr">
        <is>
          <t>纳入A/D/Dh；若有Pair_ID则纳入CWR</t>
        </is>
      </c>
      <c r="O679" t="inlineStr">
        <is>
          <t>自动管线检出的合格导管腔。</t>
        </is>
      </c>
      <c r="P679" t="inlineStr">
        <is>
          <t>auto_pipeline;review_png_green</t>
        </is>
      </c>
      <c r="R679" t="inlineStr">
        <is>
          <t>样品59</t>
        </is>
      </c>
    </row>
    <row r="680">
      <c r="A680" t="inlineStr">
        <is>
          <t>59(3)-V02</t>
        </is>
      </c>
      <c r="B680" t="inlineStr">
        <is>
          <t>59 (3).tif</t>
        </is>
      </c>
      <c r="C680" t="n">
        <v>920</v>
      </c>
      <c r="D680" t="n">
        <v>258</v>
      </c>
      <c r="E680" t="inlineStr">
        <is>
          <t>857,191,984,326</t>
        </is>
      </c>
      <c r="F680" t="n">
        <v>40</v>
      </c>
      <c r="G680" t="inlineStr">
        <is>
          <t>primary</t>
        </is>
      </c>
      <c r="H680" t="inlineStr">
        <is>
          <t>AUTO_VESSEL</t>
        </is>
      </c>
      <c r="I680" t="inlineStr">
        <is>
          <t>是</t>
        </is>
      </c>
      <c r="J680" t="inlineStr">
        <is>
          <t>纳入</t>
        </is>
      </c>
      <c r="K680" t="n">
        <v>621.9990548204158</v>
      </c>
      <c r="L680">
        <f>导管母表_860!G680</f>
        <v/>
      </c>
      <c r="M680" t="inlineStr">
        <is>
          <t>视野内部</t>
        </is>
      </c>
      <c r="N680" t="inlineStr">
        <is>
          <t>纳入A/D/Dh；若有Pair_ID则纳入CWR</t>
        </is>
      </c>
      <c r="O680" t="inlineStr">
        <is>
          <t>自动管线检出的合格导管腔。</t>
        </is>
      </c>
      <c r="P680" t="inlineStr">
        <is>
          <t>auto_pipeline;review_png_green</t>
        </is>
      </c>
      <c r="R680" t="inlineStr">
        <is>
          <t>样品59</t>
        </is>
      </c>
    </row>
    <row r="681">
      <c r="A681" t="inlineStr">
        <is>
          <t>59(3)-V03</t>
        </is>
      </c>
      <c r="B681" t="inlineStr">
        <is>
          <t>59 (3).tif</t>
        </is>
      </c>
      <c r="C681" t="n">
        <v>202</v>
      </c>
      <c r="D681" t="n">
        <v>278</v>
      </c>
      <c r="E681" t="inlineStr">
        <is>
          <t>143,212,262,345</t>
        </is>
      </c>
      <c r="F681" t="n">
        <v>143</v>
      </c>
      <c r="G681" t="inlineStr">
        <is>
          <t>primary</t>
        </is>
      </c>
      <c r="H681" t="inlineStr">
        <is>
          <t>AUTO_VESSEL</t>
        </is>
      </c>
      <c r="I681" t="inlineStr">
        <is>
          <t>是</t>
        </is>
      </c>
      <c r="J681" t="inlineStr">
        <is>
          <t>纳入</t>
        </is>
      </c>
      <c r="K681" t="n">
        <v>528.7098298676749</v>
      </c>
      <c r="L681">
        <f>导管母表_860!G681</f>
        <v/>
      </c>
      <c r="M681" t="inlineStr">
        <is>
          <t>视野内部</t>
        </is>
      </c>
      <c r="N681" t="inlineStr">
        <is>
          <t>纳入A/D/Dh；若有Pair_ID则纳入CWR</t>
        </is>
      </c>
      <c r="O681" t="inlineStr">
        <is>
          <t>自动管线检出的合格导管腔。</t>
        </is>
      </c>
      <c r="P681" t="inlineStr">
        <is>
          <t>auto_pipeline;review_png_green</t>
        </is>
      </c>
      <c r="R681" t="inlineStr">
        <is>
          <t>样品59</t>
        </is>
      </c>
    </row>
    <row r="682">
      <c r="A682" t="inlineStr">
        <is>
          <t>59(3)-V04</t>
        </is>
      </c>
      <c r="B682" t="inlineStr">
        <is>
          <t>59 (3).tif</t>
        </is>
      </c>
      <c r="C682" t="n">
        <v>555</v>
      </c>
      <c r="D682" t="n">
        <v>298</v>
      </c>
      <c r="E682" t="inlineStr">
        <is>
          <t>499,238,612,359</t>
        </is>
      </c>
      <c r="F682" t="n">
        <v>238</v>
      </c>
      <c r="G682" t="inlineStr">
        <is>
          <t>primary</t>
        </is>
      </c>
      <c r="H682" t="inlineStr">
        <is>
          <t>AUTO_VESSEL</t>
        </is>
      </c>
      <c r="I682" t="inlineStr">
        <is>
          <t>是</t>
        </is>
      </c>
      <c r="J682" t="inlineStr">
        <is>
          <t>纳入</t>
        </is>
      </c>
      <c r="K682" t="n">
        <v>498.3931947069943</v>
      </c>
      <c r="L682">
        <f>导管母表_860!G682</f>
        <v/>
      </c>
      <c r="M682" t="inlineStr">
        <is>
          <t>视野内部</t>
        </is>
      </c>
      <c r="N682" t="inlineStr">
        <is>
          <t>纳入A/D/Dh；若有Pair_ID则纳入CWR</t>
        </is>
      </c>
      <c r="O682" t="inlineStr">
        <is>
          <t>自动管线检出的合格导管腔。</t>
        </is>
      </c>
      <c r="P682" t="inlineStr">
        <is>
          <t>auto_pipeline;review_png_green</t>
        </is>
      </c>
      <c r="Q682" t="inlineStr">
        <is>
          <t>59(3)-P01</t>
        </is>
      </c>
      <c r="R682" t="inlineStr">
        <is>
          <t>样品59</t>
        </is>
      </c>
    </row>
    <row r="683">
      <c r="A683" t="inlineStr">
        <is>
          <t>59(3)-V05</t>
        </is>
      </c>
      <c r="B683" t="inlineStr">
        <is>
          <t>59 (3).tif</t>
        </is>
      </c>
      <c r="C683" t="n">
        <v>465</v>
      </c>
      <c r="D683" t="n">
        <v>401</v>
      </c>
      <c r="E683" t="inlineStr">
        <is>
          <t>412,346,519,457</t>
        </is>
      </c>
      <c r="F683" t="n">
        <v>311</v>
      </c>
      <c r="G683" t="inlineStr">
        <is>
          <t>primary</t>
        </is>
      </c>
      <c r="H683" t="inlineStr">
        <is>
          <t>AUTO_VESSEL</t>
        </is>
      </c>
      <c r="I683" t="inlineStr">
        <is>
          <t>是</t>
        </is>
      </c>
      <c r="J683" t="inlineStr">
        <is>
          <t>纳入</t>
        </is>
      </c>
      <c r="K683" t="n">
        <v>432.2542533081286</v>
      </c>
      <c r="L683">
        <f>导管母表_860!G683</f>
        <v/>
      </c>
      <c r="M683" t="inlineStr">
        <is>
          <t>视野内部</t>
        </is>
      </c>
      <c r="N683" t="inlineStr">
        <is>
          <t>纳入A/D/Dh；若有Pair_ID则纳入CWR</t>
        </is>
      </c>
      <c r="O683" t="inlineStr">
        <is>
          <t>自动管线检出的合格导管腔。</t>
        </is>
      </c>
      <c r="P683" t="inlineStr">
        <is>
          <t>auto_pipeline;review_png_green</t>
        </is>
      </c>
      <c r="Q683" t="inlineStr">
        <is>
          <t>59(3)-P01</t>
        </is>
      </c>
      <c r="R683" t="inlineStr">
        <is>
          <t>样品59</t>
        </is>
      </c>
    </row>
    <row r="684">
      <c r="A684" t="inlineStr">
        <is>
          <t>59(3)-V06</t>
        </is>
      </c>
      <c r="B684" t="inlineStr">
        <is>
          <t>59 (3).tif</t>
        </is>
      </c>
      <c r="C684" t="n">
        <v>867</v>
      </c>
      <c r="D684" t="n">
        <v>611</v>
      </c>
      <c r="E684" t="inlineStr">
        <is>
          <t>825,583,910,640</t>
        </is>
      </c>
      <c r="F684" t="n">
        <v>114</v>
      </c>
      <c r="G684" t="inlineStr">
        <is>
          <t>primary</t>
        </is>
      </c>
      <c r="H684" t="inlineStr">
        <is>
          <t>AUTO_VESSEL</t>
        </is>
      </c>
      <c r="I684" t="inlineStr">
        <is>
          <t>是</t>
        </is>
      </c>
      <c r="J684" t="inlineStr">
        <is>
          <t>纳入</t>
        </is>
      </c>
      <c r="K684" t="n">
        <v>136.8856332703214</v>
      </c>
      <c r="L684">
        <f>导管母表_860!G684</f>
        <v/>
      </c>
      <c r="M684" t="inlineStr">
        <is>
          <t>视野内部</t>
        </is>
      </c>
      <c r="N684" t="inlineStr">
        <is>
          <t>纳入A/D/Dh；若有Pair_ID则纳入CWR</t>
        </is>
      </c>
      <c r="O684" t="inlineStr">
        <is>
          <t>自动管线检出的合格导管腔。</t>
        </is>
      </c>
      <c r="P684" t="inlineStr">
        <is>
          <t>auto_pipeline;review_png_green</t>
        </is>
      </c>
      <c r="R684" t="inlineStr">
        <is>
          <t>样品59</t>
        </is>
      </c>
    </row>
    <row r="685">
      <c r="A685" t="inlineStr">
        <is>
          <t>59(3)-V07</t>
        </is>
      </c>
      <c r="B685" t="inlineStr">
        <is>
          <t>59 (3).tif</t>
        </is>
      </c>
      <c r="C685" t="n">
        <v>99</v>
      </c>
      <c r="D685" t="n">
        <v>487</v>
      </c>
      <c r="E685" t="inlineStr">
        <is>
          <t>65,453,134,522</t>
        </is>
      </c>
      <c r="F685" t="n">
        <v>65</v>
      </c>
      <c r="G685" t="inlineStr">
        <is>
          <t>primary</t>
        </is>
      </c>
      <c r="H685" t="inlineStr">
        <is>
          <t>AUTO_VESSEL</t>
        </is>
      </c>
      <c r="I685" t="inlineStr">
        <is>
          <t>是</t>
        </is>
      </c>
      <c r="J685" t="inlineStr">
        <is>
          <t>纳入</t>
        </is>
      </c>
      <c r="K685" t="n">
        <v>124.5037807183365</v>
      </c>
      <c r="L685">
        <f>导管母表_860!G685</f>
        <v/>
      </c>
      <c r="M685" t="inlineStr">
        <is>
          <t>视野内部</t>
        </is>
      </c>
      <c r="N685" t="inlineStr">
        <is>
          <t>纳入A/D/Dh；若有Pair_ID则纳入CWR</t>
        </is>
      </c>
      <c r="O685" t="inlineStr">
        <is>
          <t>自动管线检出的合格导管腔。</t>
        </is>
      </c>
      <c r="P685" t="inlineStr">
        <is>
          <t>auto_pipeline;review_png_green</t>
        </is>
      </c>
      <c r="R685" t="inlineStr">
        <is>
          <t>样品59</t>
        </is>
      </c>
    </row>
    <row r="686">
      <c r="A686" t="inlineStr">
        <is>
          <t>59(4)-V01</t>
        </is>
      </c>
      <c r="B686" t="inlineStr">
        <is>
          <t>59 (4).tif</t>
        </is>
      </c>
      <c r="C686" t="n">
        <v>378</v>
      </c>
      <c r="D686" t="n">
        <v>397</v>
      </c>
      <c r="E686" t="inlineStr">
        <is>
          <t>304,314,453,481</t>
        </is>
      </c>
      <c r="F686" t="n">
        <v>287</v>
      </c>
      <c r="G686" t="inlineStr">
        <is>
          <t>primary</t>
        </is>
      </c>
      <c r="H686" t="inlineStr">
        <is>
          <t>AUTO_VESSEL</t>
        </is>
      </c>
      <c r="I686" t="inlineStr">
        <is>
          <t>是</t>
        </is>
      </c>
      <c r="J686" t="inlineStr">
        <is>
          <t>纳入</t>
        </is>
      </c>
      <c r="K686" t="n">
        <v>899.6455576559547</v>
      </c>
      <c r="L686">
        <f>导管母表_860!G686</f>
        <v/>
      </c>
      <c r="M686" t="inlineStr">
        <is>
          <t>视野内部</t>
        </is>
      </c>
      <c r="N686" t="inlineStr">
        <is>
          <t>纳入A/D/Dh；若有Pair_ID则纳入CWR</t>
        </is>
      </c>
      <c r="O686" t="inlineStr">
        <is>
          <t>自动管线检出的合格导管腔。</t>
        </is>
      </c>
      <c r="P686" t="inlineStr">
        <is>
          <t>auto_pipeline;review_png_green</t>
        </is>
      </c>
      <c r="Q686" t="inlineStr">
        <is>
          <t>59(4)-P01</t>
        </is>
      </c>
      <c r="R686" t="inlineStr">
        <is>
          <t>样品59</t>
        </is>
      </c>
    </row>
    <row r="687">
      <c r="A687" t="inlineStr">
        <is>
          <t>59(4)-V02</t>
        </is>
      </c>
      <c r="B687" t="inlineStr">
        <is>
          <t>59 (4).tif</t>
        </is>
      </c>
      <c r="C687" t="n">
        <v>527</v>
      </c>
      <c r="D687" t="n">
        <v>301</v>
      </c>
      <c r="E687" t="inlineStr">
        <is>
          <t>455,228,600,375</t>
        </is>
      </c>
      <c r="F687" t="n">
        <v>228</v>
      </c>
      <c r="G687" t="inlineStr">
        <is>
          <t>primary</t>
        </is>
      </c>
      <c r="H687" t="inlineStr">
        <is>
          <t>AUTO_VESSEL</t>
        </is>
      </c>
      <c r="I687" t="inlineStr">
        <is>
          <t>是</t>
        </is>
      </c>
      <c r="J687" t="inlineStr">
        <is>
          <t>纳入</t>
        </is>
      </c>
      <c r="K687" t="n">
        <v>778.6862003780718</v>
      </c>
      <c r="L687">
        <f>导管母表_860!G687</f>
        <v/>
      </c>
      <c r="M687" t="inlineStr">
        <is>
          <t>视野内部</t>
        </is>
      </c>
      <c r="N687" t="inlineStr">
        <is>
          <t>纳入A/D/Dh；若有Pair_ID则纳入CWR</t>
        </is>
      </c>
      <c r="O687" t="inlineStr">
        <is>
          <t>自动管线检出的合格导管腔。</t>
        </is>
      </c>
      <c r="P687" t="inlineStr">
        <is>
          <t>auto_pipeline;review_png_green</t>
        </is>
      </c>
      <c r="Q687" t="inlineStr">
        <is>
          <t>59(4)-P01</t>
        </is>
      </c>
      <c r="R687" t="inlineStr">
        <is>
          <t>样品59</t>
        </is>
      </c>
    </row>
    <row r="688">
      <c r="A688" t="inlineStr">
        <is>
          <t>59(4)-V03</t>
        </is>
      </c>
      <c r="B688" t="inlineStr">
        <is>
          <t>59 (4).tif</t>
        </is>
      </c>
      <c r="C688" t="n">
        <v>298</v>
      </c>
      <c r="D688" t="n">
        <v>342</v>
      </c>
      <c r="E688" t="inlineStr">
        <is>
          <t>260,295,337,390</t>
        </is>
      </c>
      <c r="F688" t="n">
        <v>260</v>
      </c>
      <c r="G688" t="inlineStr">
        <is>
          <t>primary</t>
        </is>
      </c>
      <c r="H688" t="inlineStr">
        <is>
          <t>AUTO_VESSEL</t>
        </is>
      </c>
      <c r="I688" t="inlineStr">
        <is>
          <t>是</t>
        </is>
      </c>
      <c r="J688" t="inlineStr">
        <is>
          <t>纳入</t>
        </is>
      </c>
      <c r="K688" t="n">
        <v>155.1275992438563</v>
      </c>
      <c r="L688">
        <f>导管母表_860!G688</f>
        <v/>
      </c>
      <c r="M688" t="inlineStr">
        <is>
          <t>视野内部</t>
        </is>
      </c>
      <c r="N688" t="inlineStr">
        <is>
          <t>纳入A/D/Dh；若有Pair_ID则纳入CWR</t>
        </is>
      </c>
      <c r="O688" t="inlineStr">
        <is>
          <t>自动管线检出的合格导管腔。</t>
        </is>
      </c>
      <c r="P688" t="inlineStr">
        <is>
          <t>auto_pipeline;review_png_green</t>
        </is>
      </c>
      <c r="R688" t="inlineStr">
        <is>
          <t>样品59</t>
        </is>
      </c>
    </row>
    <row r="689">
      <c r="A689" t="inlineStr">
        <is>
          <t>59(5)-V01</t>
        </is>
      </c>
      <c r="B689" t="inlineStr">
        <is>
          <t>59 (5).tif</t>
        </is>
      </c>
      <c r="C689" t="n">
        <v>518</v>
      </c>
      <c r="D689" t="n">
        <v>330</v>
      </c>
      <c r="E689" t="inlineStr">
        <is>
          <t>454,267,583,394</t>
        </is>
      </c>
      <c r="F689" t="n">
        <v>267</v>
      </c>
      <c r="G689" t="inlineStr">
        <is>
          <t>primary</t>
        </is>
      </c>
      <c r="H689" t="inlineStr">
        <is>
          <t>AUTO_VESSEL</t>
        </is>
      </c>
      <c r="I689" t="inlineStr">
        <is>
          <t>是</t>
        </is>
      </c>
      <c r="J689" t="inlineStr">
        <is>
          <t>纳入</t>
        </is>
      </c>
      <c r="K689" t="n">
        <v>598.5113421550094</v>
      </c>
      <c r="L689">
        <f>导管母表_860!G689</f>
        <v/>
      </c>
      <c r="M689" t="inlineStr">
        <is>
          <t>视野内部</t>
        </is>
      </c>
      <c r="N689" t="inlineStr">
        <is>
          <t>纳入A/D/Dh；若有Pair_ID则纳入CWR</t>
        </is>
      </c>
      <c r="O689" t="inlineStr">
        <is>
          <t>自动管线检出的合格导管腔。</t>
        </is>
      </c>
      <c r="P689" t="inlineStr">
        <is>
          <t>auto_pipeline;review_png_green</t>
        </is>
      </c>
      <c r="Q689" t="inlineStr">
        <is>
          <t>59(5)-P01</t>
        </is>
      </c>
      <c r="R689" t="inlineStr">
        <is>
          <t>样品59</t>
        </is>
      </c>
    </row>
    <row r="690">
      <c r="A690" t="inlineStr">
        <is>
          <t>59(5)-V02</t>
        </is>
      </c>
      <c r="B690" t="inlineStr">
        <is>
          <t>59 (5).tif</t>
        </is>
      </c>
      <c r="C690" t="n">
        <v>932</v>
      </c>
      <c r="D690" t="n">
        <v>196</v>
      </c>
      <c r="E690" t="inlineStr">
        <is>
          <t>862,144,1003,249</t>
        </is>
      </c>
      <c r="F690" t="n">
        <v>21</v>
      </c>
      <c r="G690" t="inlineStr">
        <is>
          <t>primary</t>
        </is>
      </c>
      <c r="H690" t="inlineStr">
        <is>
          <t>AUTO_VESSEL</t>
        </is>
      </c>
      <c r="I690" t="inlineStr">
        <is>
          <t>是</t>
        </is>
      </c>
      <c r="J690" t="inlineStr">
        <is>
          <t>纳入</t>
        </is>
      </c>
      <c r="K690" t="n">
        <v>520.250472589792</v>
      </c>
      <c r="L690">
        <f>导管母表_860!G690</f>
        <v/>
      </c>
      <c r="M690" t="inlineStr">
        <is>
          <t>近边缘（&lt;25 px）</t>
        </is>
      </c>
      <c r="N690" t="inlineStr">
        <is>
          <t>纳入A/D/Dh；若有Pair_ID则纳入CWR</t>
        </is>
      </c>
      <c r="O690" t="inlineStr">
        <is>
          <t>自动管线检出的合格导管腔。</t>
        </is>
      </c>
      <c r="P690" t="inlineStr">
        <is>
          <t>auto_pipeline;review_png_green</t>
        </is>
      </c>
      <c r="R690" t="inlineStr">
        <is>
          <t>样品59</t>
        </is>
      </c>
    </row>
    <row r="691">
      <c r="A691" t="inlineStr">
        <is>
          <t>59(5)-V03</t>
        </is>
      </c>
      <c r="B691" t="inlineStr">
        <is>
          <t>59 (5).tif</t>
        </is>
      </c>
      <c r="C691" t="n">
        <v>389</v>
      </c>
      <c r="D691" t="n">
        <v>360</v>
      </c>
      <c r="E691" t="inlineStr">
        <is>
          <t>330,301,449,420</t>
        </is>
      </c>
      <c r="F691" t="n">
        <v>301</v>
      </c>
      <c r="G691" t="inlineStr">
        <is>
          <t>primary</t>
        </is>
      </c>
      <c r="H691" t="inlineStr">
        <is>
          <t>AUTO_VESSEL</t>
        </is>
      </c>
      <c r="I691" t="inlineStr">
        <is>
          <t>是</t>
        </is>
      </c>
      <c r="J691" t="inlineStr">
        <is>
          <t>纳入</t>
        </is>
      </c>
      <c r="K691" t="n">
        <v>515.5482041587902</v>
      </c>
      <c r="L691">
        <f>导管母表_860!G691</f>
        <v/>
      </c>
      <c r="M691" t="inlineStr">
        <is>
          <t>视野内部</t>
        </is>
      </c>
      <c r="N691" t="inlineStr">
        <is>
          <t>纳入A/D/Dh；若有Pair_ID则纳入CWR</t>
        </is>
      </c>
      <c r="O691" t="inlineStr">
        <is>
          <t>自动管线检出的合格导管腔。</t>
        </is>
      </c>
      <c r="P691" t="inlineStr">
        <is>
          <t>auto_pipeline;review_png_green</t>
        </is>
      </c>
      <c r="Q691" t="inlineStr">
        <is>
          <t>59(5)-P01</t>
        </is>
      </c>
      <c r="R691" t="inlineStr">
        <is>
          <t>样品59</t>
        </is>
      </c>
    </row>
    <row r="692">
      <c r="A692" t="inlineStr">
        <is>
          <t>59(5)-V04</t>
        </is>
      </c>
      <c r="B692" t="inlineStr">
        <is>
          <t>59 (5).tif</t>
        </is>
      </c>
      <c r="C692" t="n">
        <v>641</v>
      </c>
      <c r="D692" t="n">
        <v>89</v>
      </c>
      <c r="E692" t="inlineStr">
        <is>
          <t>574,37,709,142</t>
        </is>
      </c>
      <c r="F692" t="n">
        <v>37</v>
      </c>
      <c r="G692" t="inlineStr">
        <is>
          <t>primary</t>
        </is>
      </c>
      <c r="H692" t="inlineStr">
        <is>
          <t>AUTO_VESSEL</t>
        </is>
      </c>
      <c r="I692" t="inlineStr">
        <is>
          <t>是</t>
        </is>
      </c>
      <c r="J692" t="inlineStr">
        <is>
          <t>纳入</t>
        </is>
      </c>
      <c r="K692" t="n">
        <v>513.7051039697543</v>
      </c>
      <c r="L692">
        <f>导管母表_860!G692</f>
        <v/>
      </c>
      <c r="M692" t="inlineStr">
        <is>
          <t>视野内部</t>
        </is>
      </c>
      <c r="N692" t="inlineStr">
        <is>
          <t>纳入A/D/Dh；若有Pair_ID则纳入CWR</t>
        </is>
      </c>
      <c r="O692" t="inlineStr">
        <is>
          <t>自动管线检出的合格导管腔。</t>
        </is>
      </c>
      <c r="P692" t="inlineStr">
        <is>
          <t>auto_pipeline;review_png_green</t>
        </is>
      </c>
      <c r="Q692" t="inlineStr">
        <is>
          <t>59(5)-P02</t>
        </is>
      </c>
      <c r="R692" t="inlineStr">
        <is>
          <t>样品59</t>
        </is>
      </c>
    </row>
    <row r="693">
      <c r="A693" t="inlineStr">
        <is>
          <t>59(5)-V05</t>
        </is>
      </c>
      <c r="B693" t="inlineStr">
        <is>
          <t>59 (5).tif</t>
        </is>
      </c>
      <c r="C693" t="n">
        <v>494</v>
      </c>
      <c r="D693" t="n">
        <v>120</v>
      </c>
      <c r="E693" t="inlineStr">
        <is>
          <t>430,63,559,178</t>
        </is>
      </c>
      <c r="F693" t="n">
        <v>63</v>
      </c>
      <c r="G693" t="inlineStr">
        <is>
          <t>primary</t>
        </is>
      </c>
      <c r="H693" t="inlineStr">
        <is>
          <t>AUTO_VESSEL</t>
        </is>
      </c>
      <c r="I693" t="inlineStr">
        <is>
          <t>是</t>
        </is>
      </c>
      <c r="J693" t="inlineStr">
        <is>
          <t>纳入</t>
        </is>
      </c>
      <c r="K693" t="n">
        <v>512.5708884688091</v>
      </c>
      <c r="L693">
        <f>导管母表_860!G693</f>
        <v/>
      </c>
      <c r="M693" t="inlineStr">
        <is>
          <t>视野内部</t>
        </is>
      </c>
      <c r="N693" t="inlineStr">
        <is>
          <t>纳入A/D/Dh；若有Pair_ID则纳入CWR</t>
        </is>
      </c>
      <c r="O693" t="inlineStr">
        <is>
          <t>自动管线检出的合格导管腔。</t>
        </is>
      </c>
      <c r="P693" t="inlineStr">
        <is>
          <t>auto_pipeline;review_png_green</t>
        </is>
      </c>
      <c r="Q693" t="inlineStr">
        <is>
          <t>59(5)-P02</t>
        </is>
      </c>
      <c r="R693" t="inlineStr">
        <is>
          <t>样品59</t>
        </is>
      </c>
    </row>
    <row r="694">
      <c r="A694" t="inlineStr">
        <is>
          <t>59(5)-V06</t>
        </is>
      </c>
      <c r="B694" t="inlineStr">
        <is>
          <t>59 (5).tif</t>
        </is>
      </c>
      <c r="C694" t="n">
        <v>943</v>
      </c>
      <c r="D694" t="n">
        <v>310</v>
      </c>
      <c r="E694" t="inlineStr">
        <is>
          <t>872,261,1015,360</t>
        </is>
      </c>
      <c r="F694" t="n">
        <v>9</v>
      </c>
      <c r="G694" t="inlineStr">
        <is>
          <t>primary</t>
        </is>
      </c>
      <c r="H694" t="inlineStr">
        <is>
          <t>AUTO_VESSEL</t>
        </is>
      </c>
      <c r="I694" t="inlineStr">
        <is>
          <t>是</t>
        </is>
      </c>
      <c r="J694" t="inlineStr">
        <is>
          <t>纳入</t>
        </is>
      </c>
      <c r="K694" t="n">
        <v>487.3345935727788</v>
      </c>
      <c r="L694">
        <f>导管母表_860!G694</f>
        <v/>
      </c>
      <c r="M694" t="inlineStr">
        <is>
          <t>近边缘（&lt;25 px）</t>
        </is>
      </c>
      <c r="N694" t="inlineStr">
        <is>
          <t>纳入A/D/Dh；若有Pair_ID则纳入CWR</t>
        </is>
      </c>
      <c r="O694" t="inlineStr">
        <is>
          <t>自动管线检出的合格导管腔。</t>
        </is>
      </c>
      <c r="P694" t="inlineStr">
        <is>
          <t>auto_pipeline;review_png_green</t>
        </is>
      </c>
      <c r="R694" t="inlineStr">
        <is>
          <t>样品59</t>
        </is>
      </c>
    </row>
    <row r="695">
      <c r="A695" t="inlineStr">
        <is>
          <t>59(6)-V01</t>
        </is>
      </c>
      <c r="B695" t="inlineStr">
        <is>
          <t>59 (6).tif</t>
        </is>
      </c>
      <c r="C695" t="n">
        <v>453</v>
      </c>
      <c r="D695" t="n">
        <v>326</v>
      </c>
      <c r="E695" t="inlineStr">
        <is>
          <t>362,241,545,412</t>
        </is>
      </c>
      <c r="F695" t="n">
        <v>241</v>
      </c>
      <c r="G695" t="inlineStr">
        <is>
          <t>primary</t>
        </is>
      </c>
      <c r="H695" t="inlineStr">
        <is>
          <t>AUTO_VESSEL</t>
        </is>
      </c>
      <c r="I695" t="inlineStr">
        <is>
          <t>是</t>
        </is>
      </c>
      <c r="J695" t="inlineStr">
        <is>
          <t>纳入</t>
        </is>
      </c>
      <c r="K695" t="n">
        <v>1145.557655954631</v>
      </c>
      <c r="L695">
        <f>导管母表_860!G695</f>
        <v/>
      </c>
      <c r="M695" t="inlineStr">
        <is>
          <t>视野内部</t>
        </is>
      </c>
      <c r="N695" t="inlineStr">
        <is>
          <t>纳入A/D/Dh；若有Pair_ID则纳入CWR</t>
        </is>
      </c>
      <c r="O695" t="inlineStr">
        <is>
          <t>自动管线检出的合格导管腔。</t>
        </is>
      </c>
      <c r="P695" t="inlineStr">
        <is>
          <t>auto_pipeline;review_png_green</t>
        </is>
      </c>
      <c r="Q695" t="inlineStr">
        <is>
          <t>59(6)-P01</t>
        </is>
      </c>
      <c r="R695" t="inlineStr">
        <is>
          <t>样品59</t>
        </is>
      </c>
    </row>
    <row r="696">
      <c r="A696" t="inlineStr">
        <is>
          <t>59(6)-V02</t>
        </is>
      </c>
      <c r="B696" t="inlineStr">
        <is>
          <t>59 (6).tif</t>
        </is>
      </c>
      <c r="C696" t="n">
        <v>599</v>
      </c>
      <c r="D696" t="n">
        <v>414</v>
      </c>
      <c r="E696" t="inlineStr">
        <is>
          <t>537,353,662,476</t>
        </is>
      </c>
      <c r="F696" t="n">
        <v>292</v>
      </c>
      <c r="G696" t="inlineStr">
        <is>
          <t>primary</t>
        </is>
      </c>
      <c r="H696" t="inlineStr">
        <is>
          <t>AUTO_VESSEL</t>
        </is>
      </c>
      <c r="I696" t="inlineStr">
        <is>
          <t>是</t>
        </is>
      </c>
      <c r="J696" t="inlineStr">
        <is>
          <t>纳入</t>
        </is>
      </c>
      <c r="K696" t="n">
        <v>558.0340264650283</v>
      </c>
      <c r="L696">
        <f>导管母表_860!G696</f>
        <v/>
      </c>
      <c r="M696" t="inlineStr">
        <is>
          <t>视野内部</t>
        </is>
      </c>
      <c r="N696" t="inlineStr">
        <is>
          <t>纳入A/D/Dh；若有Pair_ID则纳入CWR</t>
        </is>
      </c>
      <c r="O696" t="inlineStr">
        <is>
          <t>自动管线检出的合格导管腔。</t>
        </is>
      </c>
      <c r="P696" t="inlineStr">
        <is>
          <t>auto_pipeline;review_png_green</t>
        </is>
      </c>
      <c r="Q696" t="inlineStr">
        <is>
          <t>59(6)-P01</t>
        </is>
      </c>
      <c r="R696" t="inlineStr">
        <is>
          <t>样品59</t>
        </is>
      </c>
    </row>
    <row r="697">
      <c r="A697" t="inlineStr">
        <is>
          <t>59(7)-V01</t>
        </is>
      </c>
      <c r="B697" t="inlineStr">
        <is>
          <t>59 (7).tif</t>
        </is>
      </c>
      <c r="C697" t="n">
        <v>469</v>
      </c>
      <c r="D697" t="n">
        <v>444</v>
      </c>
      <c r="E697" t="inlineStr">
        <is>
          <t>389,377,550,512</t>
        </is>
      </c>
      <c r="F697" t="n">
        <v>256</v>
      </c>
      <c r="G697" t="inlineStr">
        <is>
          <t>primary</t>
        </is>
      </c>
      <c r="H697" t="inlineStr">
        <is>
          <t>AUTO_VESSEL</t>
        </is>
      </c>
      <c r="I697" t="inlineStr">
        <is>
          <t>是</t>
        </is>
      </c>
      <c r="J697" t="inlineStr">
        <is>
          <t>纳入</t>
        </is>
      </c>
      <c r="K697" t="n">
        <v>793.4782608695652</v>
      </c>
      <c r="L697">
        <f>导管母表_860!G697</f>
        <v/>
      </c>
      <c r="M697" t="inlineStr">
        <is>
          <t>视野内部</t>
        </is>
      </c>
      <c r="N697" t="inlineStr">
        <is>
          <t>纳入A/D/Dh；若有Pair_ID则纳入CWR</t>
        </is>
      </c>
      <c r="O697" t="inlineStr">
        <is>
          <t>自动管线检出的合格导管腔。</t>
        </is>
      </c>
      <c r="P697" t="inlineStr">
        <is>
          <t>auto_pipeline;review_png_green</t>
        </is>
      </c>
      <c r="R697" t="inlineStr">
        <is>
          <t>样品59</t>
        </is>
      </c>
    </row>
    <row r="698">
      <c r="A698" t="inlineStr">
        <is>
          <t>59(7)-V02</t>
        </is>
      </c>
      <c r="B698" t="inlineStr">
        <is>
          <t>59 (7).tif</t>
        </is>
      </c>
      <c r="C698" t="n">
        <v>945</v>
      </c>
      <c r="D698" t="n">
        <v>343</v>
      </c>
      <c r="E698" t="inlineStr">
        <is>
          <t>876,268,1015,419</t>
        </is>
      </c>
      <c r="F698" t="n">
        <v>9</v>
      </c>
      <c r="G698" t="inlineStr">
        <is>
          <t>primary</t>
        </is>
      </c>
      <c r="H698" t="inlineStr">
        <is>
          <t>AUTO_VESSEL</t>
        </is>
      </c>
      <c r="I698" t="inlineStr">
        <is>
          <t>是</t>
        </is>
      </c>
      <c r="J698" t="inlineStr">
        <is>
          <t>纳入</t>
        </is>
      </c>
      <c r="K698" t="n">
        <v>768.194706994329</v>
      </c>
      <c r="L698">
        <f>导管母表_860!G698</f>
        <v/>
      </c>
      <c r="M698" t="inlineStr">
        <is>
          <t>近边缘（&lt;25 px）</t>
        </is>
      </c>
      <c r="N698" t="inlineStr">
        <is>
          <t>纳入A/D/Dh；若有Pair_ID则纳入CWR</t>
        </is>
      </c>
      <c r="O698" t="inlineStr">
        <is>
          <t>自动管线检出的合格导管腔。</t>
        </is>
      </c>
      <c r="P698" t="inlineStr">
        <is>
          <t>auto_pipeline;review_png_green</t>
        </is>
      </c>
      <c r="R698" t="inlineStr">
        <is>
          <t>样品59</t>
        </is>
      </c>
    </row>
    <row r="699">
      <c r="A699" t="inlineStr">
        <is>
          <t>59(7)-V03</t>
        </is>
      </c>
      <c r="B699" t="inlineStr">
        <is>
          <t>59 (7).tif</t>
        </is>
      </c>
      <c r="C699" t="n">
        <v>925</v>
      </c>
      <c r="D699" t="n">
        <v>165</v>
      </c>
      <c r="E699" t="inlineStr">
        <is>
          <t>863,104,988,227</t>
        </is>
      </c>
      <c r="F699" t="n">
        <v>36</v>
      </c>
      <c r="G699" t="inlineStr">
        <is>
          <t>primary</t>
        </is>
      </c>
      <c r="H699" t="inlineStr">
        <is>
          <t>AUTO_VESSEL</t>
        </is>
      </c>
      <c r="I699" t="inlineStr">
        <is>
          <t>是</t>
        </is>
      </c>
      <c r="J699" t="inlineStr">
        <is>
          <t>纳入</t>
        </is>
      </c>
      <c r="K699" t="n">
        <v>560.8931947069943</v>
      </c>
      <c r="L699">
        <f>导管母表_860!G699</f>
        <v/>
      </c>
      <c r="M699" t="inlineStr">
        <is>
          <t>视野内部</t>
        </is>
      </c>
      <c r="N699" t="inlineStr">
        <is>
          <t>纳入A/D/Dh；若有Pair_ID则纳入CWR</t>
        </is>
      </c>
      <c r="O699" t="inlineStr">
        <is>
          <t>自动管线检出的合格导管腔。</t>
        </is>
      </c>
      <c r="P699" t="inlineStr">
        <is>
          <t>auto_pipeline;review_png_green</t>
        </is>
      </c>
      <c r="R699" t="inlineStr">
        <is>
          <t>样品59</t>
        </is>
      </c>
    </row>
    <row r="700">
      <c r="A700" t="inlineStr">
        <is>
          <t>59(7)-V04</t>
        </is>
      </c>
      <c r="B700" t="inlineStr">
        <is>
          <t>59 (7).tif</t>
        </is>
      </c>
      <c r="C700" t="n">
        <v>346</v>
      </c>
      <c r="D700" t="n">
        <v>260</v>
      </c>
      <c r="E700" t="inlineStr">
        <is>
          <t>319,224,374,297</t>
        </is>
      </c>
      <c r="F700" t="n">
        <v>224</v>
      </c>
      <c r="G700" t="inlineStr">
        <is>
          <t>primary</t>
        </is>
      </c>
      <c r="H700" t="inlineStr">
        <is>
          <t>AUTO_VESSEL</t>
        </is>
      </c>
      <c r="I700" t="inlineStr">
        <is>
          <t>是</t>
        </is>
      </c>
      <c r="J700" t="inlineStr">
        <is>
          <t>纳入</t>
        </is>
      </c>
      <c r="K700" t="n">
        <v>144.1398865784499</v>
      </c>
      <c r="L700">
        <f>导管母表_860!G700</f>
        <v/>
      </c>
      <c r="M700" t="inlineStr">
        <is>
          <t>视野内部</t>
        </is>
      </c>
      <c r="N700" t="inlineStr">
        <is>
          <t>纳入A/D/Dh；若有Pair_ID则纳入CWR</t>
        </is>
      </c>
      <c r="O700" t="inlineStr">
        <is>
          <t>自动管线检出的合格导管腔。</t>
        </is>
      </c>
      <c r="P700" t="inlineStr">
        <is>
          <t>auto_pipeline;review_png_green</t>
        </is>
      </c>
      <c r="R700" t="inlineStr">
        <is>
          <t>样品59</t>
        </is>
      </c>
    </row>
    <row r="701">
      <c r="A701" t="inlineStr">
        <is>
          <t>59(7)-V05</t>
        </is>
      </c>
      <c r="B701" t="inlineStr">
        <is>
          <t>59 (7).tif</t>
        </is>
      </c>
      <c r="C701" t="n">
        <v>838</v>
      </c>
      <c r="D701" t="n">
        <v>120</v>
      </c>
      <c r="E701" t="inlineStr">
        <is>
          <t>815,77,862,164</t>
        </is>
      </c>
      <c r="F701" t="n">
        <v>77</v>
      </c>
      <c r="G701" t="inlineStr">
        <is>
          <t>primary</t>
        </is>
      </c>
      <c r="H701" t="inlineStr">
        <is>
          <t>AUTO_VESSEL</t>
        </is>
      </c>
      <c r="I701" t="inlineStr">
        <is>
          <t>是</t>
        </is>
      </c>
      <c r="J701" t="inlineStr">
        <is>
          <t>纳入</t>
        </is>
      </c>
      <c r="K701" t="n">
        <v>137.5945179584121</v>
      </c>
      <c r="L701">
        <f>导管母表_860!G701</f>
        <v/>
      </c>
      <c r="M701" t="inlineStr">
        <is>
          <t>视野内部</t>
        </is>
      </c>
      <c r="N701" t="inlineStr">
        <is>
          <t>纳入A/D/Dh；若有Pair_ID则纳入CWR</t>
        </is>
      </c>
      <c r="O701" t="inlineStr">
        <is>
          <t>自动管线检出的合格导管腔。</t>
        </is>
      </c>
      <c r="P701" t="inlineStr">
        <is>
          <t>auto_pipeline;review_png_green</t>
        </is>
      </c>
      <c r="R701" t="inlineStr">
        <is>
          <t>样品59</t>
        </is>
      </c>
    </row>
    <row r="702">
      <c r="A702" t="inlineStr">
        <is>
          <t>59(7)-V06</t>
        </is>
      </c>
      <c r="B702" t="inlineStr">
        <is>
          <t>59 (7).tif</t>
        </is>
      </c>
      <c r="C702" t="n">
        <v>355</v>
      </c>
      <c r="D702" t="n">
        <v>167</v>
      </c>
      <c r="E702" t="inlineStr">
        <is>
          <t>330,135,381,200</t>
        </is>
      </c>
      <c r="F702" t="n">
        <v>135</v>
      </c>
      <c r="G702" t="inlineStr">
        <is>
          <t>primary</t>
        </is>
      </c>
      <c r="H702" t="inlineStr">
        <is>
          <t>AUTO_VESSEL</t>
        </is>
      </c>
      <c r="I702" t="inlineStr">
        <is>
          <t>是</t>
        </is>
      </c>
      <c r="J702" t="inlineStr">
        <is>
          <t>纳入</t>
        </is>
      </c>
      <c r="K702" t="n">
        <v>116.1862003780718</v>
      </c>
      <c r="L702">
        <f>导管母表_860!G702</f>
        <v/>
      </c>
      <c r="M702" t="inlineStr">
        <is>
          <t>视野内部</t>
        </is>
      </c>
      <c r="N702" t="inlineStr">
        <is>
          <t>纳入A/D/Dh；若有Pair_ID则纳入CWR</t>
        </is>
      </c>
      <c r="O702" t="inlineStr">
        <is>
          <t>自动管线检出的合格导管腔。</t>
        </is>
      </c>
      <c r="P702" t="inlineStr">
        <is>
          <t>auto_pipeline;review_png_green</t>
        </is>
      </c>
      <c r="R702" t="inlineStr">
        <is>
          <t>样品59</t>
        </is>
      </c>
    </row>
    <row r="703">
      <c r="A703" t="inlineStr">
        <is>
          <t>59(8)-V01</t>
        </is>
      </c>
      <c r="B703" t="inlineStr">
        <is>
          <t>59 (8).tif</t>
        </is>
      </c>
      <c r="C703" t="n">
        <v>433</v>
      </c>
      <c r="D703" t="n">
        <v>442</v>
      </c>
      <c r="E703" t="inlineStr">
        <is>
          <t>360,361,507,524</t>
        </is>
      </c>
      <c r="F703" t="n">
        <v>244</v>
      </c>
      <c r="G703" t="inlineStr">
        <is>
          <t>primary</t>
        </is>
      </c>
      <c r="H703" t="inlineStr">
        <is>
          <t>AUTO_VESSEL</t>
        </is>
      </c>
      <c r="I703" t="inlineStr">
        <is>
          <t>是</t>
        </is>
      </c>
      <c r="J703" t="inlineStr">
        <is>
          <t>纳入</t>
        </is>
      </c>
      <c r="K703" t="n">
        <v>876.7958412098299</v>
      </c>
      <c r="L703">
        <f>导管母表_860!G703</f>
        <v/>
      </c>
      <c r="M703" t="inlineStr">
        <is>
          <t>视野内部</t>
        </is>
      </c>
      <c r="N703" t="inlineStr">
        <is>
          <t>纳入A/D/Dh；若有Pair_ID则纳入CWR</t>
        </is>
      </c>
      <c r="O703" t="inlineStr">
        <is>
          <t>自动管线检出的合格导管腔。</t>
        </is>
      </c>
      <c r="P703" t="inlineStr">
        <is>
          <t>auto_pipeline;review_png_green</t>
        </is>
      </c>
      <c r="Q703" t="inlineStr">
        <is>
          <t>59(8)-P01</t>
        </is>
      </c>
      <c r="R703" t="inlineStr">
        <is>
          <t>样品59</t>
        </is>
      </c>
    </row>
    <row r="704">
      <c r="A704" t="inlineStr">
        <is>
          <t>59(8)-V02</t>
        </is>
      </c>
      <c r="B704" t="inlineStr">
        <is>
          <t>59 (8).tif</t>
        </is>
      </c>
      <c r="C704" t="n">
        <v>559</v>
      </c>
      <c r="D704" t="n">
        <v>314</v>
      </c>
      <c r="E704" t="inlineStr">
        <is>
          <t>486,236,633,393</t>
        </is>
      </c>
      <c r="F704" t="n">
        <v>236</v>
      </c>
      <c r="G704" t="inlineStr">
        <is>
          <t>primary</t>
        </is>
      </c>
      <c r="H704" t="inlineStr">
        <is>
          <t>AUTO_VESSEL</t>
        </is>
      </c>
      <c r="I704" t="inlineStr">
        <is>
          <t>是</t>
        </is>
      </c>
      <c r="J704" t="inlineStr">
        <is>
          <t>纳入</t>
        </is>
      </c>
      <c r="K704" t="n">
        <v>844.234404536862</v>
      </c>
      <c r="L704">
        <f>导管母表_860!G704</f>
        <v/>
      </c>
      <c r="M704" t="inlineStr">
        <is>
          <t>视野内部</t>
        </is>
      </c>
      <c r="N704" t="inlineStr">
        <is>
          <t>纳入A/D/Dh；若有Pair_ID则纳入CWR</t>
        </is>
      </c>
      <c r="O704" t="inlineStr">
        <is>
          <t>自动管线检出的合格导管腔。</t>
        </is>
      </c>
      <c r="P704" t="inlineStr">
        <is>
          <t>auto_pipeline;review_png_green</t>
        </is>
      </c>
      <c r="Q704" t="inlineStr">
        <is>
          <t>59(8)-P01</t>
        </is>
      </c>
      <c r="R704" t="inlineStr">
        <is>
          <t>样品59</t>
        </is>
      </c>
    </row>
    <row r="705">
      <c r="A705" t="inlineStr">
        <is>
          <t>59(8)-V03</t>
        </is>
      </c>
      <c r="B705" t="inlineStr">
        <is>
          <t>59 (8).tif</t>
        </is>
      </c>
      <c r="C705" t="n">
        <v>141</v>
      </c>
      <c r="D705" t="n">
        <v>614</v>
      </c>
      <c r="E705" t="inlineStr">
        <is>
          <t>89,592,194,637</t>
        </is>
      </c>
      <c r="F705" t="n">
        <v>89</v>
      </c>
      <c r="G705" t="inlineStr">
        <is>
          <t>primary</t>
        </is>
      </c>
      <c r="H705" t="inlineStr">
        <is>
          <t>AUTO_VESSEL</t>
        </is>
      </c>
      <c r="I705" t="inlineStr">
        <is>
          <t>是</t>
        </is>
      </c>
      <c r="J705" t="inlineStr">
        <is>
          <t>纳入</t>
        </is>
      </c>
      <c r="K705" t="n">
        <v>169.8015122873346</v>
      </c>
      <c r="L705">
        <f>导管母表_860!G705</f>
        <v/>
      </c>
      <c r="M705" t="inlineStr">
        <is>
          <t>视野内部</t>
        </is>
      </c>
      <c r="N705" t="inlineStr">
        <is>
          <t>纳入A/D/Dh；若有Pair_ID则纳入CWR</t>
        </is>
      </c>
      <c r="O705" t="inlineStr">
        <is>
          <t>自动管线检出的合格导管腔。</t>
        </is>
      </c>
      <c r="P705" t="inlineStr">
        <is>
          <t>auto_pipeline;review_png_green</t>
        </is>
      </c>
      <c r="R705" t="inlineStr">
        <is>
          <t>样品59</t>
        </is>
      </c>
    </row>
    <row r="706">
      <c r="A706" t="inlineStr">
        <is>
          <t>59(8)-V04</t>
        </is>
      </c>
      <c r="B706" t="inlineStr">
        <is>
          <t>59 (8).tif</t>
        </is>
      </c>
      <c r="C706" t="n">
        <v>336</v>
      </c>
      <c r="D706" t="n">
        <v>92</v>
      </c>
      <c r="E706" t="inlineStr">
        <is>
          <t>304,61,369,124</t>
        </is>
      </c>
      <c r="F706" t="n">
        <v>61</v>
      </c>
      <c r="G706" t="inlineStr">
        <is>
          <t>primary</t>
        </is>
      </c>
      <c r="H706" t="inlineStr">
        <is>
          <t>AUTO_VESSEL</t>
        </is>
      </c>
      <c r="I706" t="inlineStr">
        <is>
          <t>是</t>
        </is>
      </c>
      <c r="J706" t="inlineStr">
        <is>
          <t>纳入</t>
        </is>
      </c>
      <c r="K706" t="n">
        <v>139.3194706994329</v>
      </c>
      <c r="L706">
        <f>导管母表_860!G706</f>
        <v/>
      </c>
      <c r="M706" t="inlineStr">
        <is>
          <t>视野内部</t>
        </is>
      </c>
      <c r="N706" t="inlineStr">
        <is>
          <t>纳入A/D/Dh；若有Pair_ID则纳入CWR</t>
        </is>
      </c>
      <c r="O706" t="inlineStr">
        <is>
          <t>自动管线检出的合格导管腔。</t>
        </is>
      </c>
      <c r="P706" t="inlineStr">
        <is>
          <t>auto_pipeline;review_png_green</t>
        </is>
      </c>
      <c r="R706" t="inlineStr">
        <is>
          <t>样品59</t>
        </is>
      </c>
    </row>
    <row r="707">
      <c r="A707" t="inlineStr">
        <is>
          <t>59(8)-V05</t>
        </is>
      </c>
      <c r="B707" t="inlineStr">
        <is>
          <t>59 (8).tif</t>
        </is>
      </c>
      <c r="C707" t="n">
        <v>228</v>
      </c>
      <c r="D707" t="n">
        <v>205</v>
      </c>
      <c r="E707" t="inlineStr">
        <is>
          <t>195,174,262,237</t>
        </is>
      </c>
      <c r="F707" t="n">
        <v>174</v>
      </c>
      <c r="G707" t="inlineStr">
        <is>
          <t>primary</t>
        </is>
      </c>
      <c r="H707" t="inlineStr">
        <is>
          <t>AUTO_VESSEL</t>
        </is>
      </c>
      <c r="I707" t="inlineStr">
        <is>
          <t>是</t>
        </is>
      </c>
      <c r="J707" t="inlineStr">
        <is>
          <t>纳入</t>
        </is>
      </c>
      <c r="K707" t="n">
        <v>135.2788279773157</v>
      </c>
      <c r="L707">
        <f>导管母表_860!G707</f>
        <v/>
      </c>
      <c r="M707" t="inlineStr">
        <is>
          <t>视野内部</t>
        </is>
      </c>
      <c r="N707" t="inlineStr">
        <is>
          <t>纳入A/D/Dh；若有Pair_ID则纳入CWR</t>
        </is>
      </c>
      <c r="O707" t="inlineStr">
        <is>
          <t>自动管线检出的合格导管腔。</t>
        </is>
      </c>
      <c r="P707" t="inlineStr">
        <is>
          <t>auto_pipeline;review_png_green</t>
        </is>
      </c>
      <c r="R707" t="inlineStr">
        <is>
          <t>样品59</t>
        </is>
      </c>
    </row>
    <row r="708">
      <c r="A708" t="inlineStr">
        <is>
          <t>59(8)-V06</t>
        </is>
      </c>
      <c r="B708" t="inlineStr">
        <is>
          <t>59 (8).tif</t>
        </is>
      </c>
      <c r="C708" t="n">
        <v>919</v>
      </c>
      <c r="D708" t="n">
        <v>395</v>
      </c>
      <c r="E708" t="inlineStr">
        <is>
          <t>893,361,946,430</t>
        </is>
      </c>
      <c r="F708" t="n">
        <v>78</v>
      </c>
      <c r="G708" t="inlineStr">
        <is>
          <t>primary</t>
        </is>
      </c>
      <c r="H708" t="inlineStr">
        <is>
          <t>AUTO_VESSEL</t>
        </is>
      </c>
      <c r="I708" t="inlineStr">
        <is>
          <t>是</t>
        </is>
      </c>
      <c r="J708" t="inlineStr">
        <is>
          <t>纳入</t>
        </is>
      </c>
      <c r="K708" t="n">
        <v>120.5576559546314</v>
      </c>
      <c r="L708">
        <f>导管母表_860!G708</f>
        <v/>
      </c>
      <c r="M708" t="inlineStr">
        <is>
          <t>视野内部</t>
        </is>
      </c>
      <c r="N708" t="inlineStr">
        <is>
          <t>纳入A/D/Dh；若有Pair_ID则纳入CWR</t>
        </is>
      </c>
      <c r="O708" t="inlineStr">
        <is>
          <t>自动管线检出的合格导管腔。</t>
        </is>
      </c>
      <c r="P708" t="inlineStr">
        <is>
          <t>auto_pipeline;review_png_green</t>
        </is>
      </c>
      <c r="R708" t="inlineStr">
        <is>
          <t>样品59</t>
        </is>
      </c>
    </row>
    <row r="709">
      <c r="A709" t="inlineStr">
        <is>
          <t>59(8)-V07</t>
        </is>
      </c>
      <c r="B709" t="inlineStr">
        <is>
          <t>59 (8).tif</t>
        </is>
      </c>
      <c r="C709" t="n">
        <v>171</v>
      </c>
      <c r="D709" t="n">
        <v>269</v>
      </c>
      <c r="E709" t="inlineStr">
        <is>
          <t>147,236,196,303</t>
        </is>
      </c>
      <c r="F709" t="n">
        <v>147</v>
      </c>
      <c r="G709" t="inlineStr">
        <is>
          <t>primary</t>
        </is>
      </c>
      <c r="H709" t="inlineStr">
        <is>
          <t>AUTO_VESSEL</t>
        </is>
      </c>
      <c r="I709" t="inlineStr">
        <is>
          <t>是</t>
        </is>
      </c>
      <c r="J709" t="inlineStr">
        <is>
          <t>纳入</t>
        </is>
      </c>
      <c r="K709" t="n">
        <v>111.1058601134216</v>
      </c>
      <c r="L709">
        <f>导管母表_860!G709</f>
        <v/>
      </c>
      <c r="M709" t="inlineStr">
        <is>
          <t>视野内部</t>
        </is>
      </c>
      <c r="N709" t="inlineStr">
        <is>
          <t>纳入A/D/Dh；若有Pair_ID则纳入CWR</t>
        </is>
      </c>
      <c r="O709" t="inlineStr">
        <is>
          <t>自动管线检出的合格导管腔。</t>
        </is>
      </c>
      <c r="P709" t="inlineStr">
        <is>
          <t>auto_pipeline;review_png_green</t>
        </is>
      </c>
      <c r="R709" t="inlineStr">
        <is>
          <t>样品59</t>
        </is>
      </c>
    </row>
    <row r="710">
      <c r="A710" t="inlineStr">
        <is>
          <t>59(8)-V08</t>
        </is>
      </c>
      <c r="B710" t="inlineStr">
        <is>
          <t>59 (8).tif</t>
        </is>
      </c>
      <c r="C710" t="n">
        <v>904</v>
      </c>
      <c r="D710" t="n">
        <v>129</v>
      </c>
      <c r="E710" t="inlineStr">
        <is>
          <t>872,106,937,153</t>
        </is>
      </c>
      <c r="F710" t="n">
        <v>87</v>
      </c>
      <c r="G710" t="inlineStr">
        <is>
          <t>primary</t>
        </is>
      </c>
      <c r="H710" t="inlineStr">
        <is>
          <t>AUTO_VESSEL</t>
        </is>
      </c>
      <c r="I710" t="inlineStr">
        <is>
          <t>是</t>
        </is>
      </c>
      <c r="J710" t="inlineStr">
        <is>
          <t>纳入</t>
        </is>
      </c>
      <c r="K710" t="n">
        <v>109.5463137996219</v>
      </c>
      <c r="L710">
        <f>导管母表_860!G710</f>
        <v/>
      </c>
      <c r="M710" t="inlineStr">
        <is>
          <t>视野内部</t>
        </is>
      </c>
      <c r="N710" t="inlineStr">
        <is>
          <t>纳入A/D/Dh；若有Pair_ID则纳入CWR</t>
        </is>
      </c>
      <c r="O710" t="inlineStr">
        <is>
          <t>自动管线检出的合格导管腔。</t>
        </is>
      </c>
      <c r="P710" t="inlineStr">
        <is>
          <t>auto_pipeline;review_png_green</t>
        </is>
      </c>
      <c r="R710" t="inlineStr">
        <is>
          <t>样品59</t>
        </is>
      </c>
    </row>
    <row r="711">
      <c r="A711" t="inlineStr">
        <is>
          <t>60(1)-V01</t>
        </is>
      </c>
      <c r="B711" t="inlineStr">
        <is>
          <t>60 (1).tif</t>
        </is>
      </c>
      <c r="C711" t="n">
        <v>468</v>
      </c>
      <c r="D711" t="n">
        <v>308</v>
      </c>
      <c r="E711" t="inlineStr">
        <is>
          <t>397,241,540,376</t>
        </is>
      </c>
      <c r="F711" t="n">
        <v>241</v>
      </c>
      <c r="G711" t="inlineStr">
        <is>
          <t>primary</t>
        </is>
      </c>
      <c r="H711" t="inlineStr">
        <is>
          <t>AUTO_VESSEL</t>
        </is>
      </c>
      <c r="I711" t="inlineStr">
        <is>
          <t>是</t>
        </is>
      </c>
      <c r="J711" t="inlineStr">
        <is>
          <t>纳入</t>
        </is>
      </c>
      <c r="K711" t="n">
        <v>705.6710775047259</v>
      </c>
      <c r="L711">
        <f>导管母表_860!G711</f>
        <v/>
      </c>
      <c r="M711" t="inlineStr">
        <is>
          <t>视野内部</t>
        </is>
      </c>
      <c r="N711" t="inlineStr">
        <is>
          <t>纳入A/D/Dh；若有Pair_ID则纳入CWR</t>
        </is>
      </c>
      <c r="O711" t="inlineStr">
        <is>
          <t>自动管线检出的合格导管腔。</t>
        </is>
      </c>
      <c r="P711" t="inlineStr">
        <is>
          <t>auto_pipeline;review_png_green</t>
        </is>
      </c>
      <c r="Q711" t="inlineStr">
        <is>
          <t>60(1)-P01</t>
        </is>
      </c>
      <c r="R711" t="inlineStr">
        <is>
          <t>样品60</t>
        </is>
      </c>
    </row>
    <row r="712">
      <c r="A712" t="inlineStr">
        <is>
          <t>60(1)-V02</t>
        </is>
      </c>
      <c r="B712" t="inlineStr">
        <is>
          <t>60 (1).tif</t>
        </is>
      </c>
      <c r="C712" t="n">
        <v>535</v>
      </c>
      <c r="D712" t="n">
        <v>442</v>
      </c>
      <c r="E712" t="inlineStr">
        <is>
          <t>465,376,606,509</t>
        </is>
      </c>
      <c r="F712" t="n">
        <v>259</v>
      </c>
      <c r="G712" t="inlineStr">
        <is>
          <t>primary</t>
        </is>
      </c>
      <c r="H712" t="inlineStr">
        <is>
          <t>AUTO_VESSEL</t>
        </is>
      </c>
      <c r="I712" t="inlineStr">
        <is>
          <t>是</t>
        </is>
      </c>
      <c r="J712" t="inlineStr">
        <is>
          <t>纳入</t>
        </is>
      </c>
      <c r="K712" t="n">
        <v>686.4366729678638</v>
      </c>
      <c r="L712">
        <f>导管母表_860!G712</f>
        <v/>
      </c>
      <c r="M712" t="inlineStr">
        <is>
          <t>视野内部</t>
        </is>
      </c>
      <c r="N712" t="inlineStr">
        <is>
          <t>纳入A/D/Dh；若有Pair_ID则纳入CWR</t>
        </is>
      </c>
      <c r="O712" t="inlineStr">
        <is>
          <t>自动管线检出的合格导管腔。</t>
        </is>
      </c>
      <c r="P712" t="inlineStr">
        <is>
          <t>auto_pipeline;review_png_green</t>
        </is>
      </c>
      <c r="Q712" t="inlineStr">
        <is>
          <t>60(1)-P01</t>
        </is>
      </c>
      <c r="R712" t="inlineStr">
        <is>
          <t>样品60</t>
        </is>
      </c>
    </row>
    <row r="713">
      <c r="A713" t="inlineStr">
        <is>
          <t>60(1)-V03</t>
        </is>
      </c>
      <c r="B713" t="inlineStr">
        <is>
          <t>60 (1).tif</t>
        </is>
      </c>
      <c r="C713" t="n">
        <v>114</v>
      </c>
      <c r="D713" t="n">
        <v>241</v>
      </c>
      <c r="E713" t="inlineStr">
        <is>
          <t>58,199,171,284</t>
        </is>
      </c>
      <c r="F713" t="n">
        <v>58</v>
      </c>
      <c r="G713" t="inlineStr">
        <is>
          <t>primary</t>
        </is>
      </c>
      <c r="H713" t="inlineStr">
        <is>
          <t>AUTO_VESSEL</t>
        </is>
      </c>
      <c r="I713" t="inlineStr">
        <is>
          <t>是</t>
        </is>
      </c>
      <c r="J713" t="inlineStr">
        <is>
          <t>纳入</t>
        </is>
      </c>
      <c r="K713" t="n">
        <v>241.6824196597354</v>
      </c>
      <c r="L713">
        <f>导管母表_860!G713</f>
        <v/>
      </c>
      <c r="M713" t="inlineStr">
        <is>
          <t>视野内部</t>
        </is>
      </c>
      <c r="N713" t="inlineStr">
        <is>
          <t>纳入A/D/Dh；若有Pair_ID则纳入CWR</t>
        </is>
      </c>
      <c r="O713" t="inlineStr">
        <is>
          <t>自动管线检出的合格导管腔。</t>
        </is>
      </c>
      <c r="P713" t="inlineStr">
        <is>
          <t>auto_pipeline;review_png_green</t>
        </is>
      </c>
      <c r="R713" t="inlineStr">
        <is>
          <t>样品60</t>
        </is>
      </c>
    </row>
    <row r="714">
      <c r="A714" t="inlineStr">
        <is>
          <t>60(1)-V04</t>
        </is>
      </c>
      <c r="B714" t="inlineStr">
        <is>
          <t>60 (1).tif</t>
        </is>
      </c>
      <c r="C714" t="n">
        <v>116</v>
      </c>
      <c r="D714" t="n">
        <v>533</v>
      </c>
      <c r="E714" t="inlineStr">
        <is>
          <t>82,493,151,574</t>
        </is>
      </c>
      <c r="F714" t="n">
        <v>82</v>
      </c>
      <c r="G714" t="inlineStr">
        <is>
          <t>primary</t>
        </is>
      </c>
      <c r="H714" t="inlineStr">
        <is>
          <t>AUTO_VESSEL</t>
        </is>
      </c>
      <c r="I714" t="inlineStr">
        <is>
          <t>是</t>
        </is>
      </c>
      <c r="J714" t="inlineStr">
        <is>
          <t>纳入</t>
        </is>
      </c>
      <c r="K714" t="n">
        <v>160.2079395085066</v>
      </c>
      <c r="L714">
        <f>导管母表_860!G714</f>
        <v/>
      </c>
      <c r="M714" t="inlineStr">
        <is>
          <t>视野内部</t>
        </is>
      </c>
      <c r="N714" t="inlineStr">
        <is>
          <t>纳入A/D/Dh；若有Pair_ID则纳入CWR</t>
        </is>
      </c>
      <c r="O714" t="inlineStr">
        <is>
          <t>自动管线检出的合格导管腔。</t>
        </is>
      </c>
      <c r="P714" t="inlineStr">
        <is>
          <t>auto_pipeline;review_png_green</t>
        </is>
      </c>
      <c r="R714" t="inlineStr">
        <is>
          <t>样品60</t>
        </is>
      </c>
    </row>
    <row r="715">
      <c r="A715" t="inlineStr">
        <is>
          <t>60(1)-V05</t>
        </is>
      </c>
      <c r="B715" t="inlineStr">
        <is>
          <t>60 (1).tif</t>
        </is>
      </c>
      <c r="C715" t="n">
        <v>916</v>
      </c>
      <c r="D715" t="n">
        <v>196</v>
      </c>
      <c r="E715" t="inlineStr">
        <is>
          <t>893,149,940,244</t>
        </is>
      </c>
      <c r="F715" t="n">
        <v>84</v>
      </c>
      <c r="G715" t="inlineStr">
        <is>
          <t>primary</t>
        </is>
      </c>
      <c r="H715" t="inlineStr">
        <is>
          <t>AUTO_VESSEL</t>
        </is>
      </c>
      <c r="I715" t="inlineStr">
        <is>
          <t>是</t>
        </is>
      </c>
      <c r="J715" t="inlineStr">
        <is>
          <t>纳入</t>
        </is>
      </c>
      <c r="K715" t="n">
        <v>159.9716446124764</v>
      </c>
      <c r="L715">
        <f>导管母表_860!G715</f>
        <v/>
      </c>
      <c r="M715" t="inlineStr">
        <is>
          <t>视野内部</t>
        </is>
      </c>
      <c r="N715" t="inlineStr">
        <is>
          <t>纳入A/D/Dh；若有Pair_ID则纳入CWR</t>
        </is>
      </c>
      <c r="O715" t="inlineStr">
        <is>
          <t>自动管线检出的合格导管腔。</t>
        </is>
      </c>
      <c r="P715" t="inlineStr">
        <is>
          <t>auto_pipeline;review_png_green</t>
        </is>
      </c>
      <c r="R715" t="inlineStr">
        <is>
          <t>样品60</t>
        </is>
      </c>
    </row>
    <row r="716">
      <c r="A716" t="inlineStr">
        <is>
          <t>60(1)-V06</t>
        </is>
      </c>
      <c r="B716" t="inlineStr">
        <is>
          <t>60 (1).tif</t>
        </is>
      </c>
      <c r="C716" t="n">
        <v>356</v>
      </c>
      <c r="D716" t="n">
        <v>248</v>
      </c>
      <c r="E716" t="inlineStr">
        <is>
          <t>327,213,386,284</t>
        </is>
      </c>
      <c r="F716" t="n">
        <v>213</v>
      </c>
      <c r="G716" t="inlineStr">
        <is>
          <t>primary</t>
        </is>
      </c>
      <c r="H716" t="inlineStr">
        <is>
          <t>AUTO_VESSEL</t>
        </is>
      </c>
      <c r="I716" t="inlineStr">
        <is>
          <t>是</t>
        </is>
      </c>
      <c r="J716" t="inlineStr">
        <is>
          <t>纳入</t>
        </is>
      </c>
      <c r="K716" t="n">
        <v>150.5671077504726</v>
      </c>
      <c r="L716">
        <f>导管母表_860!G716</f>
        <v/>
      </c>
      <c r="M716" t="inlineStr">
        <is>
          <t>视野内部</t>
        </is>
      </c>
      <c r="N716" t="inlineStr">
        <is>
          <t>纳入A/D/Dh；若有Pair_ID则纳入CWR</t>
        </is>
      </c>
      <c r="O716" t="inlineStr">
        <is>
          <t>自动管线检出的合格导管腔。</t>
        </is>
      </c>
      <c r="P716" t="inlineStr">
        <is>
          <t>auto_pipeline;review_png_green</t>
        </is>
      </c>
      <c r="R716" t="inlineStr">
        <is>
          <t>样品60</t>
        </is>
      </c>
    </row>
    <row r="717">
      <c r="A717" t="inlineStr">
        <is>
          <t>60(1)-V07</t>
        </is>
      </c>
      <c r="B717" t="inlineStr">
        <is>
          <t>60 (1).tif</t>
        </is>
      </c>
      <c r="C717" t="n">
        <v>60</v>
      </c>
      <c r="D717" t="n">
        <v>447</v>
      </c>
      <c r="E717" t="inlineStr">
        <is>
          <t>29,413,92,482</t>
        </is>
      </c>
      <c r="F717" t="n">
        <v>29</v>
      </c>
      <c r="G717" t="inlineStr">
        <is>
          <t>primary</t>
        </is>
      </c>
      <c r="H717" t="inlineStr">
        <is>
          <t>AUTO_VESSEL</t>
        </is>
      </c>
      <c r="I717" t="inlineStr">
        <is>
          <t>是</t>
        </is>
      </c>
      <c r="J717" t="inlineStr">
        <is>
          <t>纳入</t>
        </is>
      </c>
      <c r="K717" t="n">
        <v>136.2712665406427</v>
      </c>
      <c r="L717">
        <f>导管母表_860!G717</f>
        <v/>
      </c>
      <c r="M717" t="inlineStr">
        <is>
          <t>视野内部</t>
        </is>
      </c>
      <c r="N717" t="inlineStr">
        <is>
          <t>纳入A/D/Dh；若有Pair_ID则纳入CWR</t>
        </is>
      </c>
      <c r="O717" t="inlineStr">
        <is>
          <t>自动管线检出的合格导管腔。</t>
        </is>
      </c>
      <c r="P717" t="inlineStr">
        <is>
          <t>auto_pipeline;review_png_green</t>
        </is>
      </c>
      <c r="R717" t="inlineStr">
        <is>
          <t>样品60</t>
        </is>
      </c>
    </row>
    <row r="718">
      <c r="A718" t="inlineStr">
        <is>
          <t>60(1)-V08</t>
        </is>
      </c>
      <c r="B718" t="inlineStr">
        <is>
          <t>60 (1).tif</t>
        </is>
      </c>
      <c r="C718" t="n">
        <v>408</v>
      </c>
      <c r="D718" t="n">
        <v>414</v>
      </c>
      <c r="E718" t="inlineStr">
        <is>
          <t>382,375,435,454</t>
        </is>
      </c>
      <c r="F718" t="n">
        <v>314</v>
      </c>
      <c r="G718" t="inlineStr">
        <is>
          <t>primary</t>
        </is>
      </c>
      <c r="H718" t="inlineStr">
        <is>
          <t>AUTO_VESSEL</t>
        </is>
      </c>
      <c r="I718" t="inlineStr">
        <is>
          <t>是</t>
        </is>
      </c>
      <c r="J718" t="inlineStr">
        <is>
          <t>纳入</t>
        </is>
      </c>
      <c r="K718" t="n">
        <v>121.4083175803403</v>
      </c>
      <c r="L718">
        <f>导管母表_860!G718</f>
        <v/>
      </c>
      <c r="M718" t="inlineStr">
        <is>
          <t>视野内部</t>
        </is>
      </c>
      <c r="N718" t="inlineStr">
        <is>
          <t>纳入A/D/Dh；若有Pair_ID则纳入CWR</t>
        </is>
      </c>
      <c r="O718" t="inlineStr">
        <is>
          <t>自动管线检出的合格导管腔。</t>
        </is>
      </c>
      <c r="P718" t="inlineStr">
        <is>
          <t>auto_pipeline;review_png_green</t>
        </is>
      </c>
      <c r="R718" t="inlineStr">
        <is>
          <t>样品60</t>
        </is>
      </c>
    </row>
    <row r="719">
      <c r="A719" t="inlineStr">
        <is>
          <t>60(2)-V01</t>
        </is>
      </c>
      <c r="B719" t="inlineStr">
        <is>
          <t>60 (2).tif</t>
        </is>
      </c>
      <c r="C719" t="n">
        <v>417</v>
      </c>
      <c r="D719" t="n">
        <v>356</v>
      </c>
      <c r="E719" t="inlineStr">
        <is>
          <t>342,278,493,435</t>
        </is>
      </c>
      <c r="F719" t="n">
        <v>278</v>
      </c>
      <c r="G719" t="inlineStr">
        <is>
          <t>primary</t>
        </is>
      </c>
      <c r="H719" t="inlineStr">
        <is>
          <t>AUTO_VESSEL</t>
        </is>
      </c>
      <c r="I719" t="inlineStr">
        <is>
          <t>是</t>
        </is>
      </c>
      <c r="J719" t="inlineStr">
        <is>
          <t>纳入</t>
        </is>
      </c>
      <c r="K719" t="n">
        <v>867.4385633270322</v>
      </c>
      <c r="L719">
        <f>导管母表_860!G719</f>
        <v/>
      </c>
      <c r="M719" t="inlineStr">
        <is>
          <t>视野内部</t>
        </is>
      </c>
      <c r="N719" t="inlineStr">
        <is>
          <t>纳入A/D/Dh；若有Pair_ID则纳入CWR</t>
        </is>
      </c>
      <c r="O719" t="inlineStr">
        <is>
          <t>自动管线检出的合格导管腔。</t>
        </is>
      </c>
      <c r="P719" t="inlineStr">
        <is>
          <t>auto_pipeline;review_png_green</t>
        </is>
      </c>
      <c r="Q719" t="inlineStr">
        <is>
          <t>60(2)-P01</t>
        </is>
      </c>
      <c r="R719" t="inlineStr">
        <is>
          <t>样品60</t>
        </is>
      </c>
    </row>
    <row r="720">
      <c r="A720" t="inlineStr">
        <is>
          <t>60(2)-V02</t>
        </is>
      </c>
      <c r="B720" t="inlineStr">
        <is>
          <t>60 (2).tif</t>
        </is>
      </c>
      <c r="C720" t="n">
        <v>570</v>
      </c>
      <c r="D720" t="n">
        <v>386</v>
      </c>
      <c r="E720" t="inlineStr">
        <is>
          <t>498,313,643,460</t>
        </is>
      </c>
      <c r="F720" t="n">
        <v>308</v>
      </c>
      <c r="G720" t="inlineStr">
        <is>
          <t>primary</t>
        </is>
      </c>
      <c r="H720" t="inlineStr">
        <is>
          <t>AUTO_VESSEL</t>
        </is>
      </c>
      <c r="I720" t="inlineStr">
        <is>
          <t>是</t>
        </is>
      </c>
      <c r="J720" t="inlineStr">
        <is>
          <t>纳入</t>
        </is>
      </c>
      <c r="K720" t="n">
        <v>779.4896030245746</v>
      </c>
      <c r="L720">
        <f>导管母表_860!G720</f>
        <v/>
      </c>
      <c r="M720" t="inlineStr">
        <is>
          <t>视野内部</t>
        </is>
      </c>
      <c r="N720" t="inlineStr">
        <is>
          <t>纳入A/D/Dh；若有Pair_ID则纳入CWR</t>
        </is>
      </c>
      <c r="O720" t="inlineStr">
        <is>
          <t>自动管线检出的合格导管腔。</t>
        </is>
      </c>
      <c r="P720" t="inlineStr">
        <is>
          <t>auto_pipeline;review_png_green</t>
        </is>
      </c>
      <c r="Q720" t="inlineStr">
        <is>
          <t>60(2)-P01</t>
        </is>
      </c>
      <c r="R720" t="inlineStr">
        <is>
          <t>样品60</t>
        </is>
      </c>
    </row>
    <row r="721">
      <c r="A721" t="inlineStr">
        <is>
          <t>60(2)-V03</t>
        </is>
      </c>
      <c r="B721" t="inlineStr">
        <is>
          <t>60 (2).tif</t>
        </is>
      </c>
      <c r="C721" t="n">
        <v>759</v>
      </c>
      <c r="D721" t="n">
        <v>424</v>
      </c>
      <c r="E721" t="inlineStr">
        <is>
          <t>689,361,830,488</t>
        </is>
      </c>
      <c r="F721" t="n">
        <v>194</v>
      </c>
      <c r="G721" t="inlineStr">
        <is>
          <t>primary</t>
        </is>
      </c>
      <c r="H721" t="inlineStr">
        <is>
          <t>AUTO_VESSEL</t>
        </is>
      </c>
      <c r="I721" t="inlineStr">
        <is>
          <t>是</t>
        </is>
      </c>
      <c r="J721" t="inlineStr">
        <is>
          <t>纳入</t>
        </is>
      </c>
      <c r="K721" t="n">
        <v>652.4574669187145</v>
      </c>
      <c r="L721">
        <f>导管母表_860!G721</f>
        <v/>
      </c>
      <c r="M721" t="inlineStr">
        <is>
          <t>视野内部</t>
        </is>
      </c>
      <c r="N721" t="inlineStr">
        <is>
          <t>纳入A/D/Dh；若有Pair_ID则纳入CWR</t>
        </is>
      </c>
      <c r="O721" t="inlineStr">
        <is>
          <t>自动管线检出的合格导管腔。</t>
        </is>
      </c>
      <c r="P721" t="inlineStr">
        <is>
          <t>auto_pipeline;review_png_green</t>
        </is>
      </c>
      <c r="R721" t="inlineStr">
        <is>
          <t>样品60</t>
        </is>
      </c>
    </row>
    <row r="722">
      <c r="A722" t="inlineStr">
        <is>
          <t>60(2)-V04</t>
        </is>
      </c>
      <c r="B722" t="inlineStr">
        <is>
          <t>60 (2).tif</t>
        </is>
      </c>
      <c r="C722" t="n">
        <v>227</v>
      </c>
      <c r="D722" t="n">
        <v>291</v>
      </c>
      <c r="E722" t="inlineStr">
        <is>
          <t>163,229,292,354</t>
        </is>
      </c>
      <c r="F722" t="n">
        <v>163</v>
      </c>
      <c r="G722" t="inlineStr">
        <is>
          <t>primary</t>
        </is>
      </c>
      <c r="H722" t="inlineStr">
        <is>
          <t>AUTO_VESSEL</t>
        </is>
      </c>
      <c r="I722" t="inlineStr">
        <is>
          <t>是</t>
        </is>
      </c>
      <c r="J722" t="inlineStr">
        <is>
          <t>纳入</t>
        </is>
      </c>
      <c r="K722" t="n">
        <v>588.5396975425331</v>
      </c>
      <c r="L722">
        <f>导管母表_860!G722</f>
        <v/>
      </c>
      <c r="M722" t="inlineStr">
        <is>
          <t>视野内部</t>
        </is>
      </c>
      <c r="N722" t="inlineStr">
        <is>
          <t>纳入A/D/Dh；若有Pair_ID则纳入CWR</t>
        </is>
      </c>
      <c r="O722" t="inlineStr">
        <is>
          <t>自动管线检出的合格导管腔。</t>
        </is>
      </c>
      <c r="P722" t="inlineStr">
        <is>
          <t>auto_pipeline;review_png_green</t>
        </is>
      </c>
      <c r="R722" t="inlineStr">
        <is>
          <t>样品60</t>
        </is>
      </c>
    </row>
    <row r="723">
      <c r="A723" t="inlineStr">
        <is>
          <t>60(2)-V05</t>
        </is>
      </c>
      <c r="B723" t="inlineStr">
        <is>
          <t>60 (2).tif</t>
        </is>
      </c>
      <c r="C723" t="n">
        <v>313</v>
      </c>
      <c r="D723" t="n">
        <v>326</v>
      </c>
      <c r="E723" t="inlineStr">
        <is>
          <t>286,276,341,377</t>
        </is>
      </c>
      <c r="F723" t="n">
        <v>276</v>
      </c>
      <c r="G723" t="inlineStr">
        <is>
          <t>primary</t>
        </is>
      </c>
      <c r="H723" t="inlineStr">
        <is>
          <t>AUTO_VESSEL</t>
        </is>
      </c>
      <c r="I723" t="inlineStr">
        <is>
          <t>是</t>
        </is>
      </c>
      <c r="J723" t="inlineStr">
        <is>
          <t>纳入</t>
        </is>
      </c>
      <c r="K723" t="n">
        <v>172.9206049149338</v>
      </c>
      <c r="L723">
        <f>导管母表_860!G723</f>
        <v/>
      </c>
      <c r="M723" t="inlineStr">
        <is>
          <t>视野内部</t>
        </is>
      </c>
      <c r="N723" t="inlineStr">
        <is>
          <t>纳入A/D/Dh；若有Pair_ID则纳入CWR</t>
        </is>
      </c>
      <c r="O723" t="inlineStr">
        <is>
          <t>自动管线检出的合格导管腔。</t>
        </is>
      </c>
      <c r="P723" t="inlineStr">
        <is>
          <t>auto_pipeline;review_png_green</t>
        </is>
      </c>
      <c r="R723" t="inlineStr">
        <is>
          <t>样品60</t>
        </is>
      </c>
    </row>
    <row r="724">
      <c r="A724" t="inlineStr">
        <is>
          <t>60(2)-V06</t>
        </is>
      </c>
      <c r="B724" t="inlineStr">
        <is>
          <t>60 (2).tif</t>
        </is>
      </c>
      <c r="C724" t="n">
        <v>463</v>
      </c>
      <c r="D724" t="n">
        <v>125</v>
      </c>
      <c r="E724" t="inlineStr">
        <is>
          <t>407,105,520,146</t>
        </is>
      </c>
      <c r="F724" t="n">
        <v>105</v>
      </c>
      <c r="G724" t="inlineStr">
        <is>
          <t>primary</t>
        </is>
      </c>
      <c r="H724" t="inlineStr">
        <is>
          <t>AUTO_VESSEL</t>
        </is>
      </c>
      <c r="I724" t="inlineStr">
        <is>
          <t>是</t>
        </is>
      </c>
      <c r="J724" t="inlineStr">
        <is>
          <t>纳入</t>
        </is>
      </c>
      <c r="K724" t="n">
        <v>144.0453686200378</v>
      </c>
      <c r="L724">
        <f>导管母表_860!G724</f>
        <v/>
      </c>
      <c r="M724" t="inlineStr">
        <is>
          <t>视野内部</t>
        </is>
      </c>
      <c r="N724" t="inlineStr">
        <is>
          <t>纳入A/D/Dh；若有Pair_ID则纳入CWR</t>
        </is>
      </c>
      <c r="O724" t="inlineStr">
        <is>
          <t>自动管线检出的合格导管腔。</t>
        </is>
      </c>
      <c r="P724" t="inlineStr">
        <is>
          <t>auto_pipeline;review_png_green</t>
        </is>
      </c>
      <c r="R724" t="inlineStr">
        <is>
          <t>样品60</t>
        </is>
      </c>
    </row>
    <row r="725">
      <c r="A725" t="inlineStr">
        <is>
          <t>60(2)-V07</t>
        </is>
      </c>
      <c r="B725" t="inlineStr">
        <is>
          <t>60 (2).tif</t>
        </is>
      </c>
      <c r="C725" t="n">
        <v>319</v>
      </c>
      <c r="D725" t="n">
        <v>196</v>
      </c>
      <c r="E725" t="inlineStr">
        <is>
          <t>278,176,361,217</t>
        </is>
      </c>
      <c r="F725" t="n">
        <v>176</v>
      </c>
      <c r="G725" t="inlineStr">
        <is>
          <t>primary</t>
        </is>
      </c>
      <c r="H725" t="inlineStr">
        <is>
          <t>AUTO_VESSEL</t>
        </is>
      </c>
      <c r="I725" t="inlineStr">
        <is>
          <t>是</t>
        </is>
      </c>
      <c r="J725" t="inlineStr">
        <is>
          <t>纳入</t>
        </is>
      </c>
      <c r="K725" t="n">
        <v>121.195652173913</v>
      </c>
      <c r="L725">
        <f>导管母表_860!G725</f>
        <v/>
      </c>
      <c r="M725" t="inlineStr">
        <is>
          <t>视野内部</t>
        </is>
      </c>
      <c r="N725" t="inlineStr">
        <is>
          <t>纳入A/D/Dh；若有Pair_ID则纳入CWR</t>
        </is>
      </c>
      <c r="O725" t="inlineStr">
        <is>
          <t>自动管线检出的合格导管腔。</t>
        </is>
      </c>
      <c r="P725" t="inlineStr">
        <is>
          <t>auto_pipeline;review_png_green</t>
        </is>
      </c>
      <c r="R725" t="inlineStr">
        <is>
          <t>样品60</t>
        </is>
      </c>
    </row>
    <row r="726">
      <c r="A726" t="inlineStr">
        <is>
          <t>60(3)-V01</t>
        </is>
      </c>
      <c r="B726" t="inlineStr">
        <is>
          <t>60 (3).tif</t>
        </is>
      </c>
      <c r="C726" t="n">
        <v>444</v>
      </c>
      <c r="D726" t="n">
        <v>338</v>
      </c>
      <c r="E726" t="inlineStr">
        <is>
          <t>356,258,533,419</t>
        </is>
      </c>
      <c r="F726" t="n">
        <v>258</v>
      </c>
      <c r="G726" t="inlineStr">
        <is>
          <t>primary</t>
        </is>
      </c>
      <c r="H726" t="inlineStr">
        <is>
          <t>AUTO_VESSEL</t>
        </is>
      </c>
      <c r="I726" t="inlineStr">
        <is>
          <t>是</t>
        </is>
      </c>
      <c r="J726" t="inlineStr">
        <is>
          <t>纳入</t>
        </is>
      </c>
      <c r="K726" t="n">
        <v>923.2277882797731</v>
      </c>
      <c r="L726">
        <f>导管母表_860!G726</f>
        <v/>
      </c>
      <c r="M726" t="inlineStr">
        <is>
          <t>视野内部</t>
        </is>
      </c>
      <c r="N726" t="inlineStr">
        <is>
          <t>纳入A/D/Dh；若有Pair_ID则纳入CWR</t>
        </is>
      </c>
      <c r="O726" t="inlineStr">
        <is>
          <t>自动管线检出的合格导管腔。</t>
        </is>
      </c>
      <c r="P726" t="inlineStr">
        <is>
          <t>auto_pipeline;review_png_green</t>
        </is>
      </c>
      <c r="Q726" t="inlineStr">
        <is>
          <t>60(3)-P01</t>
        </is>
      </c>
      <c r="R726" t="inlineStr">
        <is>
          <t>样品60</t>
        </is>
      </c>
    </row>
    <row r="727">
      <c r="A727" t="inlineStr">
        <is>
          <t>60(3)-V02</t>
        </is>
      </c>
      <c r="B727" t="inlineStr">
        <is>
          <t>60 (3).tif</t>
        </is>
      </c>
      <c r="C727" t="n">
        <v>657</v>
      </c>
      <c r="D727" t="n">
        <v>535</v>
      </c>
      <c r="E727" t="inlineStr">
        <is>
          <t>577,474,738,597</t>
        </is>
      </c>
      <c r="F727" t="n">
        <v>171</v>
      </c>
      <c r="G727" t="inlineStr">
        <is>
          <t>primary</t>
        </is>
      </c>
      <c r="H727" t="inlineStr">
        <is>
          <t>AUTO_VESSEL</t>
        </is>
      </c>
      <c r="I727" t="inlineStr">
        <is>
          <t>是</t>
        </is>
      </c>
      <c r="J727" t="inlineStr">
        <is>
          <t>纳入</t>
        </is>
      </c>
      <c r="K727" t="n">
        <v>724.952741020794</v>
      </c>
      <c r="L727">
        <f>导管母表_860!G727</f>
        <v/>
      </c>
      <c r="M727" t="inlineStr">
        <is>
          <t>视野内部</t>
        </is>
      </c>
      <c r="N727" t="inlineStr">
        <is>
          <t>纳入A/D/Dh；若有Pair_ID则纳入CWR</t>
        </is>
      </c>
      <c r="O727" t="inlineStr">
        <is>
          <t>自动管线检出的合格导管腔。</t>
        </is>
      </c>
      <c r="P727" t="inlineStr">
        <is>
          <t>auto_pipeline;review_png_green</t>
        </is>
      </c>
      <c r="R727" t="inlineStr">
        <is>
          <t>样品60</t>
        </is>
      </c>
    </row>
    <row r="728">
      <c r="A728" t="inlineStr">
        <is>
          <t>60(3)-V03</t>
        </is>
      </c>
      <c r="B728" t="inlineStr">
        <is>
          <t>60 (3).tif</t>
        </is>
      </c>
      <c r="C728" t="n">
        <v>570</v>
      </c>
      <c r="D728" t="n">
        <v>341</v>
      </c>
      <c r="E728" t="inlineStr">
        <is>
          <t>508,278,633,405</t>
        </is>
      </c>
      <c r="F728" t="n">
        <v>278</v>
      </c>
      <c r="G728" t="inlineStr">
        <is>
          <t>primary</t>
        </is>
      </c>
      <c r="H728" t="inlineStr">
        <is>
          <t>AUTO_VESSEL</t>
        </is>
      </c>
      <c r="I728" t="inlineStr">
        <is>
          <t>是</t>
        </is>
      </c>
      <c r="J728" t="inlineStr">
        <is>
          <t>纳入</t>
        </is>
      </c>
      <c r="K728" t="n">
        <v>578.9224952741021</v>
      </c>
      <c r="L728">
        <f>导管母表_860!G728</f>
        <v/>
      </c>
      <c r="M728" t="inlineStr">
        <is>
          <t>视野内部</t>
        </is>
      </c>
      <c r="N728" t="inlineStr">
        <is>
          <t>纳入A/D/Dh；若有Pair_ID则纳入CWR</t>
        </is>
      </c>
      <c r="O728" t="inlineStr">
        <is>
          <t>自动管线检出的合格导管腔。</t>
        </is>
      </c>
      <c r="P728" t="inlineStr">
        <is>
          <t>auto_pipeline;review_png_green</t>
        </is>
      </c>
      <c r="Q728" t="inlineStr">
        <is>
          <t>60(3)-P01</t>
        </is>
      </c>
      <c r="R728" t="inlineStr">
        <is>
          <t>样品60</t>
        </is>
      </c>
    </row>
    <row r="729">
      <c r="A729" t="inlineStr">
        <is>
          <t>60(4)-V01</t>
        </is>
      </c>
      <c r="B729" t="inlineStr">
        <is>
          <t>60 (4).tif</t>
        </is>
      </c>
      <c r="C729" t="n">
        <v>139</v>
      </c>
      <c r="D729" t="n">
        <v>526</v>
      </c>
      <c r="E729" t="inlineStr">
        <is>
          <t>61,442,218,611</t>
        </is>
      </c>
      <c r="F729" t="n">
        <v>61</v>
      </c>
      <c r="G729" t="inlineStr">
        <is>
          <t>primary</t>
        </is>
      </c>
      <c r="H729" t="inlineStr">
        <is>
          <t>AUTO_VESSEL</t>
        </is>
      </c>
      <c r="I729" t="inlineStr">
        <is>
          <t>是</t>
        </is>
      </c>
      <c r="J729" t="inlineStr">
        <is>
          <t>纳入</t>
        </is>
      </c>
      <c r="K729" t="n">
        <v>968.9508506616257</v>
      </c>
      <c r="L729">
        <f>导管母表_860!G729</f>
        <v/>
      </c>
      <c r="M729" t="inlineStr">
        <is>
          <t>视野内部</t>
        </is>
      </c>
      <c r="N729" t="inlineStr">
        <is>
          <t>纳入A/D/Dh；若有Pair_ID则纳入CWR</t>
        </is>
      </c>
      <c r="O729" t="inlineStr">
        <is>
          <t>自动管线检出的合格导管腔。</t>
        </is>
      </c>
      <c r="P729" t="inlineStr">
        <is>
          <t>auto_pipeline;review_png_green</t>
        </is>
      </c>
      <c r="R729" t="inlineStr">
        <is>
          <t>样品60</t>
        </is>
      </c>
    </row>
    <row r="730">
      <c r="A730" t="inlineStr">
        <is>
          <t>60(4)-V02</t>
        </is>
      </c>
      <c r="B730" t="inlineStr">
        <is>
          <t>60 (4).tif</t>
        </is>
      </c>
      <c r="C730" t="n">
        <v>407</v>
      </c>
      <c r="D730" t="n">
        <v>304</v>
      </c>
      <c r="E730" t="inlineStr">
        <is>
          <t>329,226,486,383</t>
        </is>
      </c>
      <c r="F730" t="n">
        <v>226</v>
      </c>
      <c r="G730" t="inlineStr">
        <is>
          <t>primary</t>
        </is>
      </c>
      <c r="H730" t="inlineStr">
        <is>
          <t>AUTO_VESSEL</t>
        </is>
      </c>
      <c r="I730" t="inlineStr">
        <is>
          <t>是</t>
        </is>
      </c>
      <c r="J730" t="inlineStr">
        <is>
          <t>纳入</t>
        </is>
      </c>
      <c r="K730" t="n">
        <v>902.81190926276</v>
      </c>
      <c r="L730">
        <f>导管母表_860!G730</f>
        <v/>
      </c>
      <c r="M730" t="inlineStr">
        <is>
          <t>视野内部</t>
        </is>
      </c>
      <c r="N730" t="inlineStr">
        <is>
          <t>纳入A/D/Dh；若有Pair_ID则纳入CWR</t>
        </is>
      </c>
      <c r="O730" t="inlineStr">
        <is>
          <t>自动管线检出的合格导管腔。</t>
        </is>
      </c>
      <c r="P730" t="inlineStr">
        <is>
          <t>auto_pipeline;review_png_green</t>
        </is>
      </c>
      <c r="Q730" t="inlineStr">
        <is>
          <t>60(4)-P01</t>
        </is>
      </c>
      <c r="R730" t="inlineStr">
        <is>
          <t>样品60</t>
        </is>
      </c>
    </row>
    <row r="731">
      <c r="A731" t="inlineStr">
        <is>
          <t>60(4)-V03</t>
        </is>
      </c>
      <c r="B731" t="inlineStr">
        <is>
          <t>60 (4).tif</t>
        </is>
      </c>
      <c r="C731" t="n">
        <v>565</v>
      </c>
      <c r="D731" t="n">
        <v>364</v>
      </c>
      <c r="E731" t="inlineStr">
        <is>
          <t>496,293,635,436</t>
        </is>
      </c>
      <c r="F731" t="n">
        <v>293</v>
      </c>
      <c r="G731" t="inlineStr">
        <is>
          <t>primary</t>
        </is>
      </c>
      <c r="H731" t="inlineStr">
        <is>
          <t>AUTO_VESSEL</t>
        </is>
      </c>
      <c r="I731" t="inlineStr">
        <is>
          <t>是</t>
        </is>
      </c>
      <c r="J731" t="inlineStr">
        <is>
          <t>纳入</t>
        </is>
      </c>
      <c r="K731" t="n">
        <v>725.6616257088847</v>
      </c>
      <c r="L731">
        <f>导管母表_860!G731</f>
        <v/>
      </c>
      <c r="M731" t="inlineStr">
        <is>
          <t>视野内部</t>
        </is>
      </c>
      <c r="N731" t="inlineStr">
        <is>
          <t>纳入A/D/Dh；若有Pair_ID则纳入CWR</t>
        </is>
      </c>
      <c r="O731" t="inlineStr">
        <is>
          <t>自动管线检出的合格导管腔。</t>
        </is>
      </c>
      <c r="P731" t="inlineStr">
        <is>
          <t>auto_pipeline;review_png_green</t>
        </is>
      </c>
      <c r="Q731" t="inlineStr">
        <is>
          <t>60(4)-P01</t>
        </is>
      </c>
      <c r="R731" t="inlineStr">
        <is>
          <t>样品60</t>
        </is>
      </c>
    </row>
    <row r="732">
      <c r="A732" t="inlineStr">
        <is>
          <t>60(4)-V04</t>
        </is>
      </c>
      <c r="B732" t="inlineStr">
        <is>
          <t>60 (4).tif</t>
        </is>
      </c>
      <c r="C732" t="n">
        <v>313</v>
      </c>
      <c r="D732" t="n">
        <v>600</v>
      </c>
      <c r="E732" t="inlineStr">
        <is>
          <t>259,553,368,648</t>
        </is>
      </c>
      <c r="F732" t="n">
        <v>120</v>
      </c>
      <c r="G732" t="inlineStr">
        <is>
          <t>primary</t>
        </is>
      </c>
      <c r="H732" t="inlineStr">
        <is>
          <t>AUTO_VESSEL</t>
        </is>
      </c>
      <c r="I732" t="inlineStr">
        <is>
          <t>是</t>
        </is>
      </c>
      <c r="J732" t="inlineStr">
        <is>
          <t>纳入</t>
        </is>
      </c>
      <c r="K732" t="n">
        <v>372.7315689981097</v>
      </c>
      <c r="L732">
        <f>导管母表_860!G732</f>
        <v/>
      </c>
      <c r="M732" t="inlineStr">
        <is>
          <t>视野内部</t>
        </is>
      </c>
      <c r="N732" t="inlineStr">
        <is>
          <t>纳入A/D/Dh；若有Pair_ID则纳入CWR</t>
        </is>
      </c>
      <c r="O732" t="inlineStr">
        <is>
          <t>自动管线检出的合格导管腔。</t>
        </is>
      </c>
      <c r="P732" t="inlineStr">
        <is>
          <t>auto_pipeline;review_png_green</t>
        </is>
      </c>
      <c r="R732" t="inlineStr">
        <is>
          <t>样品60</t>
        </is>
      </c>
    </row>
    <row r="733">
      <c r="A733" t="inlineStr">
        <is>
          <t>60(4)-V05</t>
        </is>
      </c>
      <c r="B733" t="inlineStr">
        <is>
          <t>60 (4).tif</t>
        </is>
      </c>
      <c r="C733" t="n">
        <v>784</v>
      </c>
      <c r="D733" t="n">
        <v>438</v>
      </c>
      <c r="E733" t="inlineStr">
        <is>
          <t>743,406,826,471</t>
        </is>
      </c>
      <c r="F733" t="n">
        <v>198</v>
      </c>
      <c r="G733" t="inlineStr">
        <is>
          <t>primary</t>
        </is>
      </c>
      <c r="H733" t="inlineStr">
        <is>
          <t>AUTO_VESSEL</t>
        </is>
      </c>
      <c r="I733" t="inlineStr">
        <is>
          <t>是</t>
        </is>
      </c>
      <c r="J733" t="inlineStr">
        <is>
          <t>纳入</t>
        </is>
      </c>
      <c r="K733" t="n">
        <v>193.3601134215501</v>
      </c>
      <c r="L733">
        <f>导管母表_860!G733</f>
        <v/>
      </c>
      <c r="M733" t="inlineStr">
        <is>
          <t>视野内部</t>
        </is>
      </c>
      <c r="N733" t="inlineStr">
        <is>
          <t>纳入A/D/Dh；若有Pair_ID则纳入CWR</t>
        </is>
      </c>
      <c r="O733" t="inlineStr">
        <is>
          <t>自动管线检出的合格导管腔。</t>
        </is>
      </c>
      <c r="P733" t="inlineStr">
        <is>
          <t>auto_pipeline;review_png_green</t>
        </is>
      </c>
      <c r="R733" t="inlineStr">
        <is>
          <t>样品60</t>
        </is>
      </c>
    </row>
    <row r="734">
      <c r="A734" t="inlineStr">
        <is>
          <t>60(5)-V01</t>
        </is>
      </c>
      <c r="B734" t="inlineStr">
        <is>
          <t>60 (5).tif</t>
        </is>
      </c>
      <c r="C734" t="n">
        <v>416</v>
      </c>
      <c r="D734" t="n">
        <v>369</v>
      </c>
      <c r="E734" t="inlineStr">
        <is>
          <t>338,292,495,447</t>
        </is>
      </c>
      <c r="F734" t="n">
        <v>292</v>
      </c>
      <c r="G734" t="inlineStr">
        <is>
          <t>primary</t>
        </is>
      </c>
      <c r="H734" t="inlineStr">
        <is>
          <t>AUTO_VESSEL</t>
        </is>
      </c>
      <c r="I734" t="inlineStr">
        <is>
          <t>是</t>
        </is>
      </c>
      <c r="J734" t="inlineStr">
        <is>
          <t>纳入</t>
        </is>
      </c>
      <c r="K734" t="n">
        <v>876.7958412098299</v>
      </c>
      <c r="L734">
        <f>导管母表_860!G734</f>
        <v/>
      </c>
      <c r="M734" t="inlineStr">
        <is>
          <t>视野内部</t>
        </is>
      </c>
      <c r="N734" t="inlineStr">
        <is>
          <t>纳入A/D/Dh；若有Pair_ID则纳入CWR</t>
        </is>
      </c>
      <c r="O734" t="inlineStr">
        <is>
          <t>自动管线检出的合格导管腔。</t>
        </is>
      </c>
      <c r="P734" t="inlineStr">
        <is>
          <t>auto_pipeline;review_png_green</t>
        </is>
      </c>
      <c r="Q734" t="inlineStr">
        <is>
          <t>60(5)-P01</t>
        </is>
      </c>
      <c r="R734" t="inlineStr">
        <is>
          <t>样品60</t>
        </is>
      </c>
    </row>
    <row r="735">
      <c r="A735" t="inlineStr">
        <is>
          <t>60(5)-V02</t>
        </is>
      </c>
      <c r="B735" t="inlineStr">
        <is>
          <t>60 (5).tif</t>
        </is>
      </c>
      <c r="C735" t="n">
        <v>562</v>
      </c>
      <c r="D735" t="n">
        <v>431</v>
      </c>
      <c r="E735" t="inlineStr">
        <is>
          <t>499,367,626,496</t>
        </is>
      </c>
      <c r="F735" t="n">
        <v>272</v>
      </c>
      <c r="G735" t="inlineStr">
        <is>
          <t>primary</t>
        </is>
      </c>
      <c r="H735" t="inlineStr">
        <is>
          <t>AUTO_VESSEL</t>
        </is>
      </c>
      <c r="I735" t="inlineStr">
        <is>
          <t>是</t>
        </is>
      </c>
      <c r="J735" t="inlineStr">
        <is>
          <t>纳入</t>
        </is>
      </c>
      <c r="K735" t="n">
        <v>597.7788279773157</v>
      </c>
      <c r="L735">
        <f>导管母表_860!G735</f>
        <v/>
      </c>
      <c r="M735" t="inlineStr">
        <is>
          <t>视野内部</t>
        </is>
      </c>
      <c r="N735" t="inlineStr">
        <is>
          <t>纳入A/D/Dh；若有Pair_ID则纳入CWR</t>
        </is>
      </c>
      <c r="O735" t="inlineStr">
        <is>
          <t>自动管线检出的合格导管腔。</t>
        </is>
      </c>
      <c r="P735" t="inlineStr">
        <is>
          <t>auto_pipeline;review_png_green</t>
        </is>
      </c>
      <c r="Q735" t="inlineStr">
        <is>
          <t>60(5)-P01</t>
        </is>
      </c>
      <c r="R735" t="inlineStr">
        <is>
          <t>样品60</t>
        </is>
      </c>
    </row>
    <row r="736">
      <c r="A736" t="inlineStr">
        <is>
          <t>60(6)-V01</t>
        </is>
      </c>
      <c r="B736" t="inlineStr">
        <is>
          <t>60 (6).tif</t>
        </is>
      </c>
      <c r="C736" t="n">
        <v>521</v>
      </c>
      <c r="D736" t="n">
        <v>475</v>
      </c>
      <c r="E736" t="inlineStr">
        <is>
          <t>437,386,606,565</t>
        </is>
      </c>
      <c r="F736" t="n">
        <v>203</v>
      </c>
      <c r="G736" t="inlineStr">
        <is>
          <t>primary</t>
        </is>
      </c>
      <c r="H736" t="inlineStr">
        <is>
          <t>AUTO_VESSEL</t>
        </is>
      </c>
      <c r="I736" t="inlineStr">
        <is>
          <t>是</t>
        </is>
      </c>
      <c r="J736" t="inlineStr">
        <is>
          <t>纳入</t>
        </is>
      </c>
      <c r="K736" t="n">
        <v>1104.017013232514</v>
      </c>
      <c r="L736">
        <f>导管母表_860!G736</f>
        <v/>
      </c>
      <c r="M736" t="inlineStr">
        <is>
          <t>视野内部</t>
        </is>
      </c>
      <c r="N736" t="inlineStr">
        <is>
          <t>纳入A/D/Dh；若有Pair_ID则纳入CWR</t>
        </is>
      </c>
      <c r="O736" t="inlineStr">
        <is>
          <t>自动管线检出的合格导管腔。</t>
        </is>
      </c>
      <c r="P736" t="inlineStr">
        <is>
          <t>auto_pipeline;review_png_green</t>
        </is>
      </c>
      <c r="Q736" t="inlineStr">
        <is>
          <t>60(6)-P01</t>
        </is>
      </c>
      <c r="R736" t="inlineStr">
        <is>
          <t>样品60</t>
        </is>
      </c>
    </row>
    <row r="737">
      <c r="A737" t="inlineStr">
        <is>
          <t>60(6)-V02</t>
        </is>
      </c>
      <c r="B737" t="inlineStr">
        <is>
          <t>60 (6).tif</t>
        </is>
      </c>
      <c r="C737" t="n">
        <v>192</v>
      </c>
      <c r="D737" t="n">
        <v>275</v>
      </c>
      <c r="E737" t="inlineStr">
        <is>
          <t>120,187,265,364</t>
        </is>
      </c>
      <c r="F737" t="n">
        <v>120</v>
      </c>
      <c r="G737" t="inlineStr">
        <is>
          <t>primary</t>
        </is>
      </c>
      <c r="H737" t="inlineStr">
        <is>
          <t>AUTO_VESSEL</t>
        </is>
      </c>
      <c r="I737" t="inlineStr">
        <is>
          <t>是</t>
        </is>
      </c>
      <c r="J737" t="inlineStr">
        <is>
          <t>纳入</t>
        </is>
      </c>
      <c r="K737" t="n">
        <v>937.6417769376181</v>
      </c>
      <c r="L737">
        <f>导管母表_860!G737</f>
        <v/>
      </c>
      <c r="M737" t="inlineStr">
        <is>
          <t>视野内部</t>
        </is>
      </c>
      <c r="N737" t="inlineStr">
        <is>
          <t>纳入A/D/Dh；若有Pair_ID则纳入CWR</t>
        </is>
      </c>
      <c r="O737" t="inlineStr">
        <is>
          <t>自动管线检出的合格导管腔。</t>
        </is>
      </c>
      <c r="P737" t="inlineStr">
        <is>
          <t>auto_pipeline;review_png_green</t>
        </is>
      </c>
      <c r="R737" t="inlineStr">
        <is>
          <t>样品60</t>
        </is>
      </c>
    </row>
    <row r="738">
      <c r="A738" t="inlineStr">
        <is>
          <t>60(6)-V03</t>
        </is>
      </c>
      <c r="B738" t="inlineStr">
        <is>
          <t>60 (6).tif</t>
        </is>
      </c>
      <c r="C738" t="n">
        <v>530</v>
      </c>
      <c r="D738" t="n">
        <v>292</v>
      </c>
      <c r="E738" t="inlineStr">
        <is>
          <t>453,214,608,371</t>
        </is>
      </c>
      <c r="F738" t="n">
        <v>214</v>
      </c>
      <c r="G738" t="inlineStr">
        <is>
          <t>primary</t>
        </is>
      </c>
      <c r="H738" t="inlineStr">
        <is>
          <t>AUTO_VESSEL</t>
        </is>
      </c>
      <c r="I738" t="inlineStr">
        <is>
          <t>是</t>
        </is>
      </c>
      <c r="J738" t="inlineStr">
        <is>
          <t>纳入</t>
        </is>
      </c>
      <c r="K738" t="n">
        <v>890.6190926275992</v>
      </c>
      <c r="L738">
        <f>导管母表_860!G738</f>
        <v/>
      </c>
      <c r="M738" t="inlineStr">
        <is>
          <t>视野内部</t>
        </is>
      </c>
      <c r="N738" t="inlineStr">
        <is>
          <t>纳入A/D/Dh；若有Pair_ID则纳入CWR</t>
        </is>
      </c>
      <c r="O738" t="inlineStr">
        <is>
          <t>自动管线检出的合格导管腔。</t>
        </is>
      </c>
      <c r="P738" t="inlineStr">
        <is>
          <t>auto_pipeline;review_png_green</t>
        </is>
      </c>
      <c r="Q738" t="inlineStr">
        <is>
          <t>60(6)-P01</t>
        </is>
      </c>
      <c r="R738" t="inlineStr">
        <is>
          <t>样品60</t>
        </is>
      </c>
    </row>
    <row r="739">
      <c r="A739" t="inlineStr">
        <is>
          <t>60(6)-V04</t>
        </is>
      </c>
      <c r="B739" t="inlineStr">
        <is>
          <t>60 (6).tif</t>
        </is>
      </c>
      <c r="C739" t="n">
        <v>246</v>
      </c>
      <c r="D739" t="n">
        <v>70</v>
      </c>
      <c r="E739" t="inlineStr">
        <is>
          <t>168,0,325,141</t>
        </is>
      </c>
      <c r="F739" t="n">
        <v>0</v>
      </c>
      <c r="G739" t="inlineStr">
        <is>
          <t>primary</t>
        </is>
      </c>
      <c r="H739" t="inlineStr">
        <is>
          <t>AUTO_VESSEL</t>
        </is>
      </c>
      <c r="I739" t="inlineStr">
        <is>
          <t>是</t>
        </is>
      </c>
      <c r="J739" t="inlineStr">
        <is>
          <t>纳入</t>
        </is>
      </c>
      <c r="K739" t="n">
        <v>810.9168241965973</v>
      </c>
      <c r="L739">
        <f>导管母表_860!G739</f>
        <v/>
      </c>
      <c r="M739" t="inlineStr">
        <is>
          <t>近边缘（&lt;25 px）</t>
        </is>
      </c>
      <c r="N739" t="inlineStr">
        <is>
          <t>纳入A/D/Dh；若有Pair_ID则纳入CWR</t>
        </is>
      </c>
      <c r="O739" t="inlineStr">
        <is>
          <t>自动管线检出的合格导管腔。</t>
        </is>
      </c>
      <c r="P739" t="inlineStr">
        <is>
          <t>auto_pipeline;review_png_green</t>
        </is>
      </c>
      <c r="R739" t="inlineStr">
        <is>
          <t>样品60</t>
        </is>
      </c>
    </row>
    <row r="740">
      <c r="A740" t="inlineStr">
        <is>
          <t>60(6)-V05</t>
        </is>
      </c>
      <c r="B740" t="inlineStr">
        <is>
          <t>60 (6).tif</t>
        </is>
      </c>
      <c r="C740" t="n">
        <v>924</v>
      </c>
      <c r="D740" t="n">
        <v>499</v>
      </c>
      <c r="E740" t="inlineStr">
        <is>
          <t>873,434,976,565</t>
        </is>
      </c>
      <c r="F740" t="n">
        <v>48</v>
      </c>
      <c r="G740" t="inlineStr">
        <is>
          <t>primary</t>
        </is>
      </c>
      <c r="H740" t="inlineStr">
        <is>
          <t>AUTO_VESSEL</t>
        </is>
      </c>
      <c r="I740" t="inlineStr">
        <is>
          <t>是</t>
        </is>
      </c>
      <c r="J740" t="inlineStr">
        <is>
          <t>纳入</t>
        </is>
      </c>
      <c r="K740" t="n">
        <v>492.4858223062382</v>
      </c>
      <c r="L740">
        <f>导管母表_860!G740</f>
        <v/>
      </c>
      <c r="M740" t="inlineStr">
        <is>
          <t>视野内部</t>
        </is>
      </c>
      <c r="N740" t="inlineStr">
        <is>
          <t>纳入A/D/Dh；若有Pair_ID则纳入CWR</t>
        </is>
      </c>
      <c r="O740" t="inlineStr">
        <is>
          <t>自动管线检出的合格导管腔。</t>
        </is>
      </c>
      <c r="P740" t="inlineStr">
        <is>
          <t>auto_pipeline;review_png_green</t>
        </is>
      </c>
      <c r="R740" t="inlineStr">
        <is>
          <t>样品60</t>
        </is>
      </c>
    </row>
    <row r="741">
      <c r="A741" t="inlineStr">
        <is>
          <t>60(6)-V06</t>
        </is>
      </c>
      <c r="B741" t="inlineStr">
        <is>
          <t>60 (6).tif</t>
        </is>
      </c>
      <c r="C741" t="n">
        <v>626</v>
      </c>
      <c r="D741" t="n">
        <v>513</v>
      </c>
      <c r="E741" t="inlineStr">
        <is>
          <t>606,462,647,565</t>
        </is>
      </c>
      <c r="F741" t="n">
        <v>203</v>
      </c>
      <c r="G741" t="inlineStr">
        <is>
          <t>primary</t>
        </is>
      </c>
      <c r="H741" t="inlineStr">
        <is>
          <t>AUTO_VESSEL</t>
        </is>
      </c>
      <c r="I741" t="inlineStr">
        <is>
          <t>是</t>
        </is>
      </c>
      <c r="J741" t="inlineStr">
        <is>
          <t>纳入</t>
        </is>
      </c>
      <c r="K741" t="n">
        <v>123.8185255198488</v>
      </c>
      <c r="L741">
        <f>导管母表_860!G741</f>
        <v/>
      </c>
      <c r="M741" t="inlineStr">
        <is>
          <t>视野内部</t>
        </is>
      </c>
      <c r="N741" t="inlineStr">
        <is>
          <t>纳入A/D/Dh；若有Pair_ID则纳入CWR</t>
        </is>
      </c>
      <c r="O741" t="inlineStr">
        <is>
          <t>自动管线检出的合格导管腔。</t>
        </is>
      </c>
      <c r="P741" t="inlineStr">
        <is>
          <t>auto_pipeline;review_png_green</t>
        </is>
      </c>
      <c r="R741" t="inlineStr">
        <is>
          <t>样品60</t>
        </is>
      </c>
    </row>
    <row r="742">
      <c r="A742" t="inlineStr">
        <is>
          <t>60(7)-V01</t>
        </is>
      </c>
      <c r="B742" t="inlineStr">
        <is>
          <t>60 (7).tif</t>
        </is>
      </c>
      <c r="C742" t="n">
        <v>530</v>
      </c>
      <c r="D742" t="n">
        <v>378</v>
      </c>
      <c r="E742" t="inlineStr">
        <is>
          <t>407,311,654,446</t>
        </is>
      </c>
      <c r="F742" t="n">
        <v>311</v>
      </c>
      <c r="G742" t="inlineStr">
        <is>
          <t>primary</t>
        </is>
      </c>
      <c r="H742" t="inlineStr">
        <is>
          <t>AUTO_VESSEL</t>
        </is>
      </c>
      <c r="I742" t="inlineStr">
        <is>
          <t>是</t>
        </is>
      </c>
      <c r="J742" t="inlineStr">
        <is>
          <t>纳入</t>
        </is>
      </c>
      <c r="K742" t="n">
        <v>1083.270321361059</v>
      </c>
      <c r="L742">
        <f>导管母表_860!G742</f>
        <v/>
      </c>
      <c r="M742" t="inlineStr">
        <is>
          <t>视野内部</t>
        </is>
      </c>
      <c r="N742" t="inlineStr">
        <is>
          <t>纳入A/D/Dh；若有Pair_ID则纳入CWR</t>
        </is>
      </c>
      <c r="O742" t="inlineStr">
        <is>
          <t>自动管线检出的合格导管腔。</t>
        </is>
      </c>
      <c r="P742" t="inlineStr">
        <is>
          <t>auto_pipeline;review_png_green</t>
        </is>
      </c>
      <c r="R742" t="inlineStr">
        <is>
          <t>样品60</t>
        </is>
      </c>
    </row>
    <row r="743">
      <c r="A743" t="inlineStr">
        <is>
          <t>60(7)-V02</t>
        </is>
      </c>
      <c r="B743" t="inlineStr">
        <is>
          <t>60 (7).tif</t>
        </is>
      </c>
      <c r="C743" t="n">
        <v>73</v>
      </c>
      <c r="D743" t="n">
        <v>381</v>
      </c>
      <c r="E743" t="inlineStr">
        <is>
          <t>12,317,135,446</t>
        </is>
      </c>
      <c r="F743" t="n">
        <v>12</v>
      </c>
      <c r="G743" t="inlineStr">
        <is>
          <t>primary</t>
        </is>
      </c>
      <c r="H743" t="inlineStr">
        <is>
          <t>AUTO_VESSEL</t>
        </is>
      </c>
      <c r="I743" t="inlineStr">
        <is>
          <t>是</t>
        </is>
      </c>
      <c r="J743" t="inlineStr">
        <is>
          <t>纳入</t>
        </is>
      </c>
      <c r="K743" t="n">
        <v>578.6862003780718</v>
      </c>
      <c r="L743">
        <f>导管母表_860!G743</f>
        <v/>
      </c>
      <c r="M743" t="inlineStr">
        <is>
          <t>近边缘（&lt;25 px）</t>
        </is>
      </c>
      <c r="N743" t="inlineStr">
        <is>
          <t>纳入A/D/Dh；若有Pair_ID则纳入CWR</t>
        </is>
      </c>
      <c r="O743" t="inlineStr">
        <is>
          <t>自动管线检出的合格导管腔。</t>
        </is>
      </c>
      <c r="P743" t="inlineStr">
        <is>
          <t>auto_pipeline;review_png_green</t>
        </is>
      </c>
      <c r="R743" t="inlineStr">
        <is>
          <t>样品60</t>
        </is>
      </c>
    </row>
    <row r="744">
      <c r="A744" t="inlineStr">
        <is>
          <t>60(7)-V03</t>
        </is>
      </c>
      <c r="B744" t="inlineStr">
        <is>
          <t>60 (7).tif</t>
        </is>
      </c>
      <c r="C744" t="n">
        <v>658</v>
      </c>
      <c r="D744" t="n">
        <v>117</v>
      </c>
      <c r="E744" t="inlineStr">
        <is>
          <t>593,71,724,164</t>
        </is>
      </c>
      <c r="F744" t="n">
        <v>71</v>
      </c>
      <c r="G744" t="inlineStr">
        <is>
          <t>primary</t>
        </is>
      </c>
      <c r="H744" t="inlineStr">
        <is>
          <t>AUTO_VESSEL</t>
        </is>
      </c>
      <c r="I744" t="inlineStr">
        <is>
          <t>是</t>
        </is>
      </c>
      <c r="J744" t="inlineStr">
        <is>
          <t>纳入</t>
        </is>
      </c>
      <c r="K744" t="n">
        <v>427.5519848771266</v>
      </c>
      <c r="L744">
        <f>导管母表_860!G744</f>
        <v/>
      </c>
      <c r="M744" t="inlineStr">
        <is>
          <t>视野内部</t>
        </is>
      </c>
      <c r="N744" t="inlineStr">
        <is>
          <t>纳入A/D/Dh；若有Pair_ID则纳入CWR</t>
        </is>
      </c>
      <c r="O744" t="inlineStr">
        <is>
          <t>自动管线检出的合格导管腔。</t>
        </is>
      </c>
      <c r="P744" t="inlineStr">
        <is>
          <t>auto_pipeline;review_png_green</t>
        </is>
      </c>
      <c r="R744" t="inlineStr">
        <is>
          <t>样品60</t>
        </is>
      </c>
    </row>
    <row r="745">
      <c r="A745" t="inlineStr">
        <is>
          <t>60(7)-V04</t>
        </is>
      </c>
      <c r="B745" t="inlineStr">
        <is>
          <t>60 (7).tif</t>
        </is>
      </c>
      <c r="C745" t="n">
        <v>283</v>
      </c>
      <c r="D745" t="n">
        <v>328</v>
      </c>
      <c r="E745" t="inlineStr">
        <is>
          <t>233,283,334,374</t>
        </is>
      </c>
      <c r="F745" t="n">
        <v>233</v>
      </c>
      <c r="G745" t="inlineStr">
        <is>
          <t>primary</t>
        </is>
      </c>
      <c r="H745" t="inlineStr">
        <is>
          <t>AUTO_VESSEL</t>
        </is>
      </c>
      <c r="I745" t="inlineStr">
        <is>
          <t>是</t>
        </is>
      </c>
      <c r="J745" t="inlineStr">
        <is>
          <t>纳入</t>
        </is>
      </c>
      <c r="K745" t="n">
        <v>333.1758034026465</v>
      </c>
      <c r="L745">
        <f>导管母表_860!G745</f>
        <v/>
      </c>
      <c r="M745" t="inlineStr">
        <is>
          <t>视野内部</t>
        </is>
      </c>
      <c r="N745" t="inlineStr">
        <is>
          <t>纳入A/D/Dh；若有Pair_ID则纳入CWR</t>
        </is>
      </c>
      <c r="O745" t="inlineStr">
        <is>
          <t>自动管线检出的合格导管腔。</t>
        </is>
      </c>
      <c r="P745" t="inlineStr">
        <is>
          <t>auto_pipeline;review_png_green</t>
        </is>
      </c>
      <c r="R745" t="inlineStr">
        <is>
          <t>样品60</t>
        </is>
      </c>
    </row>
    <row r="746">
      <c r="A746" t="inlineStr">
        <is>
          <t>60(7)-V05</t>
        </is>
      </c>
      <c r="B746" t="inlineStr">
        <is>
          <t>60 (7).tif</t>
        </is>
      </c>
      <c r="C746" t="n">
        <v>879</v>
      </c>
      <c r="D746" t="n">
        <v>547</v>
      </c>
      <c r="E746" t="inlineStr">
        <is>
          <t>831,503,928,592</t>
        </is>
      </c>
      <c r="F746" t="n">
        <v>96</v>
      </c>
      <c r="G746" t="inlineStr">
        <is>
          <t>primary</t>
        </is>
      </c>
      <c r="H746" t="inlineStr">
        <is>
          <t>AUTO_VESSEL</t>
        </is>
      </c>
      <c r="I746" t="inlineStr">
        <is>
          <t>是</t>
        </is>
      </c>
      <c r="J746" t="inlineStr">
        <is>
          <t>纳入</t>
        </is>
      </c>
      <c r="K746" t="n">
        <v>301.2759924385633</v>
      </c>
      <c r="L746">
        <f>导管母表_860!G746</f>
        <v/>
      </c>
      <c r="M746" t="inlineStr">
        <is>
          <t>视野内部</t>
        </is>
      </c>
      <c r="N746" t="inlineStr">
        <is>
          <t>纳入A/D/Dh；若有Pair_ID则纳入CWR</t>
        </is>
      </c>
      <c r="O746" t="inlineStr">
        <is>
          <t>自动管线检出的合格导管腔。</t>
        </is>
      </c>
      <c r="P746" t="inlineStr">
        <is>
          <t>auto_pipeline;review_png_green</t>
        </is>
      </c>
      <c r="R746" t="inlineStr">
        <is>
          <t>样品60</t>
        </is>
      </c>
    </row>
    <row r="747">
      <c r="A747" t="inlineStr">
        <is>
          <t>60(7)-V06</t>
        </is>
      </c>
      <c r="B747" t="inlineStr">
        <is>
          <t>60 (7).tif</t>
        </is>
      </c>
      <c r="C747" t="n">
        <v>960</v>
      </c>
      <c r="D747" t="n">
        <v>79</v>
      </c>
      <c r="E747" t="inlineStr">
        <is>
          <t>908,51,1013,108</t>
        </is>
      </c>
      <c r="F747" t="n">
        <v>11</v>
      </c>
      <c r="G747" t="inlineStr">
        <is>
          <t>primary</t>
        </is>
      </c>
      <c r="H747" t="inlineStr">
        <is>
          <t>AUTO_VESSEL</t>
        </is>
      </c>
      <c r="I747" t="inlineStr">
        <is>
          <t>是</t>
        </is>
      </c>
      <c r="J747" t="inlineStr">
        <is>
          <t>纳入</t>
        </is>
      </c>
      <c r="K747" t="n">
        <v>212.0982986767486</v>
      </c>
      <c r="L747">
        <f>导管母表_860!G747</f>
        <v/>
      </c>
      <c r="M747" t="inlineStr">
        <is>
          <t>近边缘（&lt;25 px）</t>
        </is>
      </c>
      <c r="N747" t="inlineStr">
        <is>
          <t>纳入A/D/Dh；若有Pair_ID则纳入CWR</t>
        </is>
      </c>
      <c r="O747" t="inlineStr">
        <is>
          <t>自动管线检出的合格导管腔。</t>
        </is>
      </c>
      <c r="P747" t="inlineStr">
        <is>
          <t>auto_pipeline;review_png_green</t>
        </is>
      </c>
      <c r="R747" t="inlineStr">
        <is>
          <t>样品60</t>
        </is>
      </c>
    </row>
    <row r="748">
      <c r="A748" t="inlineStr">
        <is>
          <t>60(7)-V07</t>
        </is>
      </c>
      <c r="B748" t="inlineStr">
        <is>
          <t>60 (7).tif</t>
        </is>
      </c>
      <c r="C748" t="n">
        <v>189</v>
      </c>
      <c r="D748" t="n">
        <v>267</v>
      </c>
      <c r="E748" t="inlineStr">
        <is>
          <t>142,235,237,300</t>
        </is>
      </c>
      <c r="F748" t="n">
        <v>142</v>
      </c>
      <c r="G748" t="inlineStr">
        <is>
          <t>primary</t>
        </is>
      </c>
      <c r="H748" t="inlineStr">
        <is>
          <t>AUTO_VESSEL</t>
        </is>
      </c>
      <c r="I748" t="inlineStr">
        <is>
          <t>是</t>
        </is>
      </c>
      <c r="J748" t="inlineStr">
        <is>
          <t>纳入</t>
        </is>
      </c>
      <c r="K748" t="n">
        <v>189.0595463137996</v>
      </c>
      <c r="L748">
        <f>导管母表_860!G748</f>
        <v/>
      </c>
      <c r="M748" t="inlineStr">
        <is>
          <t>视野内部</t>
        </is>
      </c>
      <c r="N748" t="inlineStr">
        <is>
          <t>纳入A/D/Dh；若有Pair_ID则纳入CWR</t>
        </is>
      </c>
      <c r="O748" t="inlineStr">
        <is>
          <t>自动管线检出的合格导管腔。</t>
        </is>
      </c>
      <c r="P748" t="inlineStr">
        <is>
          <t>auto_pipeline;review_png_green</t>
        </is>
      </c>
      <c r="R748" t="inlineStr">
        <is>
          <t>样品60</t>
        </is>
      </c>
    </row>
    <row r="749">
      <c r="A749" t="inlineStr">
        <is>
          <t>60(8)-V01</t>
        </is>
      </c>
      <c r="B749" t="inlineStr">
        <is>
          <t>60 (8).tif</t>
        </is>
      </c>
      <c r="C749" t="n">
        <v>436</v>
      </c>
      <c r="D749" t="n">
        <v>309</v>
      </c>
      <c r="E749" t="inlineStr">
        <is>
          <t>366,233,507,386</t>
        </is>
      </c>
      <c r="F749" t="n">
        <v>233</v>
      </c>
      <c r="G749" t="inlineStr">
        <is>
          <t>primary</t>
        </is>
      </c>
      <c r="H749" t="inlineStr">
        <is>
          <t>AUTO_VESSEL</t>
        </is>
      </c>
      <c r="I749" t="inlineStr">
        <is>
          <t>是</t>
        </is>
      </c>
      <c r="J749" t="inlineStr">
        <is>
          <t>纳入</t>
        </is>
      </c>
      <c r="K749" t="n">
        <v>789.9574669187145</v>
      </c>
      <c r="L749">
        <f>导管母表_860!G749</f>
        <v/>
      </c>
      <c r="M749" t="inlineStr">
        <is>
          <t>视野内部</t>
        </is>
      </c>
      <c r="N749" t="inlineStr">
        <is>
          <t>纳入A/D/Dh；若有Pair_ID则纳入CWR</t>
        </is>
      </c>
      <c r="O749" t="inlineStr">
        <is>
          <t>自动管线检出的合格导管腔。</t>
        </is>
      </c>
      <c r="P749" t="inlineStr">
        <is>
          <t>auto_pipeline;review_png_green</t>
        </is>
      </c>
      <c r="Q749" t="inlineStr">
        <is>
          <t>60(8)-P02</t>
        </is>
      </c>
      <c r="R749" t="inlineStr">
        <is>
          <t>样品60</t>
        </is>
      </c>
    </row>
    <row r="750">
      <c r="A750" t="inlineStr">
        <is>
          <t>60(8)-V02</t>
        </is>
      </c>
      <c r="B750" t="inlineStr">
        <is>
          <t>60 (8).tif</t>
        </is>
      </c>
      <c r="C750" t="n">
        <v>243</v>
      </c>
      <c r="D750" t="n">
        <v>305</v>
      </c>
      <c r="E750" t="inlineStr">
        <is>
          <t>173,237,314,374</t>
        </is>
      </c>
      <c r="F750" t="n">
        <v>173</v>
      </c>
      <c r="G750" t="inlineStr">
        <is>
          <t>primary</t>
        </is>
      </c>
      <c r="H750" t="inlineStr">
        <is>
          <t>AUTO_VESSEL</t>
        </is>
      </c>
      <c r="I750" t="inlineStr">
        <is>
          <t>是</t>
        </is>
      </c>
      <c r="J750" t="inlineStr">
        <is>
          <t>纳入</t>
        </is>
      </c>
      <c r="K750" t="n">
        <v>704.7258979206049</v>
      </c>
      <c r="L750">
        <f>导管母表_860!G750</f>
        <v/>
      </c>
      <c r="M750" t="inlineStr">
        <is>
          <t>视野内部</t>
        </is>
      </c>
      <c r="N750" t="inlineStr">
        <is>
          <t>纳入A/D/Dh；若有Pair_ID则纳入CWR</t>
        </is>
      </c>
      <c r="O750" t="inlineStr">
        <is>
          <t>自动管线检出的合格导管腔。</t>
        </is>
      </c>
      <c r="P750" t="inlineStr">
        <is>
          <t>auto_pipeline;review_png_green</t>
        </is>
      </c>
      <c r="Q750" t="inlineStr">
        <is>
          <t>60(8)-P01</t>
        </is>
      </c>
      <c r="R750" t="inlineStr">
        <is>
          <t>样品60</t>
        </is>
      </c>
    </row>
    <row r="751">
      <c r="A751" t="inlineStr">
        <is>
          <t>60(8)-V03</t>
        </is>
      </c>
      <c r="B751" t="inlineStr">
        <is>
          <t>60 (8).tif</t>
        </is>
      </c>
      <c r="C751" t="n">
        <v>567</v>
      </c>
      <c r="D751" t="n">
        <v>384</v>
      </c>
      <c r="E751" t="inlineStr">
        <is>
          <t>502,316,633,453</t>
        </is>
      </c>
      <c r="F751" t="n">
        <v>315</v>
      </c>
      <c r="G751" t="inlineStr">
        <is>
          <t>primary</t>
        </is>
      </c>
      <c r="H751" t="inlineStr">
        <is>
          <t>AUTO_VESSEL</t>
        </is>
      </c>
      <c r="I751" t="inlineStr">
        <is>
          <t>是</t>
        </is>
      </c>
      <c r="J751" t="inlineStr">
        <is>
          <t>纳入</t>
        </is>
      </c>
      <c r="K751" t="n">
        <v>656.0018903591682</v>
      </c>
      <c r="L751">
        <f>导管母表_860!G751</f>
        <v/>
      </c>
      <c r="M751" t="inlineStr">
        <is>
          <t>视野内部</t>
        </is>
      </c>
      <c r="N751" t="inlineStr">
        <is>
          <t>纳入A/D/Dh；若有Pair_ID则纳入CWR</t>
        </is>
      </c>
      <c r="O751" t="inlineStr">
        <is>
          <t>自动管线检出的合格导管腔。</t>
        </is>
      </c>
      <c r="P751" t="inlineStr">
        <is>
          <t>auto_pipeline;review_png_green</t>
        </is>
      </c>
      <c r="Q751" t="inlineStr">
        <is>
          <t>60(8)-P02</t>
        </is>
      </c>
      <c r="R751" t="inlineStr">
        <is>
          <t>样品60</t>
        </is>
      </c>
    </row>
    <row r="752">
      <c r="A752" t="inlineStr">
        <is>
          <t>60(8)-V04</t>
        </is>
      </c>
      <c r="B752" t="inlineStr">
        <is>
          <t>60 (8).tif</t>
        </is>
      </c>
      <c r="C752" t="n">
        <v>92</v>
      </c>
      <c r="D752" t="n">
        <v>242</v>
      </c>
      <c r="E752" t="inlineStr">
        <is>
          <t>32,182,153,303</t>
        </is>
      </c>
      <c r="F752" t="n">
        <v>32</v>
      </c>
      <c r="G752" t="inlineStr">
        <is>
          <t>primary</t>
        </is>
      </c>
      <c r="H752" t="inlineStr">
        <is>
          <t>AUTO_VESSEL</t>
        </is>
      </c>
      <c r="I752" t="inlineStr">
        <is>
          <t>是</t>
        </is>
      </c>
      <c r="J752" t="inlineStr">
        <is>
          <t>纳入</t>
        </is>
      </c>
      <c r="K752" t="n">
        <v>533.5066162570888</v>
      </c>
      <c r="L752">
        <f>导管母表_860!G752</f>
        <v/>
      </c>
      <c r="M752" t="inlineStr">
        <is>
          <t>视野内部</t>
        </is>
      </c>
      <c r="N752" t="inlineStr">
        <is>
          <t>纳入A/D/Dh；若有Pair_ID则纳入CWR</t>
        </is>
      </c>
      <c r="O752" t="inlineStr">
        <is>
          <t>自动管线检出的合格导管腔。</t>
        </is>
      </c>
      <c r="P752" t="inlineStr">
        <is>
          <t>auto_pipeline;review_png_green</t>
        </is>
      </c>
      <c r="Q752" t="inlineStr">
        <is>
          <t>60(8)-P01</t>
        </is>
      </c>
      <c r="R752" t="inlineStr">
        <is>
          <t>样品60</t>
        </is>
      </c>
    </row>
    <row r="753">
      <c r="A753" t="inlineStr">
        <is>
          <t>60(8)-V05</t>
        </is>
      </c>
      <c r="B753" t="inlineStr">
        <is>
          <t>60 (8).tif</t>
        </is>
      </c>
      <c r="C753" t="n">
        <v>543</v>
      </c>
      <c r="D753" t="n">
        <v>87</v>
      </c>
      <c r="E753" t="inlineStr">
        <is>
          <t>494,49,593,126</t>
        </is>
      </c>
      <c r="F753" t="n">
        <v>49</v>
      </c>
      <c r="G753" t="inlineStr">
        <is>
          <t>primary</t>
        </is>
      </c>
      <c r="H753" t="inlineStr">
        <is>
          <t>AUTO_VESSEL</t>
        </is>
      </c>
      <c r="I753" t="inlineStr">
        <is>
          <t>是</t>
        </is>
      </c>
      <c r="J753" t="inlineStr">
        <is>
          <t>纳入</t>
        </is>
      </c>
      <c r="K753" t="n">
        <v>166.6351606805293</v>
      </c>
      <c r="L753">
        <f>导管母表_860!G753</f>
        <v/>
      </c>
      <c r="M753" t="inlineStr">
        <is>
          <t>视野内部</t>
        </is>
      </c>
      <c r="N753" t="inlineStr">
        <is>
          <t>纳入A/D/Dh；若有Pair_ID则纳入CWR</t>
        </is>
      </c>
      <c r="O753" t="inlineStr">
        <is>
          <t>自动管线检出的合格导管腔。</t>
        </is>
      </c>
      <c r="P753" t="inlineStr">
        <is>
          <t>auto_pipeline;review_png_green</t>
        </is>
      </c>
      <c r="R753" t="inlineStr">
        <is>
          <t>样品60</t>
        </is>
      </c>
    </row>
    <row r="754">
      <c r="A754" t="inlineStr">
        <is>
          <t>60(8)-V06</t>
        </is>
      </c>
      <c r="B754" t="inlineStr">
        <is>
          <t>60 (8).tif</t>
        </is>
      </c>
      <c r="C754" t="n">
        <v>700</v>
      </c>
      <c r="D754" t="n">
        <v>180</v>
      </c>
      <c r="E754" t="inlineStr">
        <is>
          <t>668,138,733,223</t>
        </is>
      </c>
      <c r="F754" t="n">
        <v>138</v>
      </c>
      <c r="G754" t="inlineStr">
        <is>
          <t>primary</t>
        </is>
      </c>
      <c r="H754" t="inlineStr">
        <is>
          <t>AUTO_VESSEL</t>
        </is>
      </c>
      <c r="I754" t="inlineStr">
        <is>
          <t>是</t>
        </is>
      </c>
      <c r="J754" t="inlineStr">
        <is>
          <t>纳入</t>
        </is>
      </c>
      <c r="K754" t="n">
        <v>149.7873345935728</v>
      </c>
      <c r="L754">
        <f>导管母表_860!G754</f>
        <v/>
      </c>
      <c r="M754" t="inlineStr">
        <is>
          <t>视野内部</t>
        </is>
      </c>
      <c r="N754" t="inlineStr">
        <is>
          <t>纳入A/D/Dh；若有Pair_ID则纳入CWR</t>
        </is>
      </c>
      <c r="O754" t="inlineStr">
        <is>
          <t>自动管线检出的合格导管腔。</t>
        </is>
      </c>
      <c r="P754" t="inlineStr">
        <is>
          <t>auto_pipeline;review_png_green</t>
        </is>
      </c>
      <c r="R754" t="inlineStr">
        <is>
          <t>样品60</t>
        </is>
      </c>
    </row>
    <row r="755">
      <c r="A755" t="inlineStr">
        <is>
          <t>60(8)-V07</t>
        </is>
      </c>
      <c r="B755" t="inlineStr">
        <is>
          <t>60 (8).tif</t>
        </is>
      </c>
      <c r="C755" t="n">
        <v>196</v>
      </c>
      <c r="D755" t="n">
        <v>72</v>
      </c>
      <c r="E755" t="inlineStr">
        <is>
          <t>147,40,246,105</t>
        </is>
      </c>
      <c r="F755" t="n">
        <v>40</v>
      </c>
      <c r="G755" t="inlineStr">
        <is>
          <t>primary</t>
        </is>
      </c>
      <c r="H755" t="inlineStr">
        <is>
          <t>AUTO_VESSEL</t>
        </is>
      </c>
      <c r="I755" t="inlineStr">
        <is>
          <t>是</t>
        </is>
      </c>
      <c r="J755" t="inlineStr">
        <is>
          <t>纳入</t>
        </is>
      </c>
      <c r="K755" t="n">
        <v>118.5491493383743</v>
      </c>
      <c r="L755">
        <f>导管母表_860!G755</f>
        <v/>
      </c>
      <c r="M755" t="inlineStr">
        <is>
          <t>视野内部</t>
        </is>
      </c>
      <c r="N755" t="inlineStr">
        <is>
          <t>纳入A/D/Dh；若有Pair_ID则纳入CWR</t>
        </is>
      </c>
      <c r="O755" t="inlineStr">
        <is>
          <t>自动管线检出的合格导管腔。</t>
        </is>
      </c>
      <c r="P755" t="inlineStr">
        <is>
          <t>auto_pipeline;review_png_green</t>
        </is>
      </c>
      <c r="R755" t="inlineStr">
        <is>
          <t>样品60</t>
        </is>
      </c>
    </row>
    <row r="756">
      <c r="A756" t="inlineStr">
        <is>
          <t>61(1)-V01</t>
        </is>
      </c>
      <c r="B756" t="inlineStr">
        <is>
          <t>61 (1).tif</t>
        </is>
      </c>
      <c r="C756" t="n">
        <v>423</v>
      </c>
      <c r="D756" t="n">
        <v>338</v>
      </c>
      <c r="E756" t="inlineStr">
        <is>
          <t>355,271,492,406</t>
        </is>
      </c>
      <c r="F756" t="n">
        <v>271</v>
      </c>
      <c r="G756" t="inlineStr">
        <is>
          <t>primary</t>
        </is>
      </c>
      <c r="H756" t="inlineStr">
        <is>
          <t>AUTO_VESSEL</t>
        </is>
      </c>
      <c r="I756" t="inlineStr">
        <is>
          <t>是</t>
        </is>
      </c>
      <c r="J756" t="inlineStr">
        <is>
          <t>纳入</t>
        </is>
      </c>
      <c r="K756" t="n">
        <v>674.6691871455577</v>
      </c>
      <c r="L756">
        <f>导管母表_860!G756</f>
        <v/>
      </c>
      <c r="M756" t="inlineStr">
        <is>
          <t>视野内部</t>
        </is>
      </c>
      <c r="N756" t="inlineStr">
        <is>
          <t>纳入A/D/Dh；若有Pair_ID则纳入CWR</t>
        </is>
      </c>
      <c r="O756" t="inlineStr">
        <is>
          <t>自动管线检出的合格导管腔。</t>
        </is>
      </c>
      <c r="P756" t="inlineStr">
        <is>
          <t>auto_pipeline;review_png_green</t>
        </is>
      </c>
      <c r="R756" t="inlineStr">
        <is>
          <t>样品61</t>
        </is>
      </c>
    </row>
    <row r="757">
      <c r="A757" t="inlineStr">
        <is>
          <t>61(1)-V02</t>
        </is>
      </c>
      <c r="B757" t="inlineStr">
        <is>
          <t>61 (1).tif</t>
        </is>
      </c>
      <c r="C757" t="n">
        <v>576</v>
      </c>
      <c r="D757" t="n">
        <v>395</v>
      </c>
      <c r="E757" t="inlineStr">
        <is>
          <t>511,340,642,451</t>
        </is>
      </c>
      <c r="F757" t="n">
        <v>317</v>
      </c>
      <c r="G757" t="inlineStr">
        <is>
          <t>primary</t>
        </is>
      </c>
      <c r="H757" t="inlineStr">
        <is>
          <t>AUTO_VESSEL</t>
        </is>
      </c>
      <c r="I757" t="inlineStr">
        <is>
          <t>是</t>
        </is>
      </c>
      <c r="J757" t="inlineStr">
        <is>
          <t>纳入</t>
        </is>
      </c>
      <c r="K757" t="n">
        <v>530.4820415879017</v>
      </c>
      <c r="L757">
        <f>导管母表_860!G757</f>
        <v/>
      </c>
      <c r="M757" t="inlineStr">
        <is>
          <t>视野内部</t>
        </is>
      </c>
      <c r="N757" t="inlineStr">
        <is>
          <t>纳入A/D/Dh；若有Pair_ID则纳入CWR</t>
        </is>
      </c>
      <c r="O757" t="inlineStr">
        <is>
          <t>自动管线检出的合格导管腔。</t>
        </is>
      </c>
      <c r="P757" t="inlineStr">
        <is>
          <t>auto_pipeline;review_png_green</t>
        </is>
      </c>
      <c r="R757" t="inlineStr">
        <is>
          <t>样品61</t>
        </is>
      </c>
    </row>
    <row r="758">
      <c r="A758" t="inlineStr">
        <is>
          <t>61(1)-V03</t>
        </is>
      </c>
      <c r="B758" t="inlineStr">
        <is>
          <t>61 (1).tif</t>
        </is>
      </c>
      <c r="C758" t="n">
        <v>945</v>
      </c>
      <c r="D758" t="n">
        <v>310</v>
      </c>
      <c r="E758" t="inlineStr">
        <is>
          <t>892,269,999,352</t>
        </is>
      </c>
      <c r="F758" t="n">
        <v>25</v>
      </c>
      <c r="G758" t="inlineStr">
        <is>
          <t>primary</t>
        </is>
      </c>
      <c r="H758" t="inlineStr">
        <is>
          <t>AUTO_VESSEL</t>
        </is>
      </c>
      <c r="I758" t="inlineStr">
        <is>
          <t>是</t>
        </is>
      </c>
      <c r="J758" t="inlineStr">
        <is>
          <t>纳入</t>
        </is>
      </c>
      <c r="K758" t="n">
        <v>320.7939508506616</v>
      </c>
      <c r="L758">
        <f>导管母表_860!G758</f>
        <v/>
      </c>
      <c r="M758" t="inlineStr">
        <is>
          <t>视野内部</t>
        </is>
      </c>
      <c r="N758" t="inlineStr">
        <is>
          <t>纳入A/D/Dh；若有Pair_ID则纳入CWR</t>
        </is>
      </c>
      <c r="O758" t="inlineStr">
        <is>
          <t>自动管线检出的合格导管腔。</t>
        </is>
      </c>
      <c r="P758" t="inlineStr">
        <is>
          <t>auto_pipeline;review_png_green</t>
        </is>
      </c>
      <c r="R758" t="inlineStr">
        <is>
          <t>样品61</t>
        </is>
      </c>
    </row>
    <row r="759">
      <c r="A759" t="inlineStr">
        <is>
          <t>61(2)-V01</t>
        </is>
      </c>
      <c r="B759" t="inlineStr">
        <is>
          <t>61 (2).tif</t>
        </is>
      </c>
      <c r="C759" t="n">
        <v>421</v>
      </c>
      <c r="D759" t="n">
        <v>352</v>
      </c>
      <c r="E759" t="inlineStr">
        <is>
          <t>356,288,487,417</t>
        </is>
      </c>
      <c r="F759" t="n">
        <v>288</v>
      </c>
      <c r="G759" t="inlineStr">
        <is>
          <t>primary</t>
        </is>
      </c>
      <c r="H759" t="inlineStr">
        <is>
          <t>AUTO_VESSEL</t>
        </is>
      </c>
      <c r="I759" t="inlineStr">
        <is>
          <t>是</t>
        </is>
      </c>
      <c r="J759" t="inlineStr">
        <is>
          <t>纳入</t>
        </is>
      </c>
      <c r="K759" t="n">
        <v>617.0132325141777</v>
      </c>
      <c r="L759">
        <f>导管母表_860!G759</f>
        <v/>
      </c>
      <c r="M759" t="inlineStr">
        <is>
          <t>视野内部</t>
        </is>
      </c>
      <c r="N759" t="inlineStr">
        <is>
          <t>纳入A/D/Dh；若有Pair_ID则纳入CWR</t>
        </is>
      </c>
      <c r="O759" t="inlineStr">
        <is>
          <t>自动管线检出的合格导管腔。</t>
        </is>
      </c>
      <c r="P759" t="inlineStr">
        <is>
          <t>auto_pipeline;review_png_green</t>
        </is>
      </c>
      <c r="R759" t="inlineStr">
        <is>
          <t>样品61</t>
        </is>
      </c>
    </row>
    <row r="760">
      <c r="A760" t="inlineStr">
        <is>
          <t>61(2)-V02</t>
        </is>
      </c>
      <c r="B760" t="inlineStr">
        <is>
          <t>61 (2).tif</t>
        </is>
      </c>
      <c r="C760" t="n">
        <v>553</v>
      </c>
      <c r="D760" t="n">
        <v>425</v>
      </c>
      <c r="E760" t="inlineStr">
        <is>
          <t>490,372,617,479</t>
        </is>
      </c>
      <c r="F760" t="n">
        <v>289</v>
      </c>
      <c r="G760" t="inlineStr">
        <is>
          <t>primary</t>
        </is>
      </c>
      <c r="H760" t="inlineStr">
        <is>
          <t>AUTO_VESSEL</t>
        </is>
      </c>
      <c r="I760" t="inlineStr">
        <is>
          <t>是</t>
        </is>
      </c>
      <c r="J760" t="inlineStr">
        <is>
          <t>纳入</t>
        </is>
      </c>
      <c r="K760" t="n">
        <v>494.7069943289225</v>
      </c>
      <c r="L760">
        <f>导管母表_860!G760</f>
        <v/>
      </c>
      <c r="M760" t="inlineStr">
        <is>
          <t>视野内部</t>
        </is>
      </c>
      <c r="N760" t="inlineStr">
        <is>
          <t>纳入A/D/Dh；若有Pair_ID则纳入CWR</t>
        </is>
      </c>
      <c r="O760" t="inlineStr">
        <is>
          <t>自动管线检出的合格导管腔。</t>
        </is>
      </c>
      <c r="P760" t="inlineStr">
        <is>
          <t>auto_pipeline;review_png_green</t>
        </is>
      </c>
      <c r="Q760" t="inlineStr">
        <is>
          <t>61(2)-P01</t>
        </is>
      </c>
      <c r="R760" t="inlineStr">
        <is>
          <t>样品61</t>
        </is>
      </c>
    </row>
    <row r="761">
      <c r="A761" t="inlineStr">
        <is>
          <t>61(2)-V03</t>
        </is>
      </c>
      <c r="B761" t="inlineStr">
        <is>
          <t>61 (2).tif</t>
        </is>
      </c>
      <c r="C761" t="n">
        <v>441</v>
      </c>
      <c r="D761" t="n">
        <v>376</v>
      </c>
      <c r="E761" t="inlineStr">
        <is>
          <t>398,336,485,417</t>
        </is>
      </c>
      <c r="F761" t="n">
        <v>336</v>
      </c>
      <c r="G761" t="inlineStr">
        <is>
          <t>primary</t>
        </is>
      </c>
      <c r="H761" t="inlineStr">
        <is>
          <t>AUTO_VESSEL</t>
        </is>
      </c>
      <c r="I761" t="inlineStr">
        <is>
          <t>是</t>
        </is>
      </c>
      <c r="J761" t="inlineStr">
        <is>
          <t>纳入</t>
        </is>
      </c>
      <c r="K761" t="n">
        <v>244.3761814744801</v>
      </c>
      <c r="L761">
        <f>导管母表_860!G761</f>
        <v/>
      </c>
      <c r="M761" t="inlineStr">
        <is>
          <t>视野内部</t>
        </is>
      </c>
      <c r="N761" t="inlineStr">
        <is>
          <t>纳入A/D/Dh；若有Pair_ID则纳入CWR</t>
        </is>
      </c>
      <c r="O761" t="inlineStr">
        <is>
          <t>自动管线检出的合格导管腔。</t>
        </is>
      </c>
      <c r="P761" t="inlineStr">
        <is>
          <t>auto_pipeline;review_png_green</t>
        </is>
      </c>
      <c r="Q761" t="inlineStr">
        <is>
          <t>61(2)-P01</t>
        </is>
      </c>
      <c r="R761" t="inlineStr">
        <is>
          <t>样品61</t>
        </is>
      </c>
    </row>
    <row r="762">
      <c r="A762" t="inlineStr">
        <is>
          <t>61(2)-V04</t>
        </is>
      </c>
      <c r="B762" t="inlineStr">
        <is>
          <t>61 (2).tif</t>
        </is>
      </c>
      <c r="C762" t="n">
        <v>50</v>
      </c>
      <c r="D762" t="n">
        <v>288</v>
      </c>
      <c r="E762" t="inlineStr">
        <is>
          <t>8,258,93,319</t>
        </is>
      </c>
      <c r="F762" t="n">
        <v>8</v>
      </c>
      <c r="G762" t="inlineStr">
        <is>
          <t>primary</t>
        </is>
      </c>
      <c r="H762" t="inlineStr">
        <is>
          <t>AUTO_VESSEL</t>
        </is>
      </c>
      <c r="I762" t="inlineStr">
        <is>
          <t>是</t>
        </is>
      </c>
      <c r="J762" t="inlineStr">
        <is>
          <t>纳入</t>
        </is>
      </c>
      <c r="K762" t="n">
        <v>116.6351606805293</v>
      </c>
      <c r="L762">
        <f>导管母表_860!G762</f>
        <v/>
      </c>
      <c r="M762" t="inlineStr">
        <is>
          <t>近边缘（&lt;25 px）</t>
        </is>
      </c>
      <c r="N762" t="inlineStr">
        <is>
          <t>纳入A/D/Dh；若有Pair_ID则纳入CWR</t>
        </is>
      </c>
      <c r="O762" t="inlineStr">
        <is>
          <t>自动管线检出的合格导管腔。</t>
        </is>
      </c>
      <c r="P762" t="inlineStr">
        <is>
          <t>auto_pipeline;review_png_green</t>
        </is>
      </c>
      <c r="R762" t="inlineStr">
        <is>
          <t>样品61</t>
        </is>
      </c>
    </row>
    <row r="763">
      <c r="A763" t="inlineStr">
        <is>
          <t>61(2)-V05</t>
        </is>
      </c>
      <c r="B763" t="inlineStr">
        <is>
          <t>61 (2).tif</t>
        </is>
      </c>
      <c r="C763" t="n">
        <v>784</v>
      </c>
      <c r="D763" t="n">
        <v>470</v>
      </c>
      <c r="E763" t="inlineStr">
        <is>
          <t>751,440,818,501</t>
        </is>
      </c>
      <c r="F763" t="n">
        <v>206</v>
      </c>
      <c r="G763" t="inlineStr">
        <is>
          <t>primary</t>
        </is>
      </c>
      <c r="H763" t="inlineStr">
        <is>
          <t>AUTO_VESSEL</t>
        </is>
      </c>
      <c r="I763" t="inlineStr">
        <is>
          <t>是</t>
        </is>
      </c>
      <c r="J763" t="inlineStr">
        <is>
          <t>纳入</t>
        </is>
      </c>
      <c r="K763" t="n">
        <v>113.3979206049149</v>
      </c>
      <c r="L763">
        <f>导管母表_860!G763</f>
        <v/>
      </c>
      <c r="M763" t="inlineStr">
        <is>
          <t>视野内部</t>
        </is>
      </c>
      <c r="N763" t="inlineStr">
        <is>
          <t>纳入A/D/Dh；若有Pair_ID则纳入CWR</t>
        </is>
      </c>
      <c r="O763" t="inlineStr">
        <is>
          <t>自动管线检出的合格导管腔。</t>
        </is>
      </c>
      <c r="P763" t="inlineStr">
        <is>
          <t>auto_pipeline;review_png_green</t>
        </is>
      </c>
      <c r="R763" t="inlineStr">
        <is>
          <t>样品61</t>
        </is>
      </c>
    </row>
    <row r="764">
      <c r="A764" t="inlineStr">
        <is>
          <t>61(3)-V01</t>
        </is>
      </c>
      <c r="B764" t="inlineStr">
        <is>
          <t>61 (3).tif</t>
        </is>
      </c>
      <c r="C764" t="n">
        <v>457</v>
      </c>
      <c r="D764" t="n">
        <v>305</v>
      </c>
      <c r="E764" t="inlineStr">
        <is>
          <t>376,227,539,384</t>
        </is>
      </c>
      <c r="F764" t="n">
        <v>227</v>
      </c>
      <c r="G764" t="inlineStr">
        <is>
          <t>primary</t>
        </is>
      </c>
      <c r="H764" t="inlineStr">
        <is>
          <t>AUTO_VESSEL</t>
        </is>
      </c>
      <c r="I764" t="inlineStr">
        <is>
          <t>是</t>
        </is>
      </c>
      <c r="J764" t="inlineStr">
        <is>
          <t>纳入</t>
        </is>
      </c>
      <c r="K764" t="n">
        <v>937.7362948960302</v>
      </c>
      <c r="L764">
        <f>导管母表_860!G764</f>
        <v/>
      </c>
      <c r="M764" t="inlineStr">
        <is>
          <t>视野内部</t>
        </is>
      </c>
      <c r="N764" t="inlineStr">
        <is>
          <t>纳入A/D/Dh；若有Pair_ID则纳入CWR</t>
        </is>
      </c>
      <c r="O764" t="inlineStr">
        <is>
          <t>自动管线检出的合格导管腔。</t>
        </is>
      </c>
      <c r="P764" t="inlineStr">
        <is>
          <t>auto_pipeline;review_png_green</t>
        </is>
      </c>
      <c r="Q764" t="inlineStr">
        <is>
          <t>61(3)-P01</t>
        </is>
      </c>
      <c r="R764" t="inlineStr">
        <is>
          <t>样品61</t>
        </is>
      </c>
    </row>
    <row r="765">
      <c r="A765" t="inlineStr">
        <is>
          <t>61(3)-V02</t>
        </is>
      </c>
      <c r="B765" t="inlineStr">
        <is>
          <t>61 (3).tif</t>
        </is>
      </c>
      <c r="C765" t="n">
        <v>597</v>
      </c>
      <c r="D765" t="n">
        <v>400</v>
      </c>
      <c r="E765" t="inlineStr">
        <is>
          <t>532,337,663,464</t>
        </is>
      </c>
      <c r="F765" t="n">
        <v>304</v>
      </c>
      <c r="G765" t="inlineStr">
        <is>
          <t>primary</t>
        </is>
      </c>
      <c r="H765" t="inlineStr">
        <is>
          <t>AUTO_VESSEL</t>
        </is>
      </c>
      <c r="I765" t="inlineStr">
        <is>
          <t>是</t>
        </is>
      </c>
      <c r="J765" t="inlineStr">
        <is>
          <t>纳入</t>
        </is>
      </c>
      <c r="K765" t="n">
        <v>606.9706994328923</v>
      </c>
      <c r="L765">
        <f>导管母表_860!G765</f>
        <v/>
      </c>
      <c r="M765" t="inlineStr">
        <is>
          <t>视野内部</t>
        </is>
      </c>
      <c r="N765" t="inlineStr">
        <is>
          <t>纳入A/D/Dh；若有Pair_ID则纳入CWR</t>
        </is>
      </c>
      <c r="O765" t="inlineStr">
        <is>
          <t>自动管线检出的合格导管腔。</t>
        </is>
      </c>
      <c r="P765" t="inlineStr">
        <is>
          <t>auto_pipeline;review_png_green</t>
        </is>
      </c>
      <c r="Q765" t="inlineStr">
        <is>
          <t>61(3)-P01</t>
        </is>
      </c>
      <c r="R765" t="inlineStr">
        <is>
          <t>样品61</t>
        </is>
      </c>
    </row>
    <row r="766">
      <c r="A766" t="inlineStr">
        <is>
          <t>61(3)-V03</t>
        </is>
      </c>
      <c r="B766" t="inlineStr">
        <is>
          <t>61 (3).tif</t>
        </is>
      </c>
      <c r="C766" t="n">
        <v>128</v>
      </c>
      <c r="D766" t="n">
        <v>211</v>
      </c>
      <c r="E766" t="inlineStr">
        <is>
          <t>95,177,162,246</t>
        </is>
      </c>
      <c r="F766" t="n">
        <v>95</v>
      </c>
      <c r="G766" t="inlineStr">
        <is>
          <t>primary</t>
        </is>
      </c>
      <c r="H766" t="inlineStr">
        <is>
          <t>AUTO_VESSEL</t>
        </is>
      </c>
      <c r="I766" t="inlineStr">
        <is>
          <t>是</t>
        </is>
      </c>
      <c r="J766" t="inlineStr">
        <is>
          <t>纳入</t>
        </is>
      </c>
      <c r="K766" t="n">
        <v>159.4045368620038</v>
      </c>
      <c r="L766">
        <f>导管母表_860!G766</f>
        <v/>
      </c>
      <c r="M766" t="inlineStr">
        <is>
          <t>视野内部</t>
        </is>
      </c>
      <c r="N766" t="inlineStr">
        <is>
          <t>纳入A/D/Dh；若有Pair_ID则纳入CWR</t>
        </is>
      </c>
      <c r="O766" t="inlineStr">
        <is>
          <t>自动管线检出的合格导管腔。</t>
        </is>
      </c>
      <c r="P766" t="inlineStr">
        <is>
          <t>auto_pipeline;review_png_green</t>
        </is>
      </c>
      <c r="R766" t="inlineStr">
        <is>
          <t>样品61</t>
        </is>
      </c>
    </row>
    <row r="767">
      <c r="A767" t="inlineStr">
        <is>
          <t>61(4)-V01</t>
        </is>
      </c>
      <c r="B767" t="inlineStr">
        <is>
          <t>61 (4).tif</t>
        </is>
      </c>
      <c r="C767" t="n">
        <v>445</v>
      </c>
      <c r="D767" t="n">
        <v>339</v>
      </c>
      <c r="E767" t="inlineStr">
        <is>
          <t>377,267,514,412</t>
        </is>
      </c>
      <c r="F767" t="n">
        <v>267</v>
      </c>
      <c r="G767" t="inlineStr">
        <is>
          <t>primary</t>
        </is>
      </c>
      <c r="H767" t="inlineStr">
        <is>
          <t>AUTO_VESSEL</t>
        </is>
      </c>
      <c r="I767" t="inlineStr">
        <is>
          <t>是</t>
        </is>
      </c>
      <c r="J767" t="inlineStr">
        <is>
          <t>纳入</t>
        </is>
      </c>
      <c r="K767" t="n">
        <v>713.5160680529301</v>
      </c>
      <c r="L767">
        <f>导管母表_860!G767</f>
        <v/>
      </c>
      <c r="M767" t="inlineStr">
        <is>
          <t>视野内部</t>
        </is>
      </c>
      <c r="N767" t="inlineStr">
        <is>
          <t>纳入A/D/Dh；若有Pair_ID则纳入CWR</t>
        </is>
      </c>
      <c r="O767" t="inlineStr">
        <is>
          <t>自动管线检出的合格导管腔。</t>
        </is>
      </c>
      <c r="P767" t="inlineStr">
        <is>
          <t>auto_pipeline;review_png_green</t>
        </is>
      </c>
      <c r="Q767" t="inlineStr">
        <is>
          <t>61(4)-P01</t>
        </is>
      </c>
      <c r="R767" t="inlineStr">
        <is>
          <t>样品61</t>
        </is>
      </c>
    </row>
    <row r="768">
      <c r="A768" t="inlineStr">
        <is>
          <t>61(4)-V02</t>
        </is>
      </c>
      <c r="B768" t="inlineStr">
        <is>
          <t>61 (4).tif</t>
        </is>
      </c>
      <c r="C768" t="n">
        <v>538</v>
      </c>
      <c r="D768" t="n">
        <v>445</v>
      </c>
      <c r="E768" t="inlineStr">
        <is>
          <t>479,391,598,500</t>
        </is>
      </c>
      <c r="F768" t="n">
        <v>268</v>
      </c>
      <c r="G768" t="inlineStr">
        <is>
          <t>primary</t>
        </is>
      </c>
      <c r="H768" t="inlineStr">
        <is>
          <t>AUTO_VESSEL</t>
        </is>
      </c>
      <c r="I768" t="inlineStr">
        <is>
          <t>是</t>
        </is>
      </c>
      <c r="J768" t="inlineStr">
        <is>
          <t>纳入</t>
        </is>
      </c>
      <c r="K768" t="n">
        <v>471.9045368620038</v>
      </c>
      <c r="L768">
        <f>导管母表_860!G768</f>
        <v/>
      </c>
      <c r="M768" t="inlineStr">
        <is>
          <t>视野内部</t>
        </is>
      </c>
      <c r="N768" t="inlineStr">
        <is>
          <t>纳入A/D/Dh；若有Pair_ID则纳入CWR</t>
        </is>
      </c>
      <c r="O768" t="inlineStr">
        <is>
          <t>自动管线检出的合格导管腔。</t>
        </is>
      </c>
      <c r="P768" t="inlineStr">
        <is>
          <t>auto_pipeline;review_png_green</t>
        </is>
      </c>
      <c r="Q768" t="inlineStr">
        <is>
          <t>61(4)-P01</t>
        </is>
      </c>
      <c r="R768" t="inlineStr">
        <is>
          <t>样品61</t>
        </is>
      </c>
    </row>
    <row r="769">
      <c r="A769" t="inlineStr">
        <is>
          <t>61(5)-V01</t>
        </is>
      </c>
      <c r="B769" t="inlineStr">
        <is>
          <t>61 (5).tif</t>
        </is>
      </c>
      <c r="C769" t="n">
        <v>501</v>
      </c>
      <c r="D769" t="n">
        <v>430</v>
      </c>
      <c r="E769" t="inlineStr">
        <is>
          <t>421,349,582,512</t>
        </is>
      </c>
      <c r="F769" t="n">
        <v>256</v>
      </c>
      <c r="G769" t="inlineStr">
        <is>
          <t>primary</t>
        </is>
      </c>
      <c r="H769" t="inlineStr">
        <is>
          <t>AUTO_VESSEL</t>
        </is>
      </c>
      <c r="I769" t="inlineStr">
        <is>
          <t>是</t>
        </is>
      </c>
      <c r="J769" t="inlineStr">
        <is>
          <t>纳入</t>
        </is>
      </c>
      <c r="K769" t="n">
        <v>958.9792060491493</v>
      </c>
      <c r="L769">
        <f>导管母表_860!G769</f>
        <v/>
      </c>
      <c r="M769" t="inlineStr">
        <is>
          <t>视野内部</t>
        </is>
      </c>
      <c r="N769" t="inlineStr">
        <is>
          <t>纳入A/D/Dh；若有Pair_ID则纳入CWR</t>
        </is>
      </c>
      <c r="O769" t="inlineStr">
        <is>
          <t>自动管线检出的合格导管腔。</t>
        </is>
      </c>
      <c r="P769" t="inlineStr">
        <is>
          <t>auto_pipeline;review_png_green</t>
        </is>
      </c>
      <c r="Q769" t="inlineStr">
        <is>
          <t>61(5)-P01</t>
        </is>
      </c>
      <c r="R769" t="inlineStr">
        <is>
          <t>样品61</t>
        </is>
      </c>
    </row>
    <row r="770">
      <c r="A770" t="inlineStr">
        <is>
          <t>61(5)-V02</t>
        </is>
      </c>
      <c r="B770" t="inlineStr">
        <is>
          <t>61 (5).tif</t>
        </is>
      </c>
      <c r="C770" t="n">
        <v>868</v>
      </c>
      <c r="D770" t="n">
        <v>209</v>
      </c>
      <c r="E770" t="inlineStr">
        <is>
          <t>810,138,927,281</t>
        </is>
      </c>
      <c r="F770" t="n">
        <v>97</v>
      </c>
      <c r="G770" t="inlineStr">
        <is>
          <t>primary</t>
        </is>
      </c>
      <c r="H770" t="inlineStr">
        <is>
          <t>AUTO_VESSEL</t>
        </is>
      </c>
      <c r="I770" t="inlineStr">
        <is>
          <t>是</t>
        </is>
      </c>
      <c r="J770" t="inlineStr">
        <is>
          <t>纳入</t>
        </is>
      </c>
      <c r="K770" t="n">
        <v>611.3657844990548</v>
      </c>
      <c r="L770">
        <f>导管母表_860!G770</f>
        <v/>
      </c>
      <c r="M770" t="inlineStr">
        <is>
          <t>视野内部</t>
        </is>
      </c>
      <c r="N770" t="inlineStr">
        <is>
          <t>纳入A/D/Dh；若有Pair_ID则纳入CWR</t>
        </is>
      </c>
      <c r="O770" t="inlineStr">
        <is>
          <t>自动管线检出的合格导管腔。</t>
        </is>
      </c>
      <c r="P770" t="inlineStr">
        <is>
          <t>auto_pipeline;review_png_green</t>
        </is>
      </c>
      <c r="R770" t="inlineStr">
        <is>
          <t>样品61</t>
        </is>
      </c>
    </row>
    <row r="771">
      <c r="A771" t="inlineStr">
        <is>
          <t>61(5)-V03</t>
        </is>
      </c>
      <c r="B771" t="inlineStr">
        <is>
          <t>61 (5).tif</t>
        </is>
      </c>
      <c r="C771" t="n">
        <v>496</v>
      </c>
      <c r="D771" t="n">
        <v>305</v>
      </c>
      <c r="E771" t="inlineStr">
        <is>
          <t>432,249,561,362</t>
        </is>
      </c>
      <c r="F771" t="n">
        <v>249</v>
      </c>
      <c r="G771" t="inlineStr">
        <is>
          <t>primary</t>
        </is>
      </c>
      <c r="H771" t="inlineStr">
        <is>
          <t>AUTO_VESSEL</t>
        </is>
      </c>
      <c r="I771" t="inlineStr">
        <is>
          <t>是</t>
        </is>
      </c>
      <c r="J771" t="inlineStr">
        <is>
          <t>纳入</t>
        </is>
      </c>
      <c r="K771" t="n">
        <v>532.5614366729678</v>
      </c>
      <c r="L771">
        <f>导管母表_860!G771</f>
        <v/>
      </c>
      <c r="M771" t="inlineStr">
        <is>
          <t>视野内部</t>
        </is>
      </c>
      <c r="N771" t="inlineStr">
        <is>
          <t>纳入A/D/Dh；若有Pair_ID则纳入CWR</t>
        </is>
      </c>
      <c r="O771" t="inlineStr">
        <is>
          <t>自动管线检出的合格导管腔。</t>
        </is>
      </c>
      <c r="P771" t="inlineStr">
        <is>
          <t>auto_pipeline;review_png_green</t>
        </is>
      </c>
      <c r="Q771" t="inlineStr">
        <is>
          <t>61(5)-P01</t>
        </is>
      </c>
      <c r="R771" t="inlineStr">
        <is>
          <t>样品61</t>
        </is>
      </c>
    </row>
    <row r="772">
      <c r="A772" t="inlineStr">
        <is>
          <t>61(6)-V01</t>
        </is>
      </c>
      <c r="B772" t="inlineStr">
        <is>
          <t>61 (6).tif</t>
        </is>
      </c>
      <c r="C772" t="n">
        <v>508</v>
      </c>
      <c r="D772" t="n">
        <v>257</v>
      </c>
      <c r="E772" t="inlineStr">
        <is>
          <t>426,175,591,340</t>
        </is>
      </c>
      <c r="F772" t="n">
        <v>175</v>
      </c>
      <c r="G772" t="inlineStr">
        <is>
          <t>primary</t>
        </is>
      </c>
      <c r="H772" t="inlineStr">
        <is>
          <t>AUTO_VESSEL</t>
        </is>
      </c>
      <c r="I772" t="inlineStr">
        <is>
          <t>是</t>
        </is>
      </c>
      <c r="J772" t="inlineStr">
        <is>
          <t>纳入</t>
        </is>
      </c>
      <c r="K772" t="n">
        <v>996.8572778827977</v>
      </c>
      <c r="L772">
        <f>导管母表_860!G772</f>
        <v/>
      </c>
      <c r="M772" t="inlineStr">
        <is>
          <t>视野内部</t>
        </is>
      </c>
      <c r="N772" t="inlineStr">
        <is>
          <t>纳入A/D/Dh；若有Pair_ID则纳入CWR</t>
        </is>
      </c>
      <c r="O772" t="inlineStr">
        <is>
          <t>自动管线检出的合格导管腔。</t>
        </is>
      </c>
      <c r="P772" t="inlineStr">
        <is>
          <t>auto_pipeline;review_png_green</t>
        </is>
      </c>
      <c r="Q772" t="inlineStr">
        <is>
          <t>61(6)-P01</t>
        </is>
      </c>
      <c r="R772" t="inlineStr">
        <is>
          <t>样品61</t>
        </is>
      </c>
    </row>
    <row r="773">
      <c r="A773" t="inlineStr">
        <is>
          <t>61(6)-V02</t>
        </is>
      </c>
      <c r="B773" t="inlineStr">
        <is>
          <t>61 (6).tif</t>
        </is>
      </c>
      <c r="C773" t="n">
        <v>475</v>
      </c>
      <c r="D773" t="n">
        <v>404</v>
      </c>
      <c r="E773" t="inlineStr">
        <is>
          <t>413,354,538,455</t>
        </is>
      </c>
      <c r="F773" t="n">
        <v>313</v>
      </c>
      <c r="G773" t="inlineStr">
        <is>
          <t>primary</t>
        </is>
      </c>
      <c r="H773" t="inlineStr">
        <is>
          <t>AUTO_VESSEL</t>
        </is>
      </c>
      <c r="I773" t="inlineStr">
        <is>
          <t>是</t>
        </is>
      </c>
      <c r="J773" t="inlineStr">
        <is>
          <t>纳入</t>
        </is>
      </c>
      <c r="K773" t="n">
        <v>458.5538752362949</v>
      </c>
      <c r="L773">
        <f>导管母表_860!G773</f>
        <v/>
      </c>
      <c r="M773" t="inlineStr">
        <is>
          <t>视野内部</t>
        </is>
      </c>
      <c r="N773" t="inlineStr">
        <is>
          <t>纳入A/D/Dh；若有Pair_ID则纳入CWR</t>
        </is>
      </c>
      <c r="O773" t="inlineStr">
        <is>
          <t>自动管线检出的合格导管腔。</t>
        </is>
      </c>
      <c r="P773" t="inlineStr">
        <is>
          <t>auto_pipeline;review_png_green</t>
        </is>
      </c>
      <c r="Q773" t="inlineStr">
        <is>
          <t>61(6)-P01</t>
        </is>
      </c>
      <c r="R773" t="inlineStr">
        <is>
          <t>样品61</t>
        </is>
      </c>
    </row>
    <row r="774">
      <c r="A774" t="inlineStr">
        <is>
          <t>61(6)-V03</t>
        </is>
      </c>
      <c r="B774" t="inlineStr">
        <is>
          <t>61 (6).tif</t>
        </is>
      </c>
      <c r="C774" t="n">
        <v>807</v>
      </c>
      <c r="D774" t="n">
        <v>63</v>
      </c>
      <c r="E774" t="inlineStr">
        <is>
          <t>788,18,827,109</t>
        </is>
      </c>
      <c r="F774" t="n">
        <v>18</v>
      </c>
      <c r="G774" t="inlineStr">
        <is>
          <t>primary</t>
        </is>
      </c>
      <c r="H774" t="inlineStr">
        <is>
          <t>AUTO_VESSEL</t>
        </is>
      </c>
      <c r="I774" t="inlineStr">
        <is>
          <t>是</t>
        </is>
      </c>
      <c r="J774" t="inlineStr">
        <is>
          <t>纳入</t>
        </is>
      </c>
      <c r="K774" t="n">
        <v>120.3449905482042</v>
      </c>
      <c r="L774">
        <f>导管母表_860!G774</f>
        <v/>
      </c>
      <c r="M774" t="inlineStr">
        <is>
          <t>近边缘（&lt;25 px）</t>
        </is>
      </c>
      <c r="N774" t="inlineStr">
        <is>
          <t>纳入A/D/Dh；若有Pair_ID则纳入CWR</t>
        </is>
      </c>
      <c r="O774" t="inlineStr">
        <is>
          <t>自动管线检出的合格导管腔。</t>
        </is>
      </c>
      <c r="P774" t="inlineStr">
        <is>
          <t>auto_pipeline;review_png_green</t>
        </is>
      </c>
      <c r="R774" t="inlineStr">
        <is>
          <t>样品61</t>
        </is>
      </c>
    </row>
    <row r="775">
      <c r="A775" t="inlineStr">
        <is>
          <t>61(7)-V01</t>
        </is>
      </c>
      <c r="B775" t="inlineStr">
        <is>
          <t>61 (7).tif</t>
        </is>
      </c>
      <c r="C775" t="n">
        <v>452</v>
      </c>
      <c r="D775" t="n">
        <v>429</v>
      </c>
      <c r="E775" t="inlineStr">
        <is>
          <t>386,364,519,495</t>
        </is>
      </c>
      <c r="F775" t="n">
        <v>273</v>
      </c>
      <c r="G775" t="inlineStr">
        <is>
          <t>primary</t>
        </is>
      </c>
      <c r="H775" t="inlineStr">
        <is>
          <t>AUTO_VESSEL</t>
        </is>
      </c>
      <c r="I775" t="inlineStr">
        <is>
          <t>是</t>
        </is>
      </c>
      <c r="J775" t="inlineStr">
        <is>
          <t>纳入</t>
        </is>
      </c>
      <c r="K775" t="n">
        <v>636.3657844990548</v>
      </c>
      <c r="L775">
        <f>导管母表_860!G775</f>
        <v/>
      </c>
      <c r="M775" t="inlineStr">
        <is>
          <t>视野内部</t>
        </is>
      </c>
      <c r="N775" t="inlineStr">
        <is>
          <t>纳入A/D/Dh；若有Pair_ID则纳入CWR</t>
        </is>
      </c>
      <c r="O775" t="inlineStr">
        <is>
          <t>自动管线检出的合格导管腔。</t>
        </is>
      </c>
      <c r="P775" t="inlineStr">
        <is>
          <t>auto_pipeline;review_png_green</t>
        </is>
      </c>
      <c r="Q775" t="inlineStr">
        <is>
          <t>61(7)-P01</t>
        </is>
      </c>
      <c r="R775" t="inlineStr">
        <is>
          <t>样品61</t>
        </is>
      </c>
    </row>
    <row r="776">
      <c r="A776" t="inlineStr">
        <is>
          <t>61(7)-V02</t>
        </is>
      </c>
      <c r="B776" t="inlineStr">
        <is>
          <t>61 (7).tif</t>
        </is>
      </c>
      <c r="C776" t="n">
        <v>552</v>
      </c>
      <c r="D776" t="n">
        <v>313</v>
      </c>
      <c r="E776" t="inlineStr">
        <is>
          <t>490,253,615,374</t>
        </is>
      </c>
      <c r="F776" t="n">
        <v>253</v>
      </c>
      <c r="G776" t="inlineStr">
        <is>
          <t>primary</t>
        </is>
      </c>
      <c r="H776" t="inlineStr">
        <is>
          <t>AUTO_VESSEL</t>
        </is>
      </c>
      <c r="I776" t="inlineStr">
        <is>
          <t>是</t>
        </is>
      </c>
      <c r="J776" t="inlineStr">
        <is>
          <t>纳入</t>
        </is>
      </c>
      <c r="K776" t="n">
        <v>550.0945179584121</v>
      </c>
      <c r="L776">
        <f>导管母表_860!G776</f>
        <v/>
      </c>
      <c r="M776" t="inlineStr">
        <is>
          <t>视野内部</t>
        </is>
      </c>
      <c r="N776" t="inlineStr">
        <is>
          <t>纳入A/D/Dh；若有Pair_ID则纳入CWR</t>
        </is>
      </c>
      <c r="O776" t="inlineStr">
        <is>
          <t>自动管线检出的合格导管腔。</t>
        </is>
      </c>
      <c r="P776" t="inlineStr">
        <is>
          <t>auto_pipeline;review_png_green</t>
        </is>
      </c>
      <c r="Q776" t="inlineStr">
        <is>
          <t>61(7)-P01</t>
        </is>
      </c>
      <c r="R776" t="inlineStr">
        <is>
          <t>样品61</t>
        </is>
      </c>
    </row>
    <row r="777">
      <c r="A777" t="inlineStr">
        <is>
          <t>61(7)-V03</t>
        </is>
      </c>
      <c r="B777" t="inlineStr">
        <is>
          <t>61 (7).tif</t>
        </is>
      </c>
      <c r="C777" t="n">
        <v>915</v>
      </c>
      <c r="D777" t="n">
        <v>316</v>
      </c>
      <c r="E777" t="inlineStr">
        <is>
          <t>858,266,973,367</t>
        </is>
      </c>
      <c r="F777" t="n">
        <v>51</v>
      </c>
      <c r="G777" t="inlineStr">
        <is>
          <t>primary</t>
        </is>
      </c>
      <c r="H777" t="inlineStr">
        <is>
          <t>AUTO_VESSEL</t>
        </is>
      </c>
      <c r="I777" t="inlineStr">
        <is>
          <t>是</t>
        </is>
      </c>
      <c r="J777" t="inlineStr">
        <is>
          <t>纳入</t>
        </is>
      </c>
      <c r="K777" t="n">
        <v>421.8809073724008</v>
      </c>
      <c r="L777">
        <f>导管母表_860!G777</f>
        <v/>
      </c>
      <c r="M777" t="inlineStr">
        <is>
          <t>视野内部</t>
        </is>
      </c>
      <c r="N777" t="inlineStr">
        <is>
          <t>纳入A/D/Dh；若有Pair_ID则纳入CWR</t>
        </is>
      </c>
      <c r="O777" t="inlineStr">
        <is>
          <t>自动管线检出的合格导管腔。</t>
        </is>
      </c>
      <c r="P777" t="inlineStr">
        <is>
          <t>auto_pipeline;review_png_green</t>
        </is>
      </c>
      <c r="R777" t="inlineStr">
        <is>
          <t>样品61</t>
        </is>
      </c>
    </row>
    <row r="778">
      <c r="A778" t="inlineStr">
        <is>
          <t>61(7)-V04</t>
        </is>
      </c>
      <c r="B778" t="inlineStr">
        <is>
          <t>61 (7).tif</t>
        </is>
      </c>
      <c r="C778" t="n">
        <v>238</v>
      </c>
      <c r="D778" t="n">
        <v>462</v>
      </c>
      <c r="E778" t="inlineStr">
        <is>
          <t>188,411,289,514</t>
        </is>
      </c>
      <c r="F778" t="n">
        <v>188</v>
      </c>
      <c r="G778" t="inlineStr">
        <is>
          <t>primary</t>
        </is>
      </c>
      <c r="H778" t="inlineStr">
        <is>
          <t>AUTO_VESSEL</t>
        </is>
      </c>
      <c r="I778" t="inlineStr">
        <is>
          <t>是</t>
        </is>
      </c>
      <c r="J778" t="inlineStr">
        <is>
          <t>纳入</t>
        </is>
      </c>
      <c r="K778" t="n">
        <v>365.5009451795841</v>
      </c>
      <c r="L778">
        <f>导管母表_860!G778</f>
        <v/>
      </c>
      <c r="M778" t="inlineStr">
        <is>
          <t>视野内部</t>
        </is>
      </c>
      <c r="N778" t="inlineStr">
        <is>
          <t>纳入A/D/Dh；若有Pair_ID则纳入CWR</t>
        </is>
      </c>
      <c r="O778" t="inlineStr">
        <is>
          <t>自动管线检出的合格导管腔。</t>
        </is>
      </c>
      <c r="P778" t="inlineStr">
        <is>
          <t>auto_pipeline;review_png_green</t>
        </is>
      </c>
      <c r="R778" t="inlineStr">
        <is>
          <t>样品61</t>
        </is>
      </c>
    </row>
    <row r="779">
      <c r="A779" t="inlineStr">
        <is>
          <t>61(7)-V05</t>
        </is>
      </c>
      <c r="B779" t="inlineStr">
        <is>
          <t>61 (7).tif</t>
        </is>
      </c>
      <c r="C779" t="n">
        <v>584</v>
      </c>
      <c r="D779" t="n">
        <v>345</v>
      </c>
      <c r="E779" t="inlineStr">
        <is>
          <t>560,322,609,369</t>
        </is>
      </c>
      <c r="F779" t="n">
        <v>322</v>
      </c>
      <c r="G779" t="inlineStr">
        <is>
          <t>primary</t>
        </is>
      </c>
      <c r="H779" t="inlineStr">
        <is>
          <t>AUTO_VESSEL</t>
        </is>
      </c>
      <c r="I779" t="inlineStr">
        <is>
          <t>是</t>
        </is>
      </c>
      <c r="J779" t="inlineStr">
        <is>
          <t>纳入</t>
        </is>
      </c>
      <c r="K779" t="n">
        <v>55.2930056710775</v>
      </c>
      <c r="L779">
        <f>导管母表_860!G779</f>
        <v/>
      </c>
      <c r="M779" t="inlineStr">
        <is>
          <t>视野内部</t>
        </is>
      </c>
      <c r="N779" t="inlineStr">
        <is>
          <t>纳入A/D/Dh；若有Pair_ID则纳入CWR</t>
        </is>
      </c>
      <c r="O779" t="inlineStr">
        <is>
          <t>自动管线检出的合格导管腔。</t>
        </is>
      </c>
      <c r="P779" t="inlineStr">
        <is>
          <t>auto_pipeline;review_png_green</t>
        </is>
      </c>
      <c r="R779" t="inlineStr">
        <is>
          <t>样品61</t>
        </is>
      </c>
    </row>
    <row r="780">
      <c r="A780" t="inlineStr">
        <is>
          <t>61(8)-V01</t>
        </is>
      </c>
      <c r="B780" t="inlineStr">
        <is>
          <t>61 (8).tif</t>
        </is>
      </c>
      <c r="C780" t="n">
        <v>559</v>
      </c>
      <c r="D780" t="n">
        <v>346</v>
      </c>
      <c r="E780" t="inlineStr">
        <is>
          <t>503,287,616,406</t>
        </is>
      </c>
      <c r="F780" t="n">
        <v>287</v>
      </c>
      <c r="G780" t="inlineStr">
        <is>
          <t>primary</t>
        </is>
      </c>
      <c r="H780" t="inlineStr">
        <is>
          <t>AUTO_VESSEL</t>
        </is>
      </c>
      <c r="I780" t="inlineStr">
        <is>
          <t>是</t>
        </is>
      </c>
      <c r="J780" t="inlineStr">
        <is>
          <t>纳入</t>
        </is>
      </c>
      <c r="K780" t="n">
        <v>490.7608695652174</v>
      </c>
      <c r="L780">
        <f>导管母表_860!G780</f>
        <v/>
      </c>
      <c r="M780" t="inlineStr">
        <is>
          <t>视野内部</t>
        </is>
      </c>
      <c r="N780" t="inlineStr">
        <is>
          <t>纳入A/D/Dh；若有Pair_ID则纳入CWR</t>
        </is>
      </c>
      <c r="O780" t="inlineStr">
        <is>
          <t>自动管线检出的合格导管腔。</t>
        </is>
      </c>
      <c r="P780" t="inlineStr">
        <is>
          <t>auto_pipeline;review_png_green</t>
        </is>
      </c>
      <c r="R780" t="inlineStr">
        <is>
          <t>样品61</t>
        </is>
      </c>
    </row>
    <row r="781">
      <c r="A781" t="inlineStr">
        <is>
          <t>61(8)-V02</t>
        </is>
      </c>
      <c r="B781" t="inlineStr">
        <is>
          <t>61 (8).tif</t>
        </is>
      </c>
      <c r="C781" t="n">
        <v>231</v>
      </c>
      <c r="D781" t="n">
        <v>549</v>
      </c>
      <c r="E781" t="inlineStr">
        <is>
          <t>172,495,291,604</t>
        </is>
      </c>
      <c r="F781" t="n">
        <v>164</v>
      </c>
      <c r="G781" t="inlineStr">
        <is>
          <t>primary</t>
        </is>
      </c>
      <c r="H781" t="inlineStr">
        <is>
          <t>AUTO_VESSEL</t>
        </is>
      </c>
      <c r="I781" t="inlineStr">
        <is>
          <t>是</t>
        </is>
      </c>
      <c r="J781" t="inlineStr">
        <is>
          <t>纳入</t>
        </is>
      </c>
      <c r="K781" t="n">
        <v>472.0226843100189</v>
      </c>
      <c r="L781">
        <f>导管母表_860!G781</f>
        <v/>
      </c>
      <c r="M781" t="inlineStr">
        <is>
          <t>视野内部</t>
        </is>
      </c>
      <c r="N781" t="inlineStr">
        <is>
          <t>纳入A/D/Dh；若有Pair_ID则纳入CWR</t>
        </is>
      </c>
      <c r="O781" t="inlineStr">
        <is>
          <t>自动管线检出的合格导管腔。</t>
        </is>
      </c>
      <c r="P781" t="inlineStr">
        <is>
          <t>auto_pipeline;review_png_green</t>
        </is>
      </c>
      <c r="R781" t="inlineStr">
        <is>
          <t>样品61</t>
        </is>
      </c>
    </row>
    <row r="782">
      <c r="A782" t="inlineStr">
        <is>
          <t>61(8)-V03</t>
        </is>
      </c>
      <c r="B782" t="inlineStr">
        <is>
          <t>61 (8).tif</t>
        </is>
      </c>
      <c r="C782" t="n">
        <v>440</v>
      </c>
      <c r="D782" t="n">
        <v>389</v>
      </c>
      <c r="E782" t="inlineStr">
        <is>
          <t>384,334,497,445</t>
        </is>
      </c>
      <c r="F782" t="n">
        <v>323</v>
      </c>
      <c r="G782" t="inlineStr">
        <is>
          <t>primary</t>
        </is>
      </c>
      <c r="H782" t="inlineStr">
        <is>
          <t>AUTO_VESSEL</t>
        </is>
      </c>
      <c r="I782" t="inlineStr">
        <is>
          <t>是</t>
        </is>
      </c>
      <c r="J782" t="inlineStr">
        <is>
          <t>纳入</t>
        </is>
      </c>
      <c r="K782" t="n">
        <v>457.0888468809074</v>
      </c>
      <c r="L782">
        <f>导管母表_860!G782</f>
        <v/>
      </c>
      <c r="M782" t="inlineStr">
        <is>
          <t>视野内部</t>
        </is>
      </c>
      <c r="N782" t="inlineStr">
        <is>
          <t>纳入A/D/Dh；若有Pair_ID则纳入CWR</t>
        </is>
      </c>
      <c r="O782" t="inlineStr">
        <is>
          <t>自动管线检出的合格导管腔。</t>
        </is>
      </c>
      <c r="P782" t="inlineStr">
        <is>
          <t>auto_pipeline;review_png_green</t>
        </is>
      </c>
      <c r="Q782" t="inlineStr">
        <is>
          <t>61(8)-P01</t>
        </is>
      </c>
      <c r="R782" t="inlineStr">
        <is>
          <t>样品61</t>
        </is>
      </c>
    </row>
    <row r="783">
      <c r="A783" t="inlineStr">
        <is>
          <t>61(8)-V04</t>
        </is>
      </c>
      <c r="B783" t="inlineStr">
        <is>
          <t>61 (8).tif</t>
        </is>
      </c>
      <c r="C783" t="n">
        <v>464</v>
      </c>
      <c r="D783" t="n">
        <v>412</v>
      </c>
      <c r="E783" t="inlineStr">
        <is>
          <t>433,382,496,443</t>
        </is>
      </c>
      <c r="F783" t="n">
        <v>325</v>
      </c>
      <c r="G783" t="inlineStr">
        <is>
          <t>primary</t>
        </is>
      </c>
      <c r="H783" t="inlineStr">
        <is>
          <t>AUTO_VESSEL</t>
        </is>
      </c>
      <c r="I783" t="inlineStr">
        <is>
          <t>是</t>
        </is>
      </c>
      <c r="J783" t="inlineStr">
        <is>
          <t>纳入</t>
        </is>
      </c>
      <c r="K783" t="n">
        <v>126.3705103969754</v>
      </c>
      <c r="L783">
        <f>导管母表_860!G783</f>
        <v/>
      </c>
      <c r="M783" t="inlineStr">
        <is>
          <t>视野内部</t>
        </is>
      </c>
      <c r="N783" t="inlineStr">
        <is>
          <t>纳入A/D/Dh；若有Pair_ID则纳入CWR</t>
        </is>
      </c>
      <c r="O783" t="inlineStr">
        <is>
          <t>自动管线检出的合格导管腔。</t>
        </is>
      </c>
      <c r="P783" t="inlineStr">
        <is>
          <t>auto_pipeline;review_png_green</t>
        </is>
      </c>
      <c r="Q783" t="inlineStr">
        <is>
          <t>61(8)-P01</t>
        </is>
      </c>
      <c r="R783" t="inlineStr">
        <is>
          <t>样品61</t>
        </is>
      </c>
    </row>
    <row r="784">
      <c r="A784" t="inlineStr">
        <is>
          <t>62(1)-V01</t>
        </is>
      </c>
      <c r="B784" t="inlineStr">
        <is>
          <t>62 (1).tif</t>
        </is>
      </c>
      <c r="C784" t="n">
        <v>554</v>
      </c>
      <c r="D784" t="n">
        <v>310</v>
      </c>
      <c r="E784" t="inlineStr">
        <is>
          <t>470,237,639,384</t>
        </is>
      </c>
      <c r="F784" t="n">
        <v>237</v>
      </c>
      <c r="G784" t="inlineStr">
        <is>
          <t>primary</t>
        </is>
      </c>
      <c r="H784" t="inlineStr">
        <is>
          <t>AUTO_VESSEL</t>
        </is>
      </c>
      <c r="I784" t="inlineStr">
        <is>
          <t>是</t>
        </is>
      </c>
      <c r="J784" t="inlineStr">
        <is>
          <t>纳入</t>
        </is>
      </c>
      <c r="K784" t="n">
        <v>910.7277882797731</v>
      </c>
      <c r="L784">
        <f>导管母表_860!G784</f>
        <v/>
      </c>
      <c r="M784" t="inlineStr">
        <is>
          <t>视野内部</t>
        </is>
      </c>
      <c r="N784" t="inlineStr">
        <is>
          <t>纳入A/D/Dh；若有Pair_ID则纳入CWR</t>
        </is>
      </c>
      <c r="O784" t="inlineStr">
        <is>
          <t>自动管线检出的合格导管腔。</t>
        </is>
      </c>
      <c r="P784" t="inlineStr">
        <is>
          <t>auto_pipeline;review_png_green</t>
        </is>
      </c>
      <c r="Q784" t="inlineStr">
        <is>
          <t>62(1)-P01</t>
        </is>
      </c>
      <c r="R784" t="inlineStr">
        <is>
          <t>样品62</t>
        </is>
      </c>
    </row>
    <row r="785">
      <c r="A785" t="inlineStr">
        <is>
          <t>62(1)-V02</t>
        </is>
      </c>
      <c r="B785" t="inlineStr">
        <is>
          <t>62 (1).tif</t>
        </is>
      </c>
      <c r="C785" t="n">
        <v>406</v>
      </c>
      <c r="D785" t="n">
        <v>380</v>
      </c>
      <c r="E785" t="inlineStr">
        <is>
          <t>346,326,467,435</t>
        </is>
      </c>
      <c r="F785" t="n">
        <v>326</v>
      </c>
      <c r="G785" t="inlineStr">
        <is>
          <t>primary</t>
        </is>
      </c>
      <c r="H785" t="inlineStr">
        <is>
          <t>AUTO_VESSEL</t>
        </is>
      </c>
      <c r="I785" t="inlineStr">
        <is>
          <t>是</t>
        </is>
      </c>
      <c r="J785" t="inlineStr">
        <is>
          <t>纳入</t>
        </is>
      </c>
      <c r="K785" t="n">
        <v>480.765595463138</v>
      </c>
      <c r="L785">
        <f>导管母表_860!G785</f>
        <v/>
      </c>
      <c r="M785" t="inlineStr">
        <is>
          <t>视野内部</t>
        </is>
      </c>
      <c r="N785" t="inlineStr">
        <is>
          <t>纳入A/D/Dh；若有Pair_ID则纳入CWR</t>
        </is>
      </c>
      <c r="O785" t="inlineStr">
        <is>
          <t>自动管线检出的合格导管腔。</t>
        </is>
      </c>
      <c r="P785" t="inlineStr">
        <is>
          <t>auto_pipeline;review_png_green</t>
        </is>
      </c>
      <c r="Q785" t="inlineStr">
        <is>
          <t>62(1)-P01</t>
        </is>
      </c>
      <c r="R785" t="inlineStr">
        <is>
          <t>样品62</t>
        </is>
      </c>
    </row>
    <row r="786">
      <c r="A786" t="inlineStr">
        <is>
          <t>62(1)-V03</t>
        </is>
      </c>
      <c r="B786" t="inlineStr">
        <is>
          <t>62 (1).tif</t>
        </is>
      </c>
      <c r="C786" t="n">
        <v>949</v>
      </c>
      <c r="D786" t="n">
        <v>326</v>
      </c>
      <c r="E786" t="inlineStr">
        <is>
          <t>891,271,1008,382</t>
        </is>
      </c>
      <c r="F786" t="n">
        <v>16</v>
      </c>
      <c r="G786" t="inlineStr">
        <is>
          <t>primary</t>
        </is>
      </c>
      <c r="H786" t="inlineStr">
        <is>
          <t>AUTO_VESSEL</t>
        </is>
      </c>
      <c r="I786" t="inlineStr">
        <is>
          <t>是</t>
        </is>
      </c>
      <c r="J786" t="inlineStr">
        <is>
          <t>纳入</t>
        </is>
      </c>
      <c r="K786" t="n">
        <v>473.4640831758034</v>
      </c>
      <c r="L786">
        <f>导管母表_860!G786</f>
        <v/>
      </c>
      <c r="M786" t="inlineStr">
        <is>
          <t>近边缘（&lt;25 px）</t>
        </is>
      </c>
      <c r="N786" t="inlineStr">
        <is>
          <t>纳入A/D/Dh；若有Pair_ID则纳入CWR</t>
        </is>
      </c>
      <c r="O786" t="inlineStr">
        <is>
          <t>自动管线检出的合格导管腔。</t>
        </is>
      </c>
      <c r="P786" t="inlineStr">
        <is>
          <t>auto_pipeline;review_png_green</t>
        </is>
      </c>
      <c r="R786" t="inlineStr">
        <is>
          <t>样品62</t>
        </is>
      </c>
    </row>
    <row r="787">
      <c r="A787" t="inlineStr">
        <is>
          <t>62(1)-V04</t>
        </is>
      </c>
      <c r="B787" t="inlineStr">
        <is>
          <t>62 (1).tif</t>
        </is>
      </c>
      <c r="C787" t="n">
        <v>474</v>
      </c>
      <c r="D787" t="n">
        <v>200</v>
      </c>
      <c r="E787" t="inlineStr">
        <is>
          <t>427,172,522,229</t>
        </is>
      </c>
      <c r="F787" t="n">
        <v>172</v>
      </c>
      <c r="G787" t="inlineStr">
        <is>
          <t>primary</t>
        </is>
      </c>
      <c r="H787" t="inlineStr">
        <is>
          <t>AUTO_VESSEL</t>
        </is>
      </c>
      <c r="I787" t="inlineStr">
        <is>
          <t>是</t>
        </is>
      </c>
      <c r="J787" t="inlineStr">
        <is>
          <t>纳入</t>
        </is>
      </c>
      <c r="K787" t="n">
        <v>143.5727788279773</v>
      </c>
      <c r="L787">
        <f>导管母表_860!G787</f>
        <v/>
      </c>
      <c r="M787" t="inlineStr">
        <is>
          <t>视野内部</t>
        </is>
      </c>
      <c r="N787" t="inlineStr">
        <is>
          <t>纳入A/D/Dh；若有Pair_ID则纳入CWR</t>
        </is>
      </c>
      <c r="O787" t="inlineStr">
        <is>
          <t>自动管线检出的合格导管腔。</t>
        </is>
      </c>
      <c r="P787" t="inlineStr">
        <is>
          <t>auto_pipeline;review_png_green</t>
        </is>
      </c>
      <c r="R787" t="inlineStr">
        <is>
          <t>样品62</t>
        </is>
      </c>
    </row>
    <row r="788">
      <c r="A788" t="inlineStr">
        <is>
          <t>62(1)-V05</t>
        </is>
      </c>
      <c r="B788" t="inlineStr">
        <is>
          <t>62 (1).tif</t>
        </is>
      </c>
      <c r="C788" t="n">
        <v>582</v>
      </c>
      <c r="D788" t="n">
        <v>571</v>
      </c>
      <c r="E788" t="inlineStr">
        <is>
          <t>552,546,613,597</t>
        </is>
      </c>
      <c r="F788" t="n">
        <v>171</v>
      </c>
      <c r="G788" t="inlineStr">
        <is>
          <t>primary</t>
        </is>
      </c>
      <c r="H788" t="inlineStr">
        <is>
          <t>AUTO_VESSEL</t>
        </is>
      </c>
      <c r="I788" t="inlineStr">
        <is>
          <t>是</t>
        </is>
      </c>
      <c r="J788" t="inlineStr">
        <is>
          <t>纳入</t>
        </is>
      </c>
      <c r="K788" t="n">
        <v>111.4839319470699</v>
      </c>
      <c r="L788">
        <f>导管母表_860!G788</f>
        <v/>
      </c>
      <c r="M788" t="inlineStr">
        <is>
          <t>视野内部</t>
        </is>
      </c>
      <c r="N788" t="inlineStr">
        <is>
          <t>纳入A/D/Dh；若有Pair_ID则纳入CWR</t>
        </is>
      </c>
      <c r="O788" t="inlineStr">
        <is>
          <t>自动管线检出的合格导管腔。</t>
        </is>
      </c>
      <c r="P788" t="inlineStr">
        <is>
          <t>auto_pipeline;review_png_green</t>
        </is>
      </c>
      <c r="R788" t="inlineStr">
        <is>
          <t>样品62</t>
        </is>
      </c>
    </row>
    <row r="789">
      <c r="A789" t="inlineStr">
        <is>
          <t>62(1)-V06</t>
        </is>
      </c>
      <c r="B789" t="inlineStr">
        <is>
          <t>62 (1).tif</t>
        </is>
      </c>
      <c r="C789" t="n">
        <v>793</v>
      </c>
      <c r="D789" t="n">
        <v>95</v>
      </c>
      <c r="E789" t="inlineStr">
        <is>
          <t>754,75,833,116</t>
        </is>
      </c>
      <c r="F789" t="n">
        <v>75</v>
      </c>
      <c r="G789" t="inlineStr">
        <is>
          <t>primary</t>
        </is>
      </c>
      <c r="H789" t="inlineStr">
        <is>
          <t>AUTO_VESSEL</t>
        </is>
      </c>
      <c r="I789" t="inlineStr">
        <is>
          <t>是</t>
        </is>
      </c>
      <c r="J789" t="inlineStr">
        <is>
          <t>纳入</t>
        </is>
      </c>
      <c r="K789" t="n">
        <v>106.687145557656</v>
      </c>
      <c r="L789">
        <f>导管母表_860!G789</f>
        <v/>
      </c>
      <c r="M789" t="inlineStr">
        <is>
          <t>视野内部</t>
        </is>
      </c>
      <c r="N789" t="inlineStr">
        <is>
          <t>纳入A/D/Dh；若有Pair_ID则纳入CWR</t>
        </is>
      </c>
      <c r="O789" t="inlineStr">
        <is>
          <t>自动管线检出的合格导管腔。</t>
        </is>
      </c>
      <c r="P789" t="inlineStr">
        <is>
          <t>auto_pipeline;review_png_green</t>
        </is>
      </c>
      <c r="R789" t="inlineStr">
        <is>
          <t>样品62</t>
        </is>
      </c>
    </row>
    <row r="790">
      <c r="A790" t="inlineStr">
        <is>
          <t>62(1)-V07</t>
        </is>
      </c>
      <c r="B790" t="inlineStr">
        <is>
          <t>62 (1).tif</t>
        </is>
      </c>
      <c r="C790" t="n">
        <v>659</v>
      </c>
      <c r="D790" t="n">
        <v>596</v>
      </c>
      <c r="E790" t="inlineStr">
        <is>
          <t>622,576,697,617</t>
        </is>
      </c>
      <c r="F790" t="n">
        <v>151</v>
      </c>
      <c r="G790" t="inlineStr">
        <is>
          <t>primary</t>
        </is>
      </c>
      <c r="H790" t="inlineStr">
        <is>
          <t>AUTO_VESSEL</t>
        </is>
      </c>
      <c r="I790" t="inlineStr">
        <is>
          <t>是</t>
        </is>
      </c>
      <c r="J790" t="inlineStr">
        <is>
          <t>纳入</t>
        </is>
      </c>
      <c r="K790" t="n">
        <v>98.06238185255198</v>
      </c>
      <c r="L790">
        <f>导管母表_860!G790</f>
        <v/>
      </c>
      <c r="M790" t="inlineStr">
        <is>
          <t>视野内部</t>
        </is>
      </c>
      <c r="N790" t="inlineStr">
        <is>
          <t>纳入A/D/Dh；若有Pair_ID则纳入CWR</t>
        </is>
      </c>
      <c r="O790" t="inlineStr">
        <is>
          <t>自动管线检出的合格导管腔。</t>
        </is>
      </c>
      <c r="P790" t="inlineStr">
        <is>
          <t>auto_pipeline;review_png_green</t>
        </is>
      </c>
      <c r="R790" t="inlineStr">
        <is>
          <t>样品62</t>
        </is>
      </c>
    </row>
    <row r="791">
      <c r="A791" t="inlineStr">
        <is>
          <t>62(2)-V01</t>
        </is>
      </c>
      <c r="B791" t="inlineStr">
        <is>
          <t>62 (2).tif</t>
        </is>
      </c>
      <c r="C791" t="n">
        <v>441</v>
      </c>
      <c r="D791" t="n">
        <v>435</v>
      </c>
      <c r="E791" t="inlineStr">
        <is>
          <t>376,371,507,500</t>
        </is>
      </c>
      <c r="F791" t="n">
        <v>268</v>
      </c>
      <c r="G791" t="inlineStr">
        <is>
          <t>primary</t>
        </is>
      </c>
      <c r="H791" t="inlineStr">
        <is>
          <t>AUTO_VESSEL</t>
        </is>
      </c>
      <c r="I791" t="inlineStr">
        <is>
          <t>是</t>
        </is>
      </c>
      <c r="J791" t="inlineStr">
        <is>
          <t>纳入</t>
        </is>
      </c>
      <c r="K791" t="n">
        <v>616.8478260869565</v>
      </c>
      <c r="L791">
        <f>导管母表_860!G791</f>
        <v/>
      </c>
      <c r="M791" t="inlineStr">
        <is>
          <t>视野内部</t>
        </is>
      </c>
      <c r="N791" t="inlineStr">
        <is>
          <t>纳入A/D/Dh；若有Pair_ID则纳入CWR</t>
        </is>
      </c>
      <c r="O791" t="inlineStr">
        <is>
          <t>自动管线检出的合格导管腔。</t>
        </is>
      </c>
      <c r="P791" t="inlineStr">
        <is>
          <t>auto_pipeline;review_png_green</t>
        </is>
      </c>
      <c r="Q791" t="inlineStr">
        <is>
          <t>62(2)-P01</t>
        </is>
      </c>
      <c r="R791" t="inlineStr">
        <is>
          <t>样品62</t>
        </is>
      </c>
    </row>
    <row r="792">
      <c r="A792" t="inlineStr">
        <is>
          <t>62(2)-V02</t>
        </is>
      </c>
      <c r="B792" t="inlineStr">
        <is>
          <t>62 (2).tif</t>
        </is>
      </c>
      <c r="C792" t="n">
        <v>85</v>
      </c>
      <c r="D792" t="n">
        <v>461</v>
      </c>
      <c r="E792" t="inlineStr">
        <is>
          <t>26,398,145,525</t>
        </is>
      </c>
      <c r="F792" t="n">
        <v>26</v>
      </c>
      <c r="G792" t="inlineStr">
        <is>
          <t>primary</t>
        </is>
      </c>
      <c r="H792" t="inlineStr">
        <is>
          <t>AUTO_VESSEL</t>
        </is>
      </c>
      <c r="I792" t="inlineStr">
        <is>
          <t>是</t>
        </is>
      </c>
      <c r="J792" t="inlineStr">
        <is>
          <t>纳入</t>
        </is>
      </c>
      <c r="K792" t="n">
        <v>552.0793950850662</v>
      </c>
      <c r="L792">
        <f>导管母表_860!G792</f>
        <v/>
      </c>
      <c r="M792" t="inlineStr">
        <is>
          <t>视野内部</t>
        </is>
      </c>
      <c r="N792" t="inlineStr">
        <is>
          <t>纳入A/D/Dh；若有Pair_ID则纳入CWR</t>
        </is>
      </c>
      <c r="O792" t="inlineStr">
        <is>
          <t>自动管线检出的合格导管腔。</t>
        </is>
      </c>
      <c r="P792" t="inlineStr">
        <is>
          <t>auto_pipeline;review_png_green</t>
        </is>
      </c>
      <c r="R792" t="inlineStr">
        <is>
          <t>样品62</t>
        </is>
      </c>
    </row>
    <row r="793">
      <c r="A793" t="inlineStr">
        <is>
          <t>62(2)-V03</t>
        </is>
      </c>
      <c r="B793" t="inlineStr">
        <is>
          <t>62 (2).tif</t>
        </is>
      </c>
      <c r="C793" t="n">
        <v>520</v>
      </c>
      <c r="D793" t="n">
        <v>317</v>
      </c>
      <c r="E793" t="inlineStr">
        <is>
          <t>466,256,575,379</t>
        </is>
      </c>
      <c r="F793" t="n">
        <v>256</v>
      </c>
      <c r="G793" t="inlineStr">
        <is>
          <t>primary</t>
        </is>
      </c>
      <c r="H793" t="inlineStr">
        <is>
          <t>AUTO_VESSEL</t>
        </is>
      </c>
      <c r="I793" t="inlineStr">
        <is>
          <t>是</t>
        </is>
      </c>
      <c r="J793" t="inlineStr">
        <is>
          <t>纳入</t>
        </is>
      </c>
      <c r="K793" t="n">
        <v>489.0831758034026</v>
      </c>
      <c r="L793">
        <f>导管母表_860!G793</f>
        <v/>
      </c>
      <c r="M793" t="inlineStr">
        <is>
          <t>视野内部</t>
        </is>
      </c>
      <c r="N793" t="inlineStr">
        <is>
          <t>纳入A/D/Dh；若有Pair_ID则纳入CWR</t>
        </is>
      </c>
      <c r="O793" t="inlineStr">
        <is>
          <t>自动管线检出的合格导管腔。</t>
        </is>
      </c>
      <c r="P793" t="inlineStr">
        <is>
          <t>auto_pipeline;review_png_green</t>
        </is>
      </c>
      <c r="Q793" t="inlineStr">
        <is>
          <t>62(2)-P01</t>
        </is>
      </c>
      <c r="R793" t="inlineStr">
        <is>
          <t>样品62</t>
        </is>
      </c>
    </row>
    <row r="794">
      <c r="A794" t="inlineStr">
        <is>
          <t>62(2)-V04</t>
        </is>
      </c>
      <c r="B794" t="inlineStr">
        <is>
          <t>62 (2).tif</t>
        </is>
      </c>
      <c r="C794" t="n">
        <v>340</v>
      </c>
      <c r="D794" t="n">
        <v>407</v>
      </c>
      <c r="E794" t="inlineStr">
        <is>
          <t>307,370,374,445</t>
        </is>
      </c>
      <c r="F794" t="n">
        <v>307</v>
      </c>
      <c r="G794" t="inlineStr">
        <is>
          <t>primary</t>
        </is>
      </c>
      <c r="H794" t="inlineStr">
        <is>
          <t>AUTO_VESSEL</t>
        </is>
      </c>
      <c r="I794" t="inlineStr">
        <is>
          <t>是</t>
        </is>
      </c>
      <c r="J794" t="inlineStr">
        <is>
          <t>纳入</t>
        </is>
      </c>
      <c r="K794" t="n">
        <v>146.4083175803403</v>
      </c>
      <c r="L794">
        <f>导管母表_860!G794</f>
        <v/>
      </c>
      <c r="M794" t="inlineStr">
        <is>
          <t>视野内部</t>
        </is>
      </c>
      <c r="N794" t="inlineStr">
        <is>
          <t>纳入A/D/Dh；若有Pair_ID则纳入CWR</t>
        </is>
      </c>
      <c r="O794" t="inlineStr">
        <is>
          <t>自动管线检出的合格导管腔。</t>
        </is>
      </c>
      <c r="P794" t="inlineStr">
        <is>
          <t>auto_pipeline;review_png_green</t>
        </is>
      </c>
      <c r="R794" t="inlineStr">
        <is>
          <t>样品62</t>
        </is>
      </c>
    </row>
    <row r="795">
      <c r="A795" t="inlineStr">
        <is>
          <t>62(2)-V05</t>
        </is>
      </c>
      <c r="B795" t="inlineStr">
        <is>
          <t>62 (2).tif</t>
        </is>
      </c>
      <c r="C795" t="n">
        <v>548</v>
      </c>
      <c r="D795" t="n">
        <v>418</v>
      </c>
      <c r="E795" t="inlineStr">
        <is>
          <t>517,383,580,454</t>
        </is>
      </c>
      <c r="F795" t="n">
        <v>314</v>
      </c>
      <c r="G795" t="inlineStr">
        <is>
          <t>primary</t>
        </is>
      </c>
      <c r="H795" t="inlineStr">
        <is>
          <t>AUTO_VESSEL</t>
        </is>
      </c>
      <c r="I795" t="inlineStr">
        <is>
          <t>是</t>
        </is>
      </c>
      <c r="J795" t="inlineStr">
        <is>
          <t>纳入</t>
        </is>
      </c>
      <c r="K795" t="n">
        <v>130.6238185255199</v>
      </c>
      <c r="L795">
        <f>导管母表_860!G795</f>
        <v/>
      </c>
      <c r="M795" t="inlineStr">
        <is>
          <t>视野内部</t>
        </is>
      </c>
      <c r="N795" t="inlineStr">
        <is>
          <t>纳入A/D/Dh；若有Pair_ID则纳入CWR</t>
        </is>
      </c>
      <c r="O795" t="inlineStr">
        <is>
          <t>自动管线检出的合格导管腔。</t>
        </is>
      </c>
      <c r="P795" t="inlineStr">
        <is>
          <t>auto_pipeline;review_png_green</t>
        </is>
      </c>
      <c r="R795" t="inlineStr">
        <is>
          <t>样品62</t>
        </is>
      </c>
    </row>
    <row r="796">
      <c r="A796" t="inlineStr">
        <is>
          <t>62(3)-V01</t>
        </is>
      </c>
      <c r="B796" t="inlineStr">
        <is>
          <t>62 (3).tif</t>
        </is>
      </c>
      <c r="C796" t="n">
        <v>444</v>
      </c>
      <c r="D796" t="n">
        <v>458</v>
      </c>
      <c r="E796" t="inlineStr">
        <is>
          <t>364,381,525,536</t>
        </is>
      </c>
      <c r="F796" t="n">
        <v>232</v>
      </c>
      <c r="G796" t="inlineStr">
        <is>
          <t>primary</t>
        </is>
      </c>
      <c r="H796" t="inlineStr">
        <is>
          <t>AUTO_VESSEL</t>
        </is>
      </c>
      <c r="I796" t="inlineStr">
        <is>
          <t>是</t>
        </is>
      </c>
      <c r="J796" t="inlineStr">
        <is>
          <t>纳入</t>
        </is>
      </c>
      <c r="K796" t="n">
        <v>913.6105860113422</v>
      </c>
      <c r="L796">
        <f>导管母表_860!G796</f>
        <v/>
      </c>
      <c r="M796" t="inlineStr">
        <is>
          <t>视野内部</t>
        </is>
      </c>
      <c r="N796" t="inlineStr">
        <is>
          <t>纳入A/D/Dh；若有Pair_ID则纳入CWR</t>
        </is>
      </c>
      <c r="O796" t="inlineStr">
        <is>
          <t>自动管线检出的合格导管腔。</t>
        </is>
      </c>
      <c r="P796" t="inlineStr">
        <is>
          <t>auto_pipeline;review_png_green</t>
        </is>
      </c>
      <c r="Q796" t="inlineStr">
        <is>
          <t>62(3)-P01</t>
        </is>
      </c>
      <c r="R796" t="inlineStr">
        <is>
          <t>样品62</t>
        </is>
      </c>
    </row>
    <row r="797">
      <c r="A797" t="inlineStr">
        <is>
          <t>62(3)-V02</t>
        </is>
      </c>
      <c r="B797" t="inlineStr">
        <is>
          <t>62 (3).tif</t>
        </is>
      </c>
      <c r="C797" t="n">
        <v>144</v>
      </c>
      <c r="D797" t="n">
        <v>578</v>
      </c>
      <c r="E797" t="inlineStr">
        <is>
          <t>80,514,209,643</t>
        </is>
      </c>
      <c r="F797" t="n">
        <v>80</v>
      </c>
      <c r="G797" t="inlineStr">
        <is>
          <t>primary</t>
        </is>
      </c>
      <c r="H797" t="inlineStr">
        <is>
          <t>AUTO_VESSEL</t>
        </is>
      </c>
      <c r="I797" t="inlineStr">
        <is>
          <t>是</t>
        </is>
      </c>
      <c r="J797" t="inlineStr">
        <is>
          <t>纳入</t>
        </is>
      </c>
      <c r="K797" t="n">
        <v>590.2410207939508</v>
      </c>
      <c r="L797">
        <f>导管母表_860!G797</f>
        <v/>
      </c>
      <c r="M797" t="inlineStr">
        <is>
          <t>视野内部</t>
        </is>
      </c>
      <c r="N797" t="inlineStr">
        <is>
          <t>纳入A/D/Dh；若有Pair_ID则纳入CWR</t>
        </is>
      </c>
      <c r="O797" t="inlineStr">
        <is>
          <t>自动管线检出的合格导管腔。</t>
        </is>
      </c>
      <c r="P797" t="inlineStr">
        <is>
          <t>auto_pipeline;review_png_green</t>
        </is>
      </c>
      <c r="R797" t="inlineStr">
        <is>
          <t>样品62</t>
        </is>
      </c>
    </row>
    <row r="798">
      <c r="A798" t="inlineStr">
        <is>
          <t>62(3)-V03</t>
        </is>
      </c>
      <c r="B798" t="inlineStr">
        <is>
          <t>62 (3).tif</t>
        </is>
      </c>
      <c r="C798" t="n">
        <v>531</v>
      </c>
      <c r="D798" t="n">
        <v>330</v>
      </c>
      <c r="E798" t="inlineStr">
        <is>
          <t>468,271,595,390</t>
        </is>
      </c>
      <c r="F798" t="n">
        <v>271</v>
      </c>
      <c r="G798" t="inlineStr">
        <is>
          <t>primary</t>
        </is>
      </c>
      <c r="H798" t="inlineStr">
        <is>
          <t>AUTO_VESSEL</t>
        </is>
      </c>
      <c r="I798" t="inlineStr">
        <is>
          <t>是</t>
        </is>
      </c>
      <c r="J798" t="inlineStr">
        <is>
          <t>纳入</t>
        </is>
      </c>
      <c r="K798" t="n">
        <v>549.1493383742911</v>
      </c>
      <c r="L798">
        <f>导管母表_860!G798</f>
        <v/>
      </c>
      <c r="M798" t="inlineStr">
        <is>
          <t>视野内部</t>
        </is>
      </c>
      <c r="N798" t="inlineStr">
        <is>
          <t>纳入A/D/Dh；若有Pair_ID则纳入CWR</t>
        </is>
      </c>
      <c r="O798" t="inlineStr">
        <is>
          <t>自动管线检出的合格导管腔。</t>
        </is>
      </c>
      <c r="P798" t="inlineStr">
        <is>
          <t>auto_pipeline;review_png_green</t>
        </is>
      </c>
      <c r="Q798" t="inlineStr">
        <is>
          <t>62(3)-P01</t>
        </is>
      </c>
      <c r="R798" t="inlineStr">
        <is>
          <t>样品62</t>
        </is>
      </c>
    </row>
    <row r="799">
      <c r="A799" t="inlineStr">
        <is>
          <t>62(3)-V04</t>
        </is>
      </c>
      <c r="B799" t="inlineStr">
        <is>
          <t>62 (3).tif</t>
        </is>
      </c>
      <c r="C799" t="n">
        <v>749</v>
      </c>
      <c r="D799" t="n">
        <v>57</v>
      </c>
      <c r="E799" t="inlineStr">
        <is>
          <t>694,16,805,99</t>
        </is>
      </c>
      <c r="F799" t="n">
        <v>16</v>
      </c>
      <c r="G799" t="inlineStr">
        <is>
          <t>primary</t>
        </is>
      </c>
      <c r="H799" t="inlineStr">
        <is>
          <t>AUTO_VESSEL</t>
        </is>
      </c>
      <c r="I799" t="inlineStr">
        <is>
          <t>是</t>
        </is>
      </c>
      <c r="J799" t="inlineStr">
        <is>
          <t>纳入</t>
        </is>
      </c>
      <c r="K799" t="n">
        <v>334.0737240075615</v>
      </c>
      <c r="L799">
        <f>导管母表_860!G799</f>
        <v/>
      </c>
      <c r="M799" t="inlineStr">
        <is>
          <t>近边缘（&lt;25 px）</t>
        </is>
      </c>
      <c r="N799" t="inlineStr">
        <is>
          <t>纳入A/D/Dh；若有Pair_ID则纳入CWR</t>
        </is>
      </c>
      <c r="O799" t="inlineStr">
        <is>
          <t>自动管线检出的合格导管腔。</t>
        </is>
      </c>
      <c r="P799" t="inlineStr">
        <is>
          <t>auto_pipeline;review_png_green</t>
        </is>
      </c>
      <c r="R799" t="inlineStr">
        <is>
          <t>样品62</t>
        </is>
      </c>
    </row>
    <row r="800">
      <c r="A800" t="inlineStr">
        <is>
          <t>62(3)-V05</t>
        </is>
      </c>
      <c r="B800" t="inlineStr">
        <is>
          <t>62 (3).tif</t>
        </is>
      </c>
      <c r="C800" t="n">
        <v>564</v>
      </c>
      <c r="D800" t="n">
        <v>358</v>
      </c>
      <c r="E800" t="inlineStr">
        <is>
          <t>535,329,594,388</t>
        </is>
      </c>
      <c r="F800" t="n">
        <v>329</v>
      </c>
      <c r="G800" t="inlineStr">
        <is>
          <t>primary</t>
        </is>
      </c>
      <c r="H800" t="inlineStr">
        <is>
          <t>AUTO_VESSEL</t>
        </is>
      </c>
      <c r="I800" t="inlineStr">
        <is>
          <t>是</t>
        </is>
      </c>
      <c r="J800" t="inlineStr">
        <is>
          <t>纳入</t>
        </is>
      </c>
      <c r="K800" t="n">
        <v>116.2570888468809</v>
      </c>
      <c r="L800">
        <f>导管母表_860!G800</f>
        <v/>
      </c>
      <c r="M800" t="inlineStr">
        <is>
          <t>视野内部</t>
        </is>
      </c>
      <c r="N800" t="inlineStr">
        <is>
          <t>纳入A/D/Dh；若有Pair_ID则纳入CWR</t>
        </is>
      </c>
      <c r="O800" t="inlineStr">
        <is>
          <t>自动管线检出的合格导管腔。</t>
        </is>
      </c>
      <c r="P800" t="inlineStr">
        <is>
          <t>auto_pipeline;review_png_green</t>
        </is>
      </c>
      <c r="R800" t="inlineStr">
        <is>
          <t>样品62</t>
        </is>
      </c>
    </row>
    <row r="801">
      <c r="A801" t="inlineStr">
        <is>
          <t>62(4)-V01</t>
        </is>
      </c>
      <c r="B801" t="inlineStr">
        <is>
          <t>62 (4).tif</t>
        </is>
      </c>
      <c r="C801" t="n">
        <v>441</v>
      </c>
      <c r="D801" t="n">
        <v>389</v>
      </c>
      <c r="E801" t="inlineStr">
        <is>
          <t>377,323,506,456</t>
        </is>
      </c>
      <c r="F801" t="n">
        <v>312</v>
      </c>
      <c r="G801" t="inlineStr">
        <is>
          <t>primary</t>
        </is>
      </c>
      <c r="H801" t="inlineStr">
        <is>
          <t>AUTO_VESSEL</t>
        </is>
      </c>
      <c r="I801" t="inlineStr">
        <is>
          <t>是</t>
        </is>
      </c>
      <c r="J801" t="inlineStr">
        <is>
          <t>纳入</t>
        </is>
      </c>
      <c r="K801" t="n">
        <v>626.1342155009452</v>
      </c>
      <c r="L801">
        <f>导管母表_860!G801</f>
        <v/>
      </c>
      <c r="M801" t="inlineStr">
        <is>
          <t>视野内部</t>
        </is>
      </c>
      <c r="N801" t="inlineStr">
        <is>
          <t>纳入A/D/Dh；若有Pair_ID则纳入CWR</t>
        </is>
      </c>
      <c r="O801" t="inlineStr">
        <is>
          <t>自动管线检出的合格导管腔。</t>
        </is>
      </c>
      <c r="P801" t="inlineStr">
        <is>
          <t>auto_pipeline;review_png_green</t>
        </is>
      </c>
      <c r="Q801" t="inlineStr">
        <is>
          <t>62(4)-P01</t>
        </is>
      </c>
      <c r="R801" t="inlineStr">
        <is>
          <t>样品62</t>
        </is>
      </c>
    </row>
    <row r="802">
      <c r="A802" t="inlineStr">
        <is>
          <t>62(4)-V02</t>
        </is>
      </c>
      <c r="B802" t="inlineStr">
        <is>
          <t>62 (4).tif</t>
        </is>
      </c>
      <c r="C802" t="n">
        <v>551</v>
      </c>
      <c r="D802" t="n">
        <v>302</v>
      </c>
      <c r="E802" t="inlineStr">
        <is>
          <t>500,242,603,363</t>
        </is>
      </c>
      <c r="F802" t="n">
        <v>242</v>
      </c>
      <c r="G802" t="inlineStr">
        <is>
          <t>primary</t>
        </is>
      </c>
      <c r="H802" t="inlineStr">
        <is>
          <t>AUTO_VESSEL</t>
        </is>
      </c>
      <c r="I802" t="inlineStr">
        <is>
          <t>是</t>
        </is>
      </c>
      <c r="J802" t="inlineStr">
        <is>
          <t>纳入</t>
        </is>
      </c>
      <c r="K802" t="n">
        <v>453.2136105860113</v>
      </c>
      <c r="L802">
        <f>导管母表_860!G802</f>
        <v/>
      </c>
      <c r="M802" t="inlineStr">
        <is>
          <t>视野内部</t>
        </is>
      </c>
      <c r="N802" t="inlineStr">
        <is>
          <t>纳入A/D/Dh；若有Pair_ID则纳入CWR</t>
        </is>
      </c>
      <c r="O802" t="inlineStr">
        <is>
          <t>自动管线检出的合格导管腔。</t>
        </is>
      </c>
      <c r="P802" t="inlineStr">
        <is>
          <t>auto_pipeline;review_png_green</t>
        </is>
      </c>
      <c r="Q802" t="inlineStr">
        <is>
          <t>62(4)-P01</t>
        </is>
      </c>
      <c r="R802" t="inlineStr">
        <is>
          <t>样品62</t>
        </is>
      </c>
    </row>
    <row r="803">
      <c r="A803" t="inlineStr">
        <is>
          <t>62(4)-V03</t>
        </is>
      </c>
      <c r="B803" t="inlineStr">
        <is>
          <t>62 (4).tif</t>
        </is>
      </c>
      <c r="C803" t="n">
        <v>63</v>
      </c>
      <c r="D803" t="n">
        <v>313</v>
      </c>
      <c r="E803" t="inlineStr">
        <is>
          <t>8,260,119,367</t>
        </is>
      </c>
      <c r="F803" t="n">
        <v>8</v>
      </c>
      <c r="G803" t="inlineStr">
        <is>
          <t>primary</t>
        </is>
      </c>
      <c r="H803" t="inlineStr">
        <is>
          <t>AUTO_VESSEL</t>
        </is>
      </c>
      <c r="I803" t="inlineStr">
        <is>
          <t>是</t>
        </is>
      </c>
      <c r="J803" t="inlineStr">
        <is>
          <t>纳入</t>
        </is>
      </c>
      <c r="K803" t="n">
        <v>429.9858223062382</v>
      </c>
      <c r="L803">
        <f>导管母表_860!G803</f>
        <v/>
      </c>
      <c r="M803" t="inlineStr">
        <is>
          <t>近边缘（&lt;25 px）</t>
        </is>
      </c>
      <c r="N803" t="inlineStr">
        <is>
          <t>纳入A/D/Dh；若有Pair_ID则纳入CWR</t>
        </is>
      </c>
      <c r="O803" t="inlineStr">
        <is>
          <t>自动管线检出的合格导管腔。</t>
        </is>
      </c>
      <c r="P803" t="inlineStr">
        <is>
          <t>auto_pipeline;review_png_green</t>
        </is>
      </c>
      <c r="R803" t="inlineStr">
        <is>
          <t>样品62</t>
        </is>
      </c>
    </row>
    <row r="804">
      <c r="A804" t="inlineStr">
        <is>
          <t>62(4)-V04</t>
        </is>
      </c>
      <c r="B804" t="inlineStr">
        <is>
          <t>62 (4).tif</t>
        </is>
      </c>
      <c r="C804" t="n">
        <v>843</v>
      </c>
      <c r="D804" t="n">
        <v>130</v>
      </c>
      <c r="E804" t="inlineStr">
        <is>
          <t>806,102,881,159</t>
        </is>
      </c>
      <c r="F804" t="n">
        <v>102</v>
      </c>
      <c r="G804" t="inlineStr">
        <is>
          <t>primary</t>
        </is>
      </c>
      <c r="H804" t="inlineStr">
        <is>
          <t>AUTO_VESSEL</t>
        </is>
      </c>
      <c r="I804" t="inlineStr">
        <is>
          <t>是</t>
        </is>
      </c>
      <c r="J804" t="inlineStr">
        <is>
          <t>纳入</t>
        </is>
      </c>
      <c r="K804" t="n">
        <v>150.968809073724</v>
      </c>
      <c r="L804">
        <f>导管母表_860!G804</f>
        <v/>
      </c>
      <c r="M804" t="inlineStr">
        <is>
          <t>视野内部</t>
        </is>
      </c>
      <c r="N804" t="inlineStr">
        <is>
          <t>纳入A/D/Dh；若有Pair_ID则纳入CWR</t>
        </is>
      </c>
      <c r="O804" t="inlineStr">
        <is>
          <t>自动管线检出的合格导管腔。</t>
        </is>
      </c>
      <c r="P804" t="inlineStr">
        <is>
          <t>auto_pipeline;review_png_green</t>
        </is>
      </c>
      <c r="R804" t="inlineStr">
        <is>
          <t>样品62</t>
        </is>
      </c>
    </row>
    <row r="805">
      <c r="A805" t="inlineStr">
        <is>
          <t>62(4)-V05</t>
        </is>
      </c>
      <c r="B805" t="inlineStr">
        <is>
          <t>62 (4).tif</t>
        </is>
      </c>
      <c r="C805" t="n">
        <v>598</v>
      </c>
      <c r="D805" t="n">
        <v>357</v>
      </c>
      <c r="E805" t="inlineStr">
        <is>
          <t>573,332,624,383</t>
        </is>
      </c>
      <c r="F805" t="n">
        <v>332</v>
      </c>
      <c r="G805" t="inlineStr">
        <is>
          <t>primary</t>
        </is>
      </c>
      <c r="H805" t="inlineStr">
        <is>
          <t>AUTO_VESSEL</t>
        </is>
      </c>
      <c r="I805" t="inlineStr">
        <is>
          <t>是</t>
        </is>
      </c>
      <c r="J805" t="inlineStr">
        <is>
          <t>纳入</t>
        </is>
      </c>
      <c r="K805" t="n">
        <v>77.9773156899811</v>
      </c>
      <c r="L805">
        <f>导管母表_860!G805</f>
        <v/>
      </c>
      <c r="M805" t="inlineStr">
        <is>
          <t>视野内部</t>
        </is>
      </c>
      <c r="N805" t="inlineStr">
        <is>
          <t>纳入A/D/Dh；若有Pair_ID则纳入CWR</t>
        </is>
      </c>
      <c r="O805" t="inlineStr">
        <is>
          <t>自动管线检出的合格导管腔。</t>
        </is>
      </c>
      <c r="P805" t="inlineStr">
        <is>
          <t>auto_pipeline;review_png_green</t>
        </is>
      </c>
      <c r="R805" t="inlineStr">
        <is>
          <t>样品62</t>
        </is>
      </c>
    </row>
    <row r="806">
      <c r="A806" t="inlineStr">
        <is>
          <t>62(5)-V01</t>
        </is>
      </c>
      <c r="B806" t="inlineStr">
        <is>
          <t>62 (5).tif</t>
        </is>
      </c>
      <c r="C806" t="n">
        <v>446</v>
      </c>
      <c r="D806" t="n">
        <v>362</v>
      </c>
      <c r="E806" t="inlineStr">
        <is>
          <t>372,297,521,428</t>
        </is>
      </c>
      <c r="F806" t="n">
        <v>297</v>
      </c>
      <c r="G806" t="inlineStr">
        <is>
          <t>primary</t>
        </is>
      </c>
      <c r="H806" t="inlineStr">
        <is>
          <t>AUTO_VESSEL</t>
        </is>
      </c>
      <c r="I806" t="inlineStr">
        <is>
          <t>是</t>
        </is>
      </c>
      <c r="J806" t="inlineStr">
        <is>
          <t>纳入</t>
        </is>
      </c>
      <c r="K806" t="n">
        <v>713.2561436672968</v>
      </c>
      <c r="L806">
        <f>导管母表_860!G806</f>
        <v/>
      </c>
      <c r="M806" t="inlineStr">
        <is>
          <t>视野内部</t>
        </is>
      </c>
      <c r="N806" t="inlineStr">
        <is>
          <t>纳入A/D/Dh；若有Pair_ID则纳入CWR</t>
        </is>
      </c>
      <c r="O806" t="inlineStr">
        <is>
          <t>自动管线检出的合格导管腔。</t>
        </is>
      </c>
      <c r="P806" t="inlineStr">
        <is>
          <t>auto_pipeline;review_png_green</t>
        </is>
      </c>
      <c r="Q806" t="inlineStr">
        <is>
          <t>62(5)-P01</t>
        </is>
      </c>
      <c r="R806" t="inlineStr">
        <is>
          <t>样品62</t>
        </is>
      </c>
    </row>
    <row r="807">
      <c r="A807" t="inlineStr">
        <is>
          <t>62(5)-V02</t>
        </is>
      </c>
      <c r="B807" t="inlineStr">
        <is>
          <t>62 (5).tif</t>
        </is>
      </c>
      <c r="C807" t="n">
        <v>586</v>
      </c>
      <c r="D807" t="n">
        <v>291</v>
      </c>
      <c r="E807" t="inlineStr">
        <is>
          <t>523,228,650,355</t>
        </is>
      </c>
      <c r="F807" t="n">
        <v>228</v>
      </c>
      <c r="G807" t="inlineStr">
        <is>
          <t>primary</t>
        </is>
      </c>
      <c r="H807" t="inlineStr">
        <is>
          <t>AUTO_VESSEL</t>
        </is>
      </c>
      <c r="I807" t="inlineStr">
        <is>
          <t>是</t>
        </is>
      </c>
      <c r="J807" t="inlineStr">
        <is>
          <t>纳入</t>
        </is>
      </c>
      <c r="K807" t="n">
        <v>587.6890359168242</v>
      </c>
      <c r="L807">
        <f>导管母表_860!G807</f>
        <v/>
      </c>
      <c r="M807" t="inlineStr">
        <is>
          <t>视野内部</t>
        </is>
      </c>
      <c r="N807" t="inlineStr">
        <is>
          <t>纳入A/D/Dh；若有Pair_ID则纳入CWR</t>
        </is>
      </c>
      <c r="O807" t="inlineStr">
        <is>
          <t>自动管线检出的合格导管腔。</t>
        </is>
      </c>
      <c r="P807" t="inlineStr">
        <is>
          <t>auto_pipeline;review_png_green</t>
        </is>
      </c>
      <c r="Q807" t="inlineStr">
        <is>
          <t>62(5)-P01</t>
        </is>
      </c>
      <c r="R807" t="inlineStr">
        <is>
          <t>样品62</t>
        </is>
      </c>
    </row>
    <row r="808">
      <c r="A808" t="inlineStr">
        <is>
          <t>62(5)-V03</t>
        </is>
      </c>
      <c r="B808" t="inlineStr">
        <is>
          <t>62 (5).tif</t>
        </is>
      </c>
      <c r="C808" t="n">
        <v>96</v>
      </c>
      <c r="D808" t="n">
        <v>284</v>
      </c>
      <c r="E808" t="inlineStr">
        <is>
          <t>27,228,166,341</t>
        </is>
      </c>
      <c r="F808" t="n">
        <v>27</v>
      </c>
      <c r="G808" t="inlineStr">
        <is>
          <t>primary</t>
        </is>
      </c>
      <c r="H808" t="inlineStr">
        <is>
          <t>AUTO_VESSEL</t>
        </is>
      </c>
      <c r="I808" t="inlineStr">
        <is>
          <t>是</t>
        </is>
      </c>
      <c r="J808" t="inlineStr">
        <is>
          <t>纳入</t>
        </is>
      </c>
      <c r="K808" t="n">
        <v>571.9754253308129</v>
      </c>
      <c r="L808">
        <f>导管母表_860!G808</f>
        <v/>
      </c>
      <c r="M808" t="inlineStr">
        <is>
          <t>视野内部</t>
        </is>
      </c>
      <c r="N808" t="inlineStr">
        <is>
          <t>纳入A/D/Dh；若有Pair_ID则纳入CWR</t>
        </is>
      </c>
      <c r="O808" t="inlineStr">
        <is>
          <t>自动管线检出的合格导管腔。</t>
        </is>
      </c>
      <c r="P808" t="inlineStr">
        <is>
          <t>auto_pipeline;review_png_green</t>
        </is>
      </c>
      <c r="R808" t="inlineStr">
        <is>
          <t>样品62</t>
        </is>
      </c>
    </row>
    <row r="809">
      <c r="A809" t="inlineStr">
        <is>
          <t>62(5)-V04</t>
        </is>
      </c>
      <c r="B809" t="inlineStr">
        <is>
          <t>62 (5).tif</t>
        </is>
      </c>
      <c r="C809" t="n">
        <v>952</v>
      </c>
      <c r="D809" t="n">
        <v>500</v>
      </c>
      <c r="E809" t="inlineStr">
        <is>
          <t>893,443,1012,558</t>
        </is>
      </c>
      <c r="F809" t="n">
        <v>12</v>
      </c>
      <c r="G809" t="inlineStr">
        <is>
          <t>primary</t>
        </is>
      </c>
      <c r="H809" t="inlineStr">
        <is>
          <t>AUTO_VESSEL</t>
        </is>
      </c>
      <c r="I809" t="inlineStr">
        <is>
          <t>是</t>
        </is>
      </c>
      <c r="J809" t="inlineStr">
        <is>
          <t>纳入</t>
        </is>
      </c>
      <c r="K809" t="n">
        <v>482.5378071833649</v>
      </c>
      <c r="L809">
        <f>导管母表_860!G809</f>
        <v/>
      </c>
      <c r="M809" t="inlineStr">
        <is>
          <t>近边缘（&lt;25 px）</t>
        </is>
      </c>
      <c r="N809" t="inlineStr">
        <is>
          <t>纳入A/D/Dh；若有Pair_ID则纳入CWR</t>
        </is>
      </c>
      <c r="O809" t="inlineStr">
        <is>
          <t>自动管线检出的合格导管腔。</t>
        </is>
      </c>
      <c r="P809" t="inlineStr">
        <is>
          <t>auto_pipeline;review_png_green</t>
        </is>
      </c>
      <c r="R809" t="inlineStr">
        <is>
          <t>样品62</t>
        </is>
      </c>
    </row>
    <row r="810">
      <c r="A810" t="inlineStr">
        <is>
          <t>62(5)-V05</t>
        </is>
      </c>
      <c r="B810" t="inlineStr">
        <is>
          <t>62 (5).tif</t>
        </is>
      </c>
      <c r="C810" t="n">
        <v>756</v>
      </c>
      <c r="D810" t="n">
        <v>622</v>
      </c>
      <c r="E810" t="inlineStr">
        <is>
          <t>699,593,814,652</t>
        </is>
      </c>
      <c r="F810" t="n">
        <v>116</v>
      </c>
      <c r="G810" t="inlineStr">
        <is>
          <t>primary</t>
        </is>
      </c>
      <c r="H810" t="inlineStr">
        <is>
          <t>AUTO_VESSEL</t>
        </is>
      </c>
      <c r="I810" t="inlineStr">
        <is>
          <t>是</t>
        </is>
      </c>
      <c r="J810" t="inlineStr">
        <is>
          <t>纳入</t>
        </is>
      </c>
      <c r="K810" t="n">
        <v>218.9744801512287</v>
      </c>
      <c r="L810">
        <f>导管母表_860!G810</f>
        <v/>
      </c>
      <c r="M810" t="inlineStr">
        <is>
          <t>视野内部</t>
        </is>
      </c>
      <c r="N810" t="inlineStr">
        <is>
          <t>纳入A/D/Dh；若有Pair_ID则纳入CWR</t>
        </is>
      </c>
      <c r="O810" t="inlineStr">
        <is>
          <t>自动管线检出的合格导管腔。</t>
        </is>
      </c>
      <c r="P810" t="inlineStr">
        <is>
          <t>auto_pipeline;review_png_green</t>
        </is>
      </c>
      <c r="R810" t="inlineStr">
        <is>
          <t>样品62</t>
        </is>
      </c>
    </row>
    <row r="811">
      <c r="A811" t="inlineStr">
        <is>
          <t>62(5)-V06</t>
        </is>
      </c>
      <c r="B811" t="inlineStr">
        <is>
          <t>62 (5).tif</t>
        </is>
      </c>
      <c r="C811" t="n">
        <v>434</v>
      </c>
      <c r="D811" t="n">
        <v>199</v>
      </c>
      <c r="E811" t="inlineStr">
        <is>
          <t>392,175,477,224</t>
        </is>
      </c>
      <c r="F811" t="n">
        <v>175</v>
      </c>
      <c r="G811" t="inlineStr">
        <is>
          <t>primary</t>
        </is>
      </c>
      <c r="H811" t="inlineStr">
        <is>
          <t>AUTO_VESSEL</t>
        </is>
      </c>
      <c r="I811" t="inlineStr">
        <is>
          <t>是</t>
        </is>
      </c>
      <c r="J811" t="inlineStr">
        <is>
          <t>纳入</t>
        </is>
      </c>
      <c r="K811" t="n">
        <v>120.4395085066163</v>
      </c>
      <c r="L811">
        <f>导管母表_860!G811</f>
        <v/>
      </c>
      <c r="M811" t="inlineStr">
        <is>
          <t>视野内部</t>
        </is>
      </c>
      <c r="N811" t="inlineStr">
        <is>
          <t>纳入A/D/Dh；若有Pair_ID则纳入CWR</t>
        </is>
      </c>
      <c r="O811" t="inlineStr">
        <is>
          <t>自动管线检出的合格导管腔。</t>
        </is>
      </c>
      <c r="P811" t="inlineStr">
        <is>
          <t>auto_pipeline;review_png_green</t>
        </is>
      </c>
      <c r="R811" t="inlineStr">
        <is>
          <t>样品62</t>
        </is>
      </c>
    </row>
    <row r="812">
      <c r="A812" t="inlineStr">
        <is>
          <t>62(6)-V01</t>
        </is>
      </c>
      <c r="B812" t="inlineStr">
        <is>
          <t>62 (6).tif</t>
        </is>
      </c>
      <c r="C812" t="n">
        <v>418</v>
      </c>
      <c r="D812" t="n">
        <v>367</v>
      </c>
      <c r="E812" t="inlineStr">
        <is>
          <t>337,284,500,451</t>
        </is>
      </c>
      <c r="F812" t="n">
        <v>284</v>
      </c>
      <c r="G812" t="inlineStr">
        <is>
          <t>primary</t>
        </is>
      </c>
      <c r="H812" t="inlineStr">
        <is>
          <t>AUTO_VESSEL</t>
        </is>
      </c>
      <c r="I812" t="inlineStr">
        <is>
          <t>是</t>
        </is>
      </c>
      <c r="J812" t="inlineStr">
        <is>
          <t>纳入</t>
        </is>
      </c>
      <c r="K812" t="n">
        <v>997.117202268431</v>
      </c>
      <c r="L812">
        <f>导管母表_860!G812</f>
        <v/>
      </c>
      <c r="M812" t="inlineStr">
        <is>
          <t>视野内部</t>
        </is>
      </c>
      <c r="N812" t="inlineStr">
        <is>
          <t>纳入A/D/Dh；若有Pair_ID则纳入CWR</t>
        </is>
      </c>
      <c r="O812" t="inlineStr">
        <is>
          <t>自动管线检出的合格导管腔。</t>
        </is>
      </c>
      <c r="P812" t="inlineStr">
        <is>
          <t>auto_pipeline;review_png_green</t>
        </is>
      </c>
      <c r="Q812" t="inlineStr">
        <is>
          <t>62(6)-P01</t>
        </is>
      </c>
      <c r="R812" t="inlineStr">
        <is>
          <t>样品62</t>
        </is>
      </c>
    </row>
    <row r="813">
      <c r="A813" t="inlineStr">
        <is>
          <t>62(6)-V02</t>
        </is>
      </c>
      <c r="B813" t="inlineStr">
        <is>
          <t>62 (6).tif</t>
        </is>
      </c>
      <c r="C813" t="n">
        <v>589</v>
      </c>
      <c r="D813" t="n">
        <v>388</v>
      </c>
      <c r="E813" t="inlineStr">
        <is>
          <t>509,306,670,471</t>
        </is>
      </c>
      <c r="F813" t="n">
        <v>297</v>
      </c>
      <c r="G813" t="inlineStr">
        <is>
          <t>primary</t>
        </is>
      </c>
      <c r="H813" t="inlineStr">
        <is>
          <t>AUTO_VESSEL</t>
        </is>
      </c>
      <c r="I813" t="inlineStr">
        <is>
          <t>是</t>
        </is>
      </c>
      <c r="J813" t="inlineStr">
        <is>
          <t>纳入</t>
        </is>
      </c>
      <c r="K813" t="n">
        <v>973.5586011342155</v>
      </c>
      <c r="L813">
        <f>导管母表_860!G813</f>
        <v/>
      </c>
      <c r="M813" t="inlineStr">
        <is>
          <t>视野内部</t>
        </is>
      </c>
      <c r="N813" t="inlineStr">
        <is>
          <t>纳入A/D/Dh；若有Pair_ID则纳入CWR</t>
        </is>
      </c>
      <c r="O813" t="inlineStr">
        <is>
          <t>自动管线检出的合格导管腔。</t>
        </is>
      </c>
      <c r="P813" t="inlineStr">
        <is>
          <t>auto_pipeline;review_png_green</t>
        </is>
      </c>
      <c r="Q813" t="inlineStr">
        <is>
          <t>62(6)-P01</t>
        </is>
      </c>
      <c r="R813" t="inlineStr">
        <is>
          <t>样品62</t>
        </is>
      </c>
    </row>
    <row r="814">
      <c r="A814" t="inlineStr">
        <is>
          <t>62(7)-V01</t>
        </is>
      </c>
      <c r="B814" t="inlineStr">
        <is>
          <t>62 (7).tif</t>
        </is>
      </c>
      <c r="C814" t="n">
        <v>591</v>
      </c>
      <c r="D814" t="n">
        <v>415</v>
      </c>
      <c r="E814" t="inlineStr">
        <is>
          <t>510,335,673,496</t>
        </is>
      </c>
      <c r="F814" t="n">
        <v>272</v>
      </c>
      <c r="G814" t="inlineStr">
        <is>
          <t>primary</t>
        </is>
      </c>
      <c r="H814" t="inlineStr">
        <is>
          <t>AUTO_VESSEL</t>
        </is>
      </c>
      <c r="I814" t="inlineStr">
        <is>
          <t>是</t>
        </is>
      </c>
      <c r="J814" t="inlineStr">
        <is>
          <t>纳入</t>
        </is>
      </c>
      <c r="K814" t="n">
        <v>961.5311909262759</v>
      </c>
      <c r="L814">
        <f>导管母表_860!G814</f>
        <v/>
      </c>
      <c r="M814" t="inlineStr">
        <is>
          <t>视野内部</t>
        </is>
      </c>
      <c r="N814" t="inlineStr">
        <is>
          <t>纳入A/D/Dh；若有Pair_ID则纳入CWR</t>
        </is>
      </c>
      <c r="O814" t="inlineStr">
        <is>
          <t>自动管线检出的合格导管腔。</t>
        </is>
      </c>
      <c r="P814" t="inlineStr">
        <is>
          <t>auto_pipeline;review_png_green</t>
        </is>
      </c>
      <c r="Q814" t="inlineStr">
        <is>
          <t>62(7)-P01</t>
        </is>
      </c>
      <c r="R814" t="inlineStr">
        <is>
          <t>样品62</t>
        </is>
      </c>
    </row>
    <row r="815">
      <c r="A815" t="inlineStr">
        <is>
          <t>62(7)-V02</t>
        </is>
      </c>
      <c r="B815" t="inlineStr">
        <is>
          <t>62 (7).tif</t>
        </is>
      </c>
      <c r="C815" t="n">
        <v>438</v>
      </c>
      <c r="D815" t="n">
        <v>317</v>
      </c>
      <c r="E815" t="inlineStr">
        <is>
          <t>360,235,517,400</t>
        </is>
      </c>
      <c r="F815" t="n">
        <v>235</v>
      </c>
      <c r="G815" t="inlineStr">
        <is>
          <t>primary</t>
        </is>
      </c>
      <c r="H815" t="inlineStr">
        <is>
          <t>AUTO_VESSEL</t>
        </is>
      </c>
      <c r="I815" t="inlineStr">
        <is>
          <t>是</t>
        </is>
      </c>
      <c r="J815" t="inlineStr">
        <is>
          <t>纳入</t>
        </is>
      </c>
      <c r="K815" t="n">
        <v>947.3298676748582</v>
      </c>
      <c r="L815">
        <f>导管母表_860!G815</f>
        <v/>
      </c>
      <c r="M815" t="inlineStr">
        <is>
          <t>视野内部</t>
        </is>
      </c>
      <c r="N815" t="inlineStr">
        <is>
          <t>纳入A/D/Dh；若有Pair_ID则纳入CWR</t>
        </is>
      </c>
      <c r="O815" t="inlineStr">
        <is>
          <t>自动管线检出的合格导管腔。</t>
        </is>
      </c>
      <c r="P815" t="inlineStr">
        <is>
          <t>auto_pipeline;review_png_green</t>
        </is>
      </c>
      <c r="Q815" t="inlineStr">
        <is>
          <t>62(7)-P01</t>
        </is>
      </c>
      <c r="R815" t="inlineStr">
        <is>
          <t>样品62</t>
        </is>
      </c>
    </row>
    <row r="816">
      <c r="A816" t="inlineStr">
        <is>
          <t>62(7)-V03</t>
        </is>
      </c>
      <c r="B816" t="inlineStr">
        <is>
          <t>62 (7).tif</t>
        </is>
      </c>
      <c r="C816" t="n">
        <v>778</v>
      </c>
      <c r="D816" t="n">
        <v>572</v>
      </c>
      <c r="E816" t="inlineStr">
        <is>
          <t>706,510,851,635</t>
        </is>
      </c>
      <c r="F816" t="n">
        <v>133</v>
      </c>
      <c r="G816" t="inlineStr">
        <is>
          <t>primary</t>
        </is>
      </c>
      <c r="H816" t="inlineStr">
        <is>
          <t>AUTO_VESSEL</t>
        </is>
      </c>
      <c r="I816" t="inlineStr">
        <is>
          <t>是</t>
        </is>
      </c>
      <c r="J816" t="inlineStr">
        <is>
          <t>纳入</t>
        </is>
      </c>
      <c r="K816" t="n">
        <v>662.2873345935728</v>
      </c>
      <c r="L816">
        <f>导管母表_860!G816</f>
        <v/>
      </c>
      <c r="M816" t="inlineStr">
        <is>
          <t>视野内部</t>
        </is>
      </c>
      <c r="N816" t="inlineStr">
        <is>
          <t>纳入A/D/Dh；若有Pair_ID则纳入CWR</t>
        </is>
      </c>
      <c r="O816" t="inlineStr">
        <is>
          <t>自动管线检出的合格导管腔。</t>
        </is>
      </c>
      <c r="P816" t="inlineStr">
        <is>
          <t>auto_pipeline;review_png_green</t>
        </is>
      </c>
      <c r="R816" t="inlineStr">
        <is>
          <t>样品62</t>
        </is>
      </c>
    </row>
    <row r="817">
      <c r="A817" t="inlineStr">
        <is>
          <t>62(8)-V01</t>
        </is>
      </c>
      <c r="B817" t="inlineStr">
        <is>
          <t>62 (8).tif</t>
        </is>
      </c>
      <c r="C817" t="n">
        <v>510</v>
      </c>
      <c r="D817" t="n">
        <v>298</v>
      </c>
      <c r="E817" t="inlineStr">
        <is>
          <t>413,214,608,383</t>
        </is>
      </c>
      <c r="F817" t="n">
        <v>214</v>
      </c>
      <c r="G817" t="inlineStr">
        <is>
          <t>primary</t>
        </is>
      </c>
      <c r="H817" t="inlineStr">
        <is>
          <t>AUTO_VESSEL</t>
        </is>
      </c>
      <c r="I817" t="inlineStr">
        <is>
          <t>是</t>
        </is>
      </c>
      <c r="J817" t="inlineStr">
        <is>
          <t>纳入</t>
        </is>
      </c>
      <c r="K817" t="n">
        <v>1172.42438563327</v>
      </c>
      <c r="L817">
        <f>导管母表_860!G817</f>
        <v/>
      </c>
      <c r="M817" t="inlineStr">
        <is>
          <t>视野内部</t>
        </is>
      </c>
      <c r="N817" t="inlineStr">
        <is>
          <t>纳入A/D/Dh；若有Pair_ID则纳入CWR</t>
        </is>
      </c>
      <c r="O817" t="inlineStr">
        <is>
          <t>自动管线检出的合格导管腔。</t>
        </is>
      </c>
      <c r="P817" t="inlineStr">
        <is>
          <t>auto_pipeline;review_png_green</t>
        </is>
      </c>
      <c r="R817" t="inlineStr">
        <is>
          <t>样品62</t>
        </is>
      </c>
    </row>
    <row r="818">
      <c r="A818" t="inlineStr">
        <is>
          <t>62(8)-V02</t>
        </is>
      </c>
      <c r="B818" t="inlineStr">
        <is>
          <t>62 (8).tif</t>
        </is>
      </c>
      <c r="C818" t="n">
        <v>745</v>
      </c>
      <c r="D818" t="n">
        <v>180</v>
      </c>
      <c r="E818" t="inlineStr">
        <is>
          <t>658,100,833,261</t>
        </is>
      </c>
      <c r="F818" t="n">
        <v>100</v>
      </c>
      <c r="G818" t="inlineStr">
        <is>
          <t>primary</t>
        </is>
      </c>
      <c r="H818" t="inlineStr">
        <is>
          <t>AUTO_VESSEL</t>
        </is>
      </c>
      <c r="I818" t="inlineStr">
        <is>
          <t>是</t>
        </is>
      </c>
      <c r="J818" t="inlineStr">
        <is>
          <t>纳入</t>
        </is>
      </c>
      <c r="K818" t="n">
        <v>1015.689981096408</v>
      </c>
      <c r="L818">
        <f>导管母表_860!G818</f>
        <v/>
      </c>
      <c r="M818" t="inlineStr">
        <is>
          <t>视野内部</t>
        </is>
      </c>
      <c r="N818" t="inlineStr">
        <is>
          <t>纳入A/D/Dh；若有Pair_ID则纳入CWR</t>
        </is>
      </c>
      <c r="O818" t="inlineStr">
        <is>
          <t>自动管线检出的合格导管腔。</t>
        </is>
      </c>
      <c r="P818" t="inlineStr">
        <is>
          <t>auto_pipeline;review_png_green</t>
        </is>
      </c>
      <c r="R818" t="inlineStr">
        <is>
          <t>样品62</t>
        </is>
      </c>
    </row>
    <row r="819">
      <c r="A819" t="inlineStr">
        <is>
          <t>62(8)-V03</t>
        </is>
      </c>
      <c r="B819" t="inlineStr">
        <is>
          <t>62 (8).tif</t>
        </is>
      </c>
      <c r="C819" t="n">
        <v>122</v>
      </c>
      <c r="D819" t="n">
        <v>378</v>
      </c>
      <c r="E819" t="inlineStr">
        <is>
          <t>60,317,185,440</t>
        </is>
      </c>
      <c r="F819" t="n">
        <v>60</v>
      </c>
      <c r="G819" t="inlineStr">
        <is>
          <t>primary</t>
        </is>
      </c>
      <c r="H819" t="inlineStr">
        <is>
          <t>AUTO_VESSEL</t>
        </is>
      </c>
      <c r="I819" t="inlineStr">
        <is>
          <t>是</t>
        </is>
      </c>
      <c r="J819" t="inlineStr">
        <is>
          <t>纳入</t>
        </is>
      </c>
      <c r="K819" t="n">
        <v>561.4366729678638</v>
      </c>
      <c r="L819">
        <f>导管母表_860!G819</f>
        <v/>
      </c>
      <c r="M819" t="inlineStr">
        <is>
          <t>视野内部</t>
        </is>
      </c>
      <c r="N819" t="inlineStr">
        <is>
          <t>纳入A/D/Dh；若有Pair_ID则纳入CWR</t>
        </is>
      </c>
      <c r="O819" t="inlineStr">
        <is>
          <t>自动管线检出的合格导管腔。</t>
        </is>
      </c>
      <c r="P819" t="inlineStr">
        <is>
          <t>auto_pipeline;review_png_green</t>
        </is>
      </c>
      <c r="R819" t="inlineStr">
        <is>
          <t>样品62</t>
        </is>
      </c>
    </row>
    <row r="820">
      <c r="A820" t="inlineStr">
        <is>
          <t>62(8)-V04</t>
        </is>
      </c>
      <c r="B820" t="inlineStr">
        <is>
          <t>62 (8).tif</t>
        </is>
      </c>
      <c r="C820" t="n">
        <v>551</v>
      </c>
      <c r="D820" t="n">
        <v>320</v>
      </c>
      <c r="E820" t="inlineStr">
        <is>
          <t>497,263,606,378</t>
        </is>
      </c>
      <c r="F820" t="n">
        <v>263</v>
      </c>
      <c r="G820" t="inlineStr">
        <is>
          <t>primary</t>
        </is>
      </c>
      <c r="H820" t="inlineStr">
        <is>
          <t>AUTO_VESSEL</t>
        </is>
      </c>
      <c r="I820" t="inlineStr">
        <is>
          <t>是</t>
        </is>
      </c>
      <c r="J820" t="inlineStr">
        <is>
          <t>纳入</t>
        </is>
      </c>
      <c r="K820" t="n">
        <v>457.0888468809074</v>
      </c>
      <c r="L820">
        <f>导管母表_860!G820</f>
        <v/>
      </c>
      <c r="M820" t="inlineStr">
        <is>
          <t>视野内部</t>
        </is>
      </c>
      <c r="N820" t="inlineStr">
        <is>
          <t>纳入A/D/Dh；若有Pair_ID则纳入CWR</t>
        </is>
      </c>
      <c r="O820" t="inlineStr">
        <is>
          <t>自动管线检出的合格导管腔。</t>
        </is>
      </c>
      <c r="P820" t="inlineStr">
        <is>
          <t>auto_pipeline;review_png_green</t>
        </is>
      </c>
      <c r="Q820" t="inlineStr">
        <is>
          <t>62(8)-P01</t>
        </is>
      </c>
      <c r="R820" t="inlineStr">
        <is>
          <t>样品62</t>
        </is>
      </c>
    </row>
    <row r="821">
      <c r="A821" t="inlineStr">
        <is>
          <t>62(8)-V05</t>
        </is>
      </c>
      <c r="B821" t="inlineStr">
        <is>
          <t>62 (8).tif</t>
        </is>
      </c>
      <c r="C821" t="n">
        <v>448</v>
      </c>
      <c r="D821" t="n">
        <v>405</v>
      </c>
      <c r="E821" t="inlineStr">
        <is>
          <t>391,351,506,460</t>
        </is>
      </c>
      <c r="F821" t="n">
        <v>308</v>
      </c>
      <c r="G821" t="inlineStr">
        <is>
          <t>primary</t>
        </is>
      </c>
      <c r="H821" t="inlineStr">
        <is>
          <t>AUTO_VESSEL</t>
        </is>
      </c>
      <c r="I821" t="inlineStr">
        <is>
          <t>是</t>
        </is>
      </c>
      <c r="J821" t="inlineStr">
        <is>
          <t>纳入</t>
        </is>
      </c>
      <c r="K821" t="n">
        <v>456.8998109640832</v>
      </c>
      <c r="L821">
        <f>导管母表_860!G821</f>
        <v/>
      </c>
      <c r="M821" t="inlineStr">
        <is>
          <t>视野内部</t>
        </is>
      </c>
      <c r="N821" t="inlineStr">
        <is>
          <t>纳入A/D/Dh；若有Pair_ID则纳入CWR</t>
        </is>
      </c>
      <c r="O821" t="inlineStr">
        <is>
          <t>自动管线检出的合格导管腔。</t>
        </is>
      </c>
      <c r="P821" t="inlineStr">
        <is>
          <t>auto_pipeline;review_png_green</t>
        </is>
      </c>
      <c r="Q821" t="inlineStr">
        <is>
          <t>62(8)-P01</t>
        </is>
      </c>
      <c r="R821" t="inlineStr">
        <is>
          <t>样品62</t>
        </is>
      </c>
    </row>
    <row r="822">
      <c r="A822" t="inlineStr">
        <is>
          <t>62(8)-V06</t>
        </is>
      </c>
      <c r="B822" t="inlineStr">
        <is>
          <t>62 (8).tif</t>
        </is>
      </c>
      <c r="C822" t="n">
        <v>618</v>
      </c>
      <c r="D822" t="n">
        <v>387</v>
      </c>
      <c r="E822" t="inlineStr">
        <is>
          <t>571,348,666,427</t>
        </is>
      </c>
      <c r="F822" t="n">
        <v>341</v>
      </c>
      <c r="G822" t="inlineStr">
        <is>
          <t>primary</t>
        </is>
      </c>
      <c r="H822" t="inlineStr">
        <is>
          <t>AUTO_VESSEL</t>
        </is>
      </c>
      <c r="I822" t="inlineStr">
        <is>
          <t>是</t>
        </is>
      </c>
      <c r="J822" t="inlineStr">
        <is>
          <t>纳入</t>
        </is>
      </c>
      <c r="K822" t="n">
        <v>200.1654064272212</v>
      </c>
      <c r="L822">
        <f>导管母表_860!G822</f>
        <v/>
      </c>
      <c r="M822" t="inlineStr">
        <is>
          <t>视野内部</t>
        </is>
      </c>
      <c r="N822" t="inlineStr">
        <is>
          <t>纳入A/D/Dh；若有Pair_ID则纳入CWR</t>
        </is>
      </c>
      <c r="O822" t="inlineStr">
        <is>
          <t>自动管线检出的合格导管腔。</t>
        </is>
      </c>
      <c r="P822" t="inlineStr">
        <is>
          <t>auto_pipeline;review_png_green</t>
        </is>
      </c>
      <c r="R822" t="inlineStr">
        <is>
          <t>样品62</t>
        </is>
      </c>
    </row>
    <row r="823">
      <c r="A823" t="inlineStr">
        <is>
          <t>62(8)-V07</t>
        </is>
      </c>
      <c r="B823" t="inlineStr">
        <is>
          <t>62 (8).tif</t>
        </is>
      </c>
      <c r="C823" t="n">
        <v>699</v>
      </c>
      <c r="D823" t="n">
        <v>317</v>
      </c>
      <c r="E823" t="inlineStr">
        <is>
          <t>666,280,733,355</t>
        </is>
      </c>
      <c r="F823" t="n">
        <v>280</v>
      </c>
      <c r="G823" t="inlineStr">
        <is>
          <t>primary</t>
        </is>
      </c>
      <c r="H823" t="inlineStr">
        <is>
          <t>AUTO_VESSEL</t>
        </is>
      </c>
      <c r="I823" t="inlineStr">
        <is>
          <t>是</t>
        </is>
      </c>
      <c r="J823" t="inlineStr">
        <is>
          <t>纳入</t>
        </is>
      </c>
      <c r="K823" t="n">
        <v>159.7117202268431</v>
      </c>
      <c r="L823">
        <f>导管母表_860!G823</f>
        <v/>
      </c>
      <c r="M823" t="inlineStr">
        <is>
          <t>视野内部</t>
        </is>
      </c>
      <c r="N823" t="inlineStr">
        <is>
          <t>纳入A/D/Dh；若有Pair_ID则纳入CWR</t>
        </is>
      </c>
      <c r="O823" t="inlineStr">
        <is>
          <t>自动管线检出的合格导管腔。</t>
        </is>
      </c>
      <c r="P823" t="inlineStr">
        <is>
          <t>auto_pipeline;review_png_green</t>
        </is>
      </c>
      <c r="R823" t="inlineStr">
        <is>
          <t>样品62</t>
        </is>
      </c>
    </row>
    <row r="824">
      <c r="A824" t="inlineStr">
        <is>
          <t>62(8)-V08</t>
        </is>
      </c>
      <c r="B824" t="inlineStr">
        <is>
          <t>62 (8).tif</t>
        </is>
      </c>
      <c r="C824" t="n">
        <v>545</v>
      </c>
      <c r="D824" t="n">
        <v>351</v>
      </c>
      <c r="E824" t="inlineStr">
        <is>
          <t>507,323,584,380</t>
        </is>
      </c>
      <c r="F824" t="n">
        <v>323</v>
      </c>
      <c r="G824" t="inlineStr">
        <is>
          <t>primary</t>
        </is>
      </c>
      <c r="H824" t="inlineStr">
        <is>
          <t>AUTO_VESSEL</t>
        </is>
      </c>
      <c r="I824" t="inlineStr">
        <is>
          <t>是</t>
        </is>
      </c>
      <c r="J824" t="inlineStr">
        <is>
          <t>纳入</t>
        </is>
      </c>
      <c r="K824" t="n">
        <v>150.8506616257089</v>
      </c>
      <c r="L824">
        <f>导管母表_860!G824</f>
        <v/>
      </c>
      <c r="M824" t="inlineStr">
        <is>
          <t>视野内部</t>
        </is>
      </c>
      <c r="N824" t="inlineStr">
        <is>
          <t>纳入A/D/Dh；若有Pair_ID则纳入CWR</t>
        </is>
      </c>
      <c r="O824" t="inlineStr">
        <is>
          <t>自动管线检出的合格导管腔。</t>
        </is>
      </c>
      <c r="P824" t="inlineStr">
        <is>
          <t>auto_pipeline;review_png_green</t>
        </is>
      </c>
      <c r="R824" t="inlineStr">
        <is>
          <t>样品62</t>
        </is>
      </c>
    </row>
    <row r="825">
      <c r="A825" t="inlineStr">
        <is>
          <t>62(8)-V09</t>
        </is>
      </c>
      <c r="B825" t="inlineStr">
        <is>
          <t>62 (8).tif</t>
        </is>
      </c>
      <c r="C825" t="n">
        <v>837</v>
      </c>
      <c r="D825" t="n">
        <v>230</v>
      </c>
      <c r="E825" t="inlineStr">
        <is>
          <t>807,190,868,271</t>
        </is>
      </c>
      <c r="F825" t="n">
        <v>156</v>
      </c>
      <c r="G825" t="inlineStr">
        <is>
          <t>primary</t>
        </is>
      </c>
      <c r="H825" t="inlineStr">
        <is>
          <t>AUTO_VESSEL</t>
        </is>
      </c>
      <c r="I825" t="inlineStr">
        <is>
          <t>是</t>
        </is>
      </c>
      <c r="J825" t="inlineStr">
        <is>
          <t>纳入</t>
        </is>
      </c>
      <c r="K825" t="n">
        <v>126.2523629489603</v>
      </c>
      <c r="L825">
        <f>导管母表_860!G825</f>
        <v/>
      </c>
      <c r="M825" t="inlineStr">
        <is>
          <t>视野内部</t>
        </is>
      </c>
      <c r="N825" t="inlineStr">
        <is>
          <t>纳入A/D/Dh；若有Pair_ID则纳入CWR</t>
        </is>
      </c>
      <c r="O825" t="inlineStr">
        <is>
          <t>自动管线检出的合格导管腔。</t>
        </is>
      </c>
      <c r="P825" t="inlineStr">
        <is>
          <t>auto_pipeline;review_png_green</t>
        </is>
      </c>
      <c r="R825" t="inlineStr">
        <is>
          <t>样品62</t>
        </is>
      </c>
    </row>
    <row r="826">
      <c r="A826" t="inlineStr">
        <is>
          <t>63(1)-V01</t>
        </is>
      </c>
      <c r="B826" t="inlineStr">
        <is>
          <t>63 (1).tif</t>
        </is>
      </c>
      <c r="C826" t="n">
        <v>461</v>
      </c>
      <c r="D826" t="n">
        <v>446</v>
      </c>
      <c r="E826" t="inlineStr">
        <is>
          <t>398,378,525,515</t>
        </is>
      </c>
      <c r="F826" t="n">
        <v>253</v>
      </c>
      <c r="G826" t="inlineStr">
        <is>
          <t>primary</t>
        </is>
      </c>
      <c r="H826" t="inlineStr">
        <is>
          <t>AUTO_VESSEL</t>
        </is>
      </c>
      <c r="I826" t="inlineStr">
        <is>
          <t>是</t>
        </is>
      </c>
      <c r="J826" t="inlineStr">
        <is>
          <t>纳入</t>
        </is>
      </c>
      <c r="K826" t="n">
        <v>633.695652173913</v>
      </c>
      <c r="L826">
        <f>导管母表_860!G826</f>
        <v/>
      </c>
      <c r="M826" t="inlineStr">
        <is>
          <t>视野内部</t>
        </is>
      </c>
      <c r="N826" t="inlineStr">
        <is>
          <t>纳入A/D/Dh；若有Pair_ID则纳入CWR</t>
        </is>
      </c>
      <c r="O826" t="inlineStr">
        <is>
          <t>自动管线检出的合格导管腔。</t>
        </is>
      </c>
      <c r="P826" t="inlineStr">
        <is>
          <t>auto_pipeline;review_png_green</t>
        </is>
      </c>
      <c r="R826" t="inlineStr">
        <is>
          <t>样品63</t>
        </is>
      </c>
    </row>
    <row r="827">
      <c r="A827" t="inlineStr">
        <is>
          <t>63(1)-V02</t>
        </is>
      </c>
      <c r="B827" t="inlineStr">
        <is>
          <t>63 (1).tif</t>
        </is>
      </c>
      <c r="C827" t="n">
        <v>922</v>
      </c>
      <c r="D827" t="n">
        <v>613</v>
      </c>
      <c r="E827" t="inlineStr">
        <is>
          <t>860,554,985,673</t>
        </is>
      </c>
      <c r="F827" t="n">
        <v>39</v>
      </c>
      <c r="G827" t="inlineStr">
        <is>
          <t>primary</t>
        </is>
      </c>
      <c r="H827" t="inlineStr">
        <is>
          <t>AUTO_VESSEL</t>
        </is>
      </c>
      <c r="I827" t="inlineStr">
        <is>
          <t>是</t>
        </is>
      </c>
      <c r="J827" t="inlineStr">
        <is>
          <t>纳入</t>
        </is>
      </c>
      <c r="K827" t="n">
        <v>509.4517958412098</v>
      </c>
      <c r="L827">
        <f>导管母表_860!G827</f>
        <v/>
      </c>
      <c r="M827" t="inlineStr">
        <is>
          <t>视野内部</t>
        </is>
      </c>
      <c r="N827" t="inlineStr">
        <is>
          <t>纳入A/D/Dh；若有Pair_ID则纳入CWR</t>
        </is>
      </c>
      <c r="O827" t="inlineStr">
        <is>
          <t>自动管线检出的合格导管腔。</t>
        </is>
      </c>
      <c r="P827" t="inlineStr">
        <is>
          <t>auto_pipeline;review_png_green</t>
        </is>
      </c>
      <c r="R827" t="inlineStr">
        <is>
          <t>样品63</t>
        </is>
      </c>
    </row>
    <row r="828">
      <c r="A828" t="inlineStr">
        <is>
          <t>63(2)-V01</t>
        </is>
      </c>
      <c r="B828" t="inlineStr">
        <is>
          <t>63 (2).tif</t>
        </is>
      </c>
      <c r="C828" t="n">
        <v>247</v>
      </c>
      <c r="D828" t="n">
        <v>344</v>
      </c>
      <c r="E828" t="inlineStr">
        <is>
          <t>176,276,319,413</t>
        </is>
      </c>
      <c r="F828" t="n">
        <v>176</v>
      </c>
      <c r="G828" t="inlineStr">
        <is>
          <t>primary</t>
        </is>
      </c>
      <c r="H828" t="inlineStr">
        <is>
          <t>AUTO_VESSEL</t>
        </is>
      </c>
      <c r="I828" t="inlineStr">
        <is>
          <t>是</t>
        </is>
      </c>
      <c r="J828" t="inlineStr">
        <is>
          <t>纳入</t>
        </is>
      </c>
      <c r="K828" t="n">
        <v>715.359168241966</v>
      </c>
      <c r="L828">
        <f>导管母表_860!G828</f>
        <v/>
      </c>
      <c r="M828" t="inlineStr">
        <is>
          <t>视野内部</t>
        </is>
      </c>
      <c r="N828" t="inlineStr">
        <is>
          <t>纳入A/D/Dh；若有Pair_ID则纳入CWR</t>
        </is>
      </c>
      <c r="O828" t="inlineStr">
        <is>
          <t>自动管线检出的合格导管腔。</t>
        </is>
      </c>
      <c r="P828" t="inlineStr">
        <is>
          <t>auto_pipeline;review_png_green</t>
        </is>
      </c>
      <c r="R828" t="inlineStr">
        <is>
          <t>样品63</t>
        </is>
      </c>
    </row>
    <row r="829">
      <c r="A829" t="inlineStr">
        <is>
          <t>63(2)-V02</t>
        </is>
      </c>
      <c r="B829" t="inlineStr">
        <is>
          <t>63 (2).tif</t>
        </is>
      </c>
      <c r="C829" t="n">
        <v>438</v>
      </c>
      <c r="D829" t="n">
        <v>342</v>
      </c>
      <c r="E829" t="inlineStr">
        <is>
          <t>373,282,504,403</t>
        </is>
      </c>
      <c r="F829" t="n">
        <v>282</v>
      </c>
      <c r="G829" t="inlineStr">
        <is>
          <t>primary</t>
        </is>
      </c>
      <c r="H829" t="inlineStr">
        <is>
          <t>AUTO_VESSEL</t>
        </is>
      </c>
      <c r="I829" t="inlineStr">
        <is>
          <t>是</t>
        </is>
      </c>
      <c r="J829" t="inlineStr">
        <is>
          <t>纳入</t>
        </is>
      </c>
      <c r="K829" t="n">
        <v>570.3922495274102</v>
      </c>
      <c r="L829">
        <f>导管母表_860!G829</f>
        <v/>
      </c>
      <c r="M829" t="inlineStr">
        <is>
          <t>视野内部</t>
        </is>
      </c>
      <c r="N829" t="inlineStr">
        <is>
          <t>纳入A/D/Dh；若有Pair_ID则纳入CWR</t>
        </is>
      </c>
      <c r="O829" t="inlineStr">
        <is>
          <t>自动管线检出的合格导管腔。</t>
        </is>
      </c>
      <c r="P829" t="inlineStr">
        <is>
          <t>auto_pipeline;review_png_green</t>
        </is>
      </c>
      <c r="R829" t="inlineStr">
        <is>
          <t>样品63</t>
        </is>
      </c>
    </row>
    <row r="830">
      <c r="A830" t="inlineStr">
        <is>
          <t>63(2)-V03</t>
        </is>
      </c>
      <c r="B830" t="inlineStr">
        <is>
          <t>63 (2).tif</t>
        </is>
      </c>
      <c r="C830" t="n">
        <v>578</v>
      </c>
      <c r="D830" t="n">
        <v>350</v>
      </c>
      <c r="E830" t="inlineStr">
        <is>
          <t>523,290,634,411</t>
        </is>
      </c>
      <c r="F830" t="n">
        <v>290</v>
      </c>
      <c r="G830" t="inlineStr">
        <is>
          <t>primary</t>
        </is>
      </c>
      <c r="H830" t="inlineStr">
        <is>
          <t>AUTO_VESSEL</t>
        </is>
      </c>
      <c r="I830" t="inlineStr">
        <is>
          <t>是</t>
        </is>
      </c>
      <c r="J830" t="inlineStr">
        <is>
          <t>纳入</t>
        </is>
      </c>
      <c r="K830" t="n">
        <v>489.9574669187145</v>
      </c>
      <c r="L830">
        <f>导管母表_860!G830</f>
        <v/>
      </c>
      <c r="M830" t="inlineStr">
        <is>
          <t>视野内部</t>
        </is>
      </c>
      <c r="N830" t="inlineStr">
        <is>
          <t>纳入A/D/Dh；若有Pair_ID则纳入CWR</t>
        </is>
      </c>
      <c r="O830" t="inlineStr">
        <is>
          <t>自动管线检出的合格导管腔。</t>
        </is>
      </c>
      <c r="P830" t="inlineStr">
        <is>
          <t>auto_pipeline;review_png_green</t>
        </is>
      </c>
      <c r="R830" t="inlineStr">
        <is>
          <t>样品63</t>
        </is>
      </c>
    </row>
    <row r="831">
      <c r="A831" t="inlineStr">
        <is>
          <t>63(2)-V04</t>
        </is>
      </c>
      <c r="B831" t="inlineStr">
        <is>
          <t>63 (2).tif</t>
        </is>
      </c>
      <c r="C831" t="n">
        <v>773</v>
      </c>
      <c r="D831" t="n">
        <v>473</v>
      </c>
      <c r="E831" t="inlineStr">
        <is>
          <t>713,425,834,522</t>
        </is>
      </c>
      <c r="F831" t="n">
        <v>190</v>
      </c>
      <c r="G831" t="inlineStr">
        <is>
          <t>primary</t>
        </is>
      </c>
      <c r="H831" t="inlineStr">
        <is>
          <t>AUTO_VESSEL</t>
        </is>
      </c>
      <c r="I831" t="inlineStr">
        <is>
          <t>是</t>
        </is>
      </c>
      <c r="J831" t="inlineStr">
        <is>
          <t>纳入</t>
        </is>
      </c>
      <c r="K831" t="n">
        <v>426.8194706994329</v>
      </c>
      <c r="L831">
        <f>导管母表_860!G831</f>
        <v/>
      </c>
      <c r="M831" t="inlineStr">
        <is>
          <t>视野内部</t>
        </is>
      </c>
      <c r="N831" t="inlineStr">
        <is>
          <t>纳入A/D/Dh；若有Pair_ID则纳入CWR</t>
        </is>
      </c>
      <c r="O831" t="inlineStr">
        <is>
          <t>自动管线检出的合格导管腔。</t>
        </is>
      </c>
      <c r="P831" t="inlineStr">
        <is>
          <t>auto_pipeline;review_png_green</t>
        </is>
      </c>
      <c r="R831" t="inlineStr">
        <is>
          <t>样品63</t>
        </is>
      </c>
    </row>
    <row r="832">
      <c r="A832" t="inlineStr">
        <is>
          <t>63(2)-V05</t>
        </is>
      </c>
      <c r="B832" t="inlineStr">
        <is>
          <t>63 (2).tif</t>
        </is>
      </c>
      <c r="C832" t="n">
        <v>912</v>
      </c>
      <c r="D832" t="n">
        <v>441</v>
      </c>
      <c r="E832" t="inlineStr">
        <is>
          <t>878,408,947,475</t>
        </is>
      </c>
      <c r="F832" t="n">
        <v>77</v>
      </c>
      <c r="G832" t="inlineStr">
        <is>
          <t>primary</t>
        </is>
      </c>
      <c r="H832" t="inlineStr">
        <is>
          <t>AUTO_VESSEL</t>
        </is>
      </c>
      <c r="I832" t="inlineStr">
        <is>
          <t>是</t>
        </is>
      </c>
      <c r="J832" t="inlineStr">
        <is>
          <t>纳入</t>
        </is>
      </c>
      <c r="K832" t="n">
        <v>155.812854442344</v>
      </c>
      <c r="L832">
        <f>导管母表_860!G832</f>
        <v/>
      </c>
      <c r="M832" t="inlineStr">
        <is>
          <t>视野内部</t>
        </is>
      </c>
      <c r="N832" t="inlineStr">
        <is>
          <t>纳入A/D/Dh；若有Pair_ID则纳入CWR</t>
        </is>
      </c>
      <c r="O832" t="inlineStr">
        <is>
          <t>自动管线检出的合格导管腔。</t>
        </is>
      </c>
      <c r="P832" t="inlineStr">
        <is>
          <t>auto_pipeline;review_png_green</t>
        </is>
      </c>
      <c r="R832" t="inlineStr">
        <is>
          <t>样品63</t>
        </is>
      </c>
    </row>
    <row r="833">
      <c r="A833" t="inlineStr">
        <is>
          <t>63(3)-V01</t>
        </is>
      </c>
      <c r="B833" t="inlineStr">
        <is>
          <t>63 (3).tif</t>
        </is>
      </c>
      <c r="C833" t="n">
        <v>843</v>
      </c>
      <c r="D833" t="n">
        <v>113</v>
      </c>
      <c r="E833" t="inlineStr">
        <is>
          <t>780,42,907,185</t>
        </is>
      </c>
      <c r="F833" t="n">
        <v>42</v>
      </c>
      <c r="G833" t="inlineStr">
        <is>
          <t>primary</t>
        </is>
      </c>
      <c r="H833" t="inlineStr">
        <is>
          <t>AUTO_VESSEL</t>
        </is>
      </c>
      <c r="I833" t="inlineStr">
        <is>
          <t>是</t>
        </is>
      </c>
      <c r="J833" t="inlineStr">
        <is>
          <t>纳入</t>
        </is>
      </c>
      <c r="K833" t="n">
        <v>645.7230623818525</v>
      </c>
      <c r="L833">
        <f>导管母表_860!G833</f>
        <v/>
      </c>
      <c r="M833" t="inlineStr">
        <is>
          <t>视野内部</t>
        </is>
      </c>
      <c r="N833" t="inlineStr">
        <is>
          <t>纳入A/D/Dh；若有Pair_ID则纳入CWR</t>
        </is>
      </c>
      <c r="O833" t="inlineStr">
        <is>
          <t>自动管线检出的合格导管腔。</t>
        </is>
      </c>
      <c r="P833" t="inlineStr">
        <is>
          <t>auto_pipeline;review_png_green</t>
        </is>
      </c>
      <c r="R833" t="inlineStr">
        <is>
          <t>样品63</t>
        </is>
      </c>
    </row>
    <row r="834">
      <c r="A834" t="inlineStr">
        <is>
          <t>63(3)-V02</t>
        </is>
      </c>
      <c r="B834" t="inlineStr">
        <is>
          <t>63 (3).tif</t>
        </is>
      </c>
      <c r="C834" t="n">
        <v>530</v>
      </c>
      <c r="D834" t="n">
        <v>420</v>
      </c>
      <c r="E834" t="inlineStr">
        <is>
          <t>479,350,582,491</t>
        </is>
      </c>
      <c r="F834" t="n">
        <v>277</v>
      </c>
      <c r="G834" t="inlineStr">
        <is>
          <t>primary</t>
        </is>
      </c>
      <c r="H834" t="inlineStr">
        <is>
          <t>AUTO_VESSEL</t>
        </is>
      </c>
      <c r="I834" t="inlineStr">
        <is>
          <t>是</t>
        </is>
      </c>
      <c r="J834" t="inlineStr">
        <is>
          <t>纳入</t>
        </is>
      </c>
      <c r="K834" t="n">
        <v>529.6786389413988</v>
      </c>
      <c r="L834">
        <f>导管母表_860!G834</f>
        <v/>
      </c>
      <c r="M834" t="inlineStr">
        <is>
          <t>视野内部</t>
        </is>
      </c>
      <c r="N834" t="inlineStr">
        <is>
          <t>纳入A/D/Dh；若有Pair_ID则纳入CWR</t>
        </is>
      </c>
      <c r="O834" t="inlineStr">
        <is>
          <t>自动管线检出的合格导管腔。</t>
        </is>
      </c>
      <c r="P834" t="inlineStr">
        <is>
          <t>auto_pipeline;review_png_green</t>
        </is>
      </c>
      <c r="R834" t="inlineStr">
        <is>
          <t>样品63</t>
        </is>
      </c>
    </row>
    <row r="835">
      <c r="A835" t="inlineStr">
        <is>
          <t>63(3)-V03</t>
        </is>
      </c>
      <c r="B835" t="inlineStr">
        <is>
          <t>63 (3).tif</t>
        </is>
      </c>
      <c r="C835" t="n">
        <v>249</v>
      </c>
      <c r="D835" t="n">
        <v>566</v>
      </c>
      <c r="E835" t="inlineStr">
        <is>
          <t>188,520,311,613</t>
        </is>
      </c>
      <c r="F835" t="n">
        <v>155</v>
      </c>
      <c r="G835" t="inlineStr">
        <is>
          <t>primary</t>
        </is>
      </c>
      <c r="H835" t="inlineStr">
        <is>
          <t>AUTO_VESSEL</t>
        </is>
      </c>
      <c r="I835" t="inlineStr">
        <is>
          <t>是</t>
        </is>
      </c>
      <c r="J835" t="inlineStr">
        <is>
          <t>纳入</t>
        </is>
      </c>
      <c r="K835" t="n">
        <v>414.461247637051</v>
      </c>
      <c r="L835">
        <f>导管母表_860!G835</f>
        <v/>
      </c>
      <c r="M835" t="inlineStr">
        <is>
          <t>视野内部</t>
        </is>
      </c>
      <c r="N835" t="inlineStr">
        <is>
          <t>纳入A/D/Dh；若有Pair_ID则纳入CWR</t>
        </is>
      </c>
      <c r="O835" t="inlineStr">
        <is>
          <t>自动管线检出的合格导管腔。</t>
        </is>
      </c>
      <c r="P835" t="inlineStr">
        <is>
          <t>auto_pipeline;review_png_green</t>
        </is>
      </c>
      <c r="R835" t="inlineStr">
        <is>
          <t>样品63</t>
        </is>
      </c>
    </row>
    <row r="836">
      <c r="A836" t="inlineStr">
        <is>
          <t>63(3)-V04</t>
        </is>
      </c>
      <c r="B836" t="inlineStr">
        <is>
          <t>63 (3).tif</t>
        </is>
      </c>
      <c r="C836" t="n">
        <v>894</v>
      </c>
      <c r="D836" t="n">
        <v>542</v>
      </c>
      <c r="E836" t="inlineStr">
        <is>
          <t>850,504,939,581</t>
        </is>
      </c>
      <c r="F836" t="n">
        <v>85</v>
      </c>
      <c r="G836" t="inlineStr">
        <is>
          <t>primary</t>
        </is>
      </c>
      <c r="H836" t="inlineStr">
        <is>
          <t>AUTO_VESSEL</t>
        </is>
      </c>
      <c r="I836" t="inlineStr">
        <is>
          <t>是</t>
        </is>
      </c>
      <c r="J836" t="inlineStr">
        <is>
          <t>纳入</t>
        </is>
      </c>
      <c r="K836" t="n">
        <v>235.4914933837429</v>
      </c>
      <c r="L836">
        <f>导管母表_860!G836</f>
        <v/>
      </c>
      <c r="M836" t="inlineStr">
        <is>
          <t>视野内部</t>
        </is>
      </c>
      <c r="N836" t="inlineStr">
        <is>
          <t>纳入A/D/Dh；若有Pair_ID则纳入CWR</t>
        </is>
      </c>
      <c r="O836" t="inlineStr">
        <is>
          <t>自动管线检出的合格导管腔。</t>
        </is>
      </c>
      <c r="P836" t="inlineStr">
        <is>
          <t>auto_pipeline;review_png_green</t>
        </is>
      </c>
      <c r="R836" t="inlineStr">
        <is>
          <t>样品63</t>
        </is>
      </c>
    </row>
    <row r="837">
      <c r="A837" t="inlineStr">
        <is>
          <t>63(3)-V05</t>
        </is>
      </c>
      <c r="B837" t="inlineStr">
        <is>
          <t>63 (3).tif</t>
        </is>
      </c>
      <c r="C837" t="n">
        <v>708</v>
      </c>
      <c r="D837" t="n">
        <v>172</v>
      </c>
      <c r="E837" t="inlineStr">
        <is>
          <t>650,111,767,234</t>
        </is>
      </c>
      <c r="F837" t="n">
        <v>111</v>
      </c>
      <c r="G837" t="inlineStr">
        <is>
          <t>primary</t>
        </is>
      </c>
      <c r="H837" t="inlineStr">
        <is>
          <t>AUTO_VESSEL</t>
        </is>
      </c>
      <c r="I837" t="inlineStr">
        <is>
          <t>是</t>
        </is>
      </c>
      <c r="J837" t="inlineStr">
        <is>
          <t>纳入</t>
        </is>
      </c>
      <c r="K837" t="n">
        <v>230.9073724007561</v>
      </c>
      <c r="L837">
        <f>导管母表_860!G837</f>
        <v/>
      </c>
      <c r="M837" t="inlineStr">
        <is>
          <t>视野内部</t>
        </is>
      </c>
      <c r="N837" t="inlineStr">
        <is>
          <t>纳入A/D/Dh；若有Pair_ID则纳入CWR</t>
        </is>
      </c>
      <c r="O837" t="inlineStr">
        <is>
          <t>自动管线检出的合格导管腔。</t>
        </is>
      </c>
      <c r="P837" t="inlineStr">
        <is>
          <t>auto_pipeline;review_png_green</t>
        </is>
      </c>
      <c r="R837" t="inlineStr">
        <is>
          <t>样品63</t>
        </is>
      </c>
    </row>
    <row r="838">
      <c r="A838" t="inlineStr">
        <is>
          <t>63(3)-V06</t>
        </is>
      </c>
      <c r="B838" t="inlineStr">
        <is>
          <t>63 (3).tif</t>
        </is>
      </c>
      <c r="C838" t="n">
        <v>740</v>
      </c>
      <c r="D838" t="n">
        <v>439</v>
      </c>
      <c r="E838" t="inlineStr">
        <is>
          <t>707,400,774,479</t>
        </is>
      </c>
      <c r="F838" t="n">
        <v>250</v>
      </c>
      <c r="G838" t="inlineStr">
        <is>
          <t>primary</t>
        </is>
      </c>
      <c r="H838" t="inlineStr">
        <is>
          <t>AUTO_VESSEL</t>
        </is>
      </c>
      <c r="I838" t="inlineStr">
        <is>
          <t>是</t>
        </is>
      </c>
      <c r="J838" t="inlineStr">
        <is>
          <t>纳入</t>
        </is>
      </c>
      <c r="K838" t="n">
        <v>180.741965973535</v>
      </c>
      <c r="L838">
        <f>导管母表_860!G838</f>
        <v/>
      </c>
      <c r="M838" t="inlineStr">
        <is>
          <t>视野内部</t>
        </is>
      </c>
      <c r="N838" t="inlineStr">
        <is>
          <t>纳入A/D/Dh；若有Pair_ID则纳入CWR</t>
        </is>
      </c>
      <c r="O838" t="inlineStr">
        <is>
          <t>自动管线检出的合格导管腔。</t>
        </is>
      </c>
      <c r="P838" t="inlineStr">
        <is>
          <t>auto_pipeline;review_png_green</t>
        </is>
      </c>
      <c r="R838" t="inlineStr">
        <is>
          <t>样品63</t>
        </is>
      </c>
    </row>
    <row r="839">
      <c r="A839" t="inlineStr">
        <is>
          <t>63(4)-V01</t>
        </is>
      </c>
      <c r="B839" t="inlineStr">
        <is>
          <t>63 (4).tif</t>
        </is>
      </c>
      <c r="C839" t="n">
        <v>521</v>
      </c>
      <c r="D839" t="n">
        <v>447</v>
      </c>
      <c r="E839" t="inlineStr">
        <is>
          <t>464,384,579,511</t>
        </is>
      </c>
      <c r="F839" t="n">
        <v>257</v>
      </c>
      <c r="G839" t="inlineStr">
        <is>
          <t>primary</t>
        </is>
      </c>
      <c r="H839" t="inlineStr">
        <is>
          <t>AUTO_VESSEL</t>
        </is>
      </c>
      <c r="I839" t="inlineStr">
        <is>
          <t>是</t>
        </is>
      </c>
      <c r="J839" t="inlineStr">
        <is>
          <t>纳入</t>
        </is>
      </c>
      <c r="K839" t="n">
        <v>528.875236294896</v>
      </c>
      <c r="L839">
        <f>导管母表_860!G839</f>
        <v/>
      </c>
      <c r="M839" t="inlineStr">
        <is>
          <t>视野内部</t>
        </is>
      </c>
      <c r="N839" t="inlineStr">
        <is>
          <t>纳入A/D/Dh；若有Pair_ID则纳入CWR</t>
        </is>
      </c>
      <c r="O839" t="inlineStr">
        <is>
          <t>自动管线检出的合格导管腔。</t>
        </is>
      </c>
      <c r="P839" t="inlineStr">
        <is>
          <t>auto_pipeline;review_png_green</t>
        </is>
      </c>
      <c r="R839" t="inlineStr">
        <is>
          <t>样品63</t>
        </is>
      </c>
    </row>
    <row r="840">
      <c r="A840" t="inlineStr">
        <is>
          <t>63(4)-V02</t>
        </is>
      </c>
      <c r="B840" t="inlineStr">
        <is>
          <t>63 (4).tif</t>
        </is>
      </c>
      <c r="C840" t="n">
        <v>467</v>
      </c>
      <c r="D840" t="n">
        <v>309</v>
      </c>
      <c r="E840" t="inlineStr">
        <is>
          <t>407,257,528,362</t>
        </is>
      </c>
      <c r="F840" t="n">
        <v>257</v>
      </c>
      <c r="G840" t="inlineStr">
        <is>
          <t>primary</t>
        </is>
      </c>
      <c r="H840" t="inlineStr">
        <is>
          <t>AUTO_VESSEL</t>
        </is>
      </c>
      <c r="I840" t="inlineStr">
        <is>
          <t>是</t>
        </is>
      </c>
      <c r="J840" t="inlineStr">
        <is>
          <t>纳入</t>
        </is>
      </c>
      <c r="K840" t="n">
        <v>462.3345935727788</v>
      </c>
      <c r="L840">
        <f>导管母表_860!G840</f>
        <v/>
      </c>
      <c r="M840" t="inlineStr">
        <is>
          <t>视野内部</t>
        </is>
      </c>
      <c r="N840" t="inlineStr">
        <is>
          <t>纳入A/D/Dh；若有Pair_ID则纳入CWR</t>
        </is>
      </c>
      <c r="O840" t="inlineStr">
        <is>
          <t>自动管线检出的合格导管腔。</t>
        </is>
      </c>
      <c r="P840" t="inlineStr">
        <is>
          <t>auto_pipeline;review_png_green</t>
        </is>
      </c>
      <c r="Q840" t="inlineStr">
        <is>
          <t>63(4)-P01</t>
        </is>
      </c>
      <c r="R840" t="inlineStr">
        <is>
          <t>样品63</t>
        </is>
      </c>
    </row>
    <row r="841">
      <c r="A841" t="inlineStr">
        <is>
          <t>63(4)-V03</t>
        </is>
      </c>
      <c r="B841" t="inlineStr">
        <is>
          <t>63 (4).tif</t>
        </is>
      </c>
      <c r="C841" t="n">
        <v>857</v>
      </c>
      <c r="D841" t="n">
        <v>503</v>
      </c>
      <c r="E841" t="inlineStr">
        <is>
          <t>809,444,906,563</t>
        </is>
      </c>
      <c r="F841" t="n">
        <v>118</v>
      </c>
      <c r="G841" t="inlineStr">
        <is>
          <t>primary</t>
        </is>
      </c>
      <c r="H841" t="inlineStr">
        <is>
          <t>AUTO_VESSEL</t>
        </is>
      </c>
      <c r="I841" t="inlineStr">
        <is>
          <t>是</t>
        </is>
      </c>
      <c r="J841" t="inlineStr">
        <is>
          <t>纳入</t>
        </is>
      </c>
      <c r="K841" t="n">
        <v>410.9168241965974</v>
      </c>
      <c r="L841">
        <f>导管母表_860!G841</f>
        <v/>
      </c>
      <c r="M841" t="inlineStr">
        <is>
          <t>视野内部</t>
        </is>
      </c>
      <c r="N841" t="inlineStr">
        <is>
          <t>纳入A/D/Dh；若有Pair_ID则纳入CWR</t>
        </is>
      </c>
      <c r="O841" t="inlineStr">
        <is>
          <t>自动管线检出的合格导管腔。</t>
        </is>
      </c>
      <c r="P841" t="inlineStr">
        <is>
          <t>auto_pipeline;review_png_green</t>
        </is>
      </c>
      <c r="R841" t="inlineStr">
        <is>
          <t>样品63</t>
        </is>
      </c>
    </row>
    <row r="842">
      <c r="A842" t="inlineStr">
        <is>
          <t>63(4)-V04</t>
        </is>
      </c>
      <c r="B842" t="inlineStr">
        <is>
          <t>63 (4).tif</t>
        </is>
      </c>
      <c r="C842" t="n">
        <v>904</v>
      </c>
      <c r="D842" t="n">
        <v>632</v>
      </c>
      <c r="E842" t="inlineStr">
        <is>
          <t>838,592,971,673</t>
        </is>
      </c>
      <c r="F842" t="n">
        <v>53</v>
      </c>
      <c r="G842" t="inlineStr">
        <is>
          <t>primary</t>
        </is>
      </c>
      <c r="H842" t="inlineStr">
        <is>
          <t>AUTO_VESSEL</t>
        </is>
      </c>
      <c r="I842" t="inlineStr">
        <is>
          <t>是</t>
        </is>
      </c>
      <c r="J842" t="inlineStr">
        <is>
          <t>纳入</t>
        </is>
      </c>
      <c r="K842" t="n">
        <v>391.398865784499</v>
      </c>
      <c r="L842">
        <f>导管母表_860!G842</f>
        <v/>
      </c>
      <c r="M842" t="inlineStr">
        <is>
          <t>视野内部</t>
        </is>
      </c>
      <c r="N842" t="inlineStr">
        <is>
          <t>纳入A/D/Dh；若有Pair_ID则纳入CWR</t>
        </is>
      </c>
      <c r="O842" t="inlineStr">
        <is>
          <t>自动管线检出的合格导管腔。</t>
        </is>
      </c>
      <c r="P842" t="inlineStr">
        <is>
          <t>auto_pipeline;review_png_green</t>
        </is>
      </c>
      <c r="R842" t="inlineStr">
        <is>
          <t>样品63</t>
        </is>
      </c>
    </row>
    <row r="843">
      <c r="A843" t="inlineStr">
        <is>
          <t>63(4)-V05</t>
        </is>
      </c>
      <c r="B843" t="inlineStr">
        <is>
          <t>63 (4).tif</t>
        </is>
      </c>
      <c r="C843" t="n">
        <v>61</v>
      </c>
      <c r="D843" t="n">
        <v>338</v>
      </c>
      <c r="E843" t="inlineStr">
        <is>
          <t>26,292,97,385</t>
        </is>
      </c>
      <c r="F843" t="n">
        <v>26</v>
      </c>
      <c r="G843" t="inlineStr">
        <is>
          <t>primary</t>
        </is>
      </c>
      <c r="H843" t="inlineStr">
        <is>
          <t>AUTO_VESSEL</t>
        </is>
      </c>
      <c r="I843" t="inlineStr">
        <is>
          <t>是</t>
        </is>
      </c>
      <c r="J843" t="inlineStr">
        <is>
          <t>纳入</t>
        </is>
      </c>
      <c r="K843" t="n">
        <v>218.6200378071834</v>
      </c>
      <c r="L843">
        <f>导管母表_860!G843</f>
        <v/>
      </c>
      <c r="M843" t="inlineStr">
        <is>
          <t>视野内部</t>
        </is>
      </c>
      <c r="N843" t="inlineStr">
        <is>
          <t>纳入A/D/Dh；若有Pair_ID则纳入CWR</t>
        </is>
      </c>
      <c r="O843" t="inlineStr">
        <is>
          <t>自动管线检出的合格导管腔。</t>
        </is>
      </c>
      <c r="P843" t="inlineStr">
        <is>
          <t>auto_pipeline;review_png_green</t>
        </is>
      </c>
      <c r="R843" t="inlineStr">
        <is>
          <t>样品63</t>
        </is>
      </c>
    </row>
    <row r="844">
      <c r="A844" t="inlineStr">
        <is>
          <t>63(4)-V06</t>
        </is>
      </c>
      <c r="B844" t="inlineStr">
        <is>
          <t>63 (4).tif</t>
        </is>
      </c>
      <c r="C844" t="n">
        <v>726</v>
      </c>
      <c r="D844" t="n">
        <v>291</v>
      </c>
      <c r="E844" t="inlineStr">
        <is>
          <t>699,251,754,332</t>
        </is>
      </c>
      <c r="F844" t="n">
        <v>251</v>
      </c>
      <c r="G844" t="inlineStr">
        <is>
          <t>primary</t>
        </is>
      </c>
      <c r="H844" t="inlineStr">
        <is>
          <t>AUTO_VESSEL</t>
        </is>
      </c>
      <c r="I844" t="inlineStr">
        <is>
          <t>是</t>
        </is>
      </c>
      <c r="J844" t="inlineStr">
        <is>
          <t>纳入</t>
        </is>
      </c>
      <c r="K844" t="n">
        <v>160.4914933837429</v>
      </c>
      <c r="L844">
        <f>导管母表_860!G844</f>
        <v/>
      </c>
      <c r="M844" t="inlineStr">
        <is>
          <t>视野内部</t>
        </is>
      </c>
      <c r="N844" t="inlineStr">
        <is>
          <t>纳入A/D/Dh；若有Pair_ID则纳入CWR</t>
        </is>
      </c>
      <c r="O844" t="inlineStr">
        <is>
          <t>自动管线检出的合格导管腔。</t>
        </is>
      </c>
      <c r="P844" t="inlineStr">
        <is>
          <t>auto_pipeline;review_png_green</t>
        </is>
      </c>
      <c r="R844" t="inlineStr">
        <is>
          <t>样品63</t>
        </is>
      </c>
    </row>
    <row r="845">
      <c r="A845" t="inlineStr">
        <is>
          <t>63(4)-V07</t>
        </is>
      </c>
      <c r="B845" t="inlineStr">
        <is>
          <t>63 (4).tif</t>
        </is>
      </c>
      <c r="C845" t="n">
        <v>765</v>
      </c>
      <c r="D845" t="n">
        <v>402</v>
      </c>
      <c r="E845" t="inlineStr">
        <is>
          <t>739,366,792,439</t>
        </is>
      </c>
      <c r="F845" t="n">
        <v>232</v>
      </c>
      <c r="G845" t="inlineStr">
        <is>
          <t>primary</t>
        </is>
      </c>
      <c r="H845" t="inlineStr">
        <is>
          <t>AUTO_VESSEL</t>
        </is>
      </c>
      <c r="I845" t="inlineStr">
        <is>
          <t>是</t>
        </is>
      </c>
      <c r="J845" t="inlineStr">
        <is>
          <t>纳入</t>
        </is>
      </c>
      <c r="K845" t="n">
        <v>132.2778827977316</v>
      </c>
      <c r="L845">
        <f>导管母表_860!G845</f>
        <v/>
      </c>
      <c r="M845" t="inlineStr">
        <is>
          <t>视野内部</t>
        </is>
      </c>
      <c r="N845" t="inlineStr">
        <is>
          <t>纳入A/D/Dh；若有Pair_ID则纳入CWR</t>
        </is>
      </c>
      <c r="O845" t="inlineStr">
        <is>
          <t>自动管线检出的合格导管腔。</t>
        </is>
      </c>
      <c r="P845" t="inlineStr">
        <is>
          <t>auto_pipeline;review_png_green</t>
        </is>
      </c>
      <c r="R845" t="inlineStr">
        <is>
          <t>样品63</t>
        </is>
      </c>
    </row>
    <row r="846">
      <c r="A846" t="inlineStr">
        <is>
          <t>63(4)-V08</t>
        </is>
      </c>
      <c r="B846" t="inlineStr">
        <is>
          <t>63 (4).tif</t>
        </is>
      </c>
      <c r="C846" t="n">
        <v>494</v>
      </c>
      <c r="D846" t="n">
        <v>338</v>
      </c>
      <c r="E846" t="inlineStr">
        <is>
          <t>465,316,524,361</t>
        </is>
      </c>
      <c r="F846" t="n">
        <v>316</v>
      </c>
      <c r="G846" t="inlineStr">
        <is>
          <t>primary</t>
        </is>
      </c>
      <c r="H846" t="inlineStr">
        <is>
          <t>AUTO_VESSEL</t>
        </is>
      </c>
      <c r="I846" t="inlineStr">
        <is>
          <t>是</t>
        </is>
      </c>
      <c r="J846" t="inlineStr">
        <is>
          <t>纳入</t>
        </is>
      </c>
      <c r="K846" t="n">
        <v>81.00189035916824</v>
      </c>
      <c r="L846">
        <f>导管母表_860!G846</f>
        <v/>
      </c>
      <c r="M846" t="inlineStr">
        <is>
          <t>视野内部</t>
        </is>
      </c>
      <c r="N846" t="inlineStr">
        <is>
          <t>纳入A/D/Dh；若有Pair_ID则纳入CWR</t>
        </is>
      </c>
      <c r="O846" t="inlineStr">
        <is>
          <t>自动管线检出的合格导管腔。</t>
        </is>
      </c>
      <c r="P846" t="inlineStr">
        <is>
          <t>auto_pipeline;review_png_green</t>
        </is>
      </c>
      <c r="Q846" t="inlineStr">
        <is>
          <t>63(4)-P01</t>
        </is>
      </c>
      <c r="R846" t="inlineStr">
        <is>
          <t>样品63</t>
        </is>
      </c>
    </row>
    <row r="847">
      <c r="A847" t="inlineStr">
        <is>
          <t>63(5)-V01</t>
        </is>
      </c>
      <c r="B847" t="inlineStr">
        <is>
          <t>63 (5).tif</t>
        </is>
      </c>
      <c r="C847" t="n">
        <v>480</v>
      </c>
      <c r="D847" t="n">
        <v>291</v>
      </c>
      <c r="E847" t="inlineStr">
        <is>
          <t>417,226,544,357</t>
        </is>
      </c>
      <c r="F847" t="n">
        <v>226</v>
      </c>
      <c r="G847" t="inlineStr">
        <is>
          <t>primary</t>
        </is>
      </c>
      <c r="H847" t="inlineStr">
        <is>
          <t>AUTO_VESSEL</t>
        </is>
      </c>
      <c r="I847" t="inlineStr">
        <is>
          <t>是</t>
        </is>
      </c>
      <c r="J847" t="inlineStr">
        <is>
          <t>纳入</t>
        </is>
      </c>
      <c r="K847" t="n">
        <v>606.3327032136106</v>
      </c>
      <c r="L847">
        <f>导管母表_860!G847</f>
        <v/>
      </c>
      <c r="M847" t="inlineStr">
        <is>
          <t>视野内部</t>
        </is>
      </c>
      <c r="N847" t="inlineStr">
        <is>
          <t>纳入A/D/Dh；若有Pair_ID则纳入CWR</t>
        </is>
      </c>
      <c r="O847" t="inlineStr">
        <is>
          <t>自动管线检出的合格导管腔。</t>
        </is>
      </c>
      <c r="P847" t="inlineStr">
        <is>
          <t>auto_pipeline;review_png_green</t>
        </is>
      </c>
      <c r="Q847" t="inlineStr">
        <is>
          <t>63(5)-P01</t>
        </is>
      </c>
      <c r="R847" t="inlineStr">
        <is>
          <t>样品63</t>
        </is>
      </c>
    </row>
    <row r="848">
      <c r="A848" t="inlineStr">
        <is>
          <t>63(5)-V02</t>
        </is>
      </c>
      <c r="B848" t="inlineStr">
        <is>
          <t>63 (5).tif</t>
        </is>
      </c>
      <c r="C848" t="n">
        <v>499</v>
      </c>
      <c r="D848" t="n">
        <v>439</v>
      </c>
      <c r="E848" t="inlineStr">
        <is>
          <t>438,372,561,507</t>
        </is>
      </c>
      <c r="F848" t="n">
        <v>261</v>
      </c>
      <c r="G848" t="inlineStr">
        <is>
          <t>primary</t>
        </is>
      </c>
      <c r="H848" t="inlineStr">
        <is>
          <t>AUTO_VESSEL</t>
        </is>
      </c>
      <c r="I848" t="inlineStr">
        <is>
          <t>是</t>
        </is>
      </c>
      <c r="J848" t="inlineStr">
        <is>
          <t>纳入</t>
        </is>
      </c>
      <c r="K848" t="n">
        <v>605.741965973535</v>
      </c>
      <c r="L848">
        <f>导管母表_860!G848</f>
        <v/>
      </c>
      <c r="M848" t="inlineStr">
        <is>
          <t>视野内部</t>
        </is>
      </c>
      <c r="N848" t="inlineStr">
        <is>
          <t>纳入A/D/Dh；若有Pair_ID则纳入CWR</t>
        </is>
      </c>
      <c r="O848" t="inlineStr">
        <is>
          <t>自动管线检出的合格导管腔。</t>
        </is>
      </c>
      <c r="P848" t="inlineStr">
        <is>
          <t>auto_pipeline;review_png_green</t>
        </is>
      </c>
      <c r="Q848" t="inlineStr">
        <is>
          <t>63(5)-P01</t>
        </is>
      </c>
      <c r="R848" t="inlineStr">
        <is>
          <t>样品63</t>
        </is>
      </c>
    </row>
    <row r="849">
      <c r="A849" t="inlineStr">
        <is>
          <t>63(5)-V03</t>
        </is>
      </c>
      <c r="B849" t="inlineStr">
        <is>
          <t>63 (5).tif</t>
        </is>
      </c>
      <c r="C849" t="n">
        <v>320</v>
      </c>
      <c r="D849" t="n">
        <v>539</v>
      </c>
      <c r="E849" t="inlineStr">
        <is>
          <t>265,471,376,608</t>
        </is>
      </c>
      <c r="F849" t="n">
        <v>160</v>
      </c>
      <c r="G849" t="inlineStr">
        <is>
          <t>primary</t>
        </is>
      </c>
      <c r="H849" t="inlineStr">
        <is>
          <t>AUTO_VESSEL</t>
        </is>
      </c>
      <c r="I849" t="inlineStr">
        <is>
          <t>是</t>
        </is>
      </c>
      <c r="J849" t="inlineStr">
        <is>
          <t>纳入</t>
        </is>
      </c>
      <c r="K849" t="n">
        <v>554.820415879017</v>
      </c>
      <c r="L849">
        <f>导管母表_860!G849</f>
        <v/>
      </c>
      <c r="M849" t="inlineStr">
        <is>
          <t>视野内部</t>
        </is>
      </c>
      <c r="N849" t="inlineStr">
        <is>
          <t>纳入A/D/Dh；若有Pair_ID则纳入CWR</t>
        </is>
      </c>
      <c r="O849" t="inlineStr">
        <is>
          <t>自动管线检出的合格导管腔。</t>
        </is>
      </c>
      <c r="P849" t="inlineStr">
        <is>
          <t>auto_pipeline;review_png_green</t>
        </is>
      </c>
      <c r="R849" t="inlineStr">
        <is>
          <t>样品63</t>
        </is>
      </c>
    </row>
    <row r="850">
      <c r="A850" t="inlineStr">
        <is>
          <t>63(5)-V04</t>
        </is>
      </c>
      <c r="B850" t="inlineStr">
        <is>
          <t>63 (5).tif</t>
        </is>
      </c>
      <c r="C850" t="n">
        <v>541</v>
      </c>
      <c r="D850" t="n">
        <v>221</v>
      </c>
      <c r="E850" t="inlineStr">
        <is>
          <t>508,175,575,268</t>
        </is>
      </c>
      <c r="F850" t="n">
        <v>175</v>
      </c>
      <c r="G850" t="inlineStr">
        <is>
          <t>primary</t>
        </is>
      </c>
      <c r="H850" t="inlineStr">
        <is>
          <t>AUTO_VESSEL</t>
        </is>
      </c>
      <c r="I850" t="inlineStr">
        <is>
          <t>是</t>
        </is>
      </c>
      <c r="J850" t="inlineStr">
        <is>
          <t>纳入</t>
        </is>
      </c>
      <c r="K850" t="n">
        <v>144.8724007561437</v>
      </c>
      <c r="L850">
        <f>导管母表_860!G850</f>
        <v/>
      </c>
      <c r="M850" t="inlineStr">
        <is>
          <t>视野内部</t>
        </is>
      </c>
      <c r="N850" t="inlineStr">
        <is>
          <t>纳入A/D/Dh；若有Pair_ID则纳入CWR</t>
        </is>
      </c>
      <c r="O850" t="inlineStr">
        <is>
          <t>自动管线检出的合格导管腔。</t>
        </is>
      </c>
      <c r="P850" t="inlineStr">
        <is>
          <t>auto_pipeline;review_png_green</t>
        </is>
      </c>
      <c r="R850" t="inlineStr">
        <is>
          <t>样品63</t>
        </is>
      </c>
    </row>
    <row r="851">
      <c r="A851" t="inlineStr">
        <is>
          <t>63(6)-V01</t>
        </is>
      </c>
      <c r="B851" t="inlineStr">
        <is>
          <t>63 (6).tif</t>
        </is>
      </c>
      <c r="C851" t="n">
        <v>733</v>
      </c>
      <c r="D851" t="n">
        <v>595</v>
      </c>
      <c r="E851" t="inlineStr">
        <is>
          <t>670,533,797,658</t>
        </is>
      </c>
      <c r="F851" t="n">
        <v>110</v>
      </c>
      <c r="G851" t="inlineStr">
        <is>
          <t>primary</t>
        </is>
      </c>
      <c r="H851" t="inlineStr">
        <is>
          <t>AUTO_VESSEL</t>
        </is>
      </c>
      <c r="I851" t="inlineStr">
        <is>
          <t>是</t>
        </is>
      </c>
      <c r="J851" t="inlineStr">
        <is>
          <t>纳入</t>
        </is>
      </c>
      <c r="K851" t="n">
        <v>580.1275992438564</v>
      </c>
      <c r="L851">
        <f>导管母表_860!G851</f>
        <v/>
      </c>
      <c r="M851" t="inlineStr">
        <is>
          <t>视野内部</t>
        </is>
      </c>
      <c r="N851" t="inlineStr">
        <is>
          <t>纳入A/D/Dh；若有Pair_ID则纳入CWR</t>
        </is>
      </c>
      <c r="O851" t="inlineStr">
        <is>
          <t>自动管线检出的合格导管腔。</t>
        </is>
      </c>
      <c r="P851" t="inlineStr">
        <is>
          <t>auto_pipeline;review_png_green</t>
        </is>
      </c>
      <c r="R851" t="inlineStr">
        <is>
          <t>样品63</t>
        </is>
      </c>
    </row>
    <row r="852">
      <c r="A852" t="inlineStr">
        <is>
          <t>63(6)-V02</t>
        </is>
      </c>
      <c r="B852" t="inlineStr">
        <is>
          <t>63 (6).tif</t>
        </is>
      </c>
      <c r="C852" t="n">
        <v>600</v>
      </c>
      <c r="D852" t="n">
        <v>365</v>
      </c>
      <c r="E852" t="inlineStr">
        <is>
          <t>543,303,658,428</t>
        </is>
      </c>
      <c r="F852" t="n">
        <v>303</v>
      </c>
      <c r="G852" t="inlineStr">
        <is>
          <t>primary</t>
        </is>
      </c>
      <c r="H852" t="inlineStr">
        <is>
          <t>AUTO_VESSEL</t>
        </is>
      </c>
      <c r="I852" t="inlineStr">
        <is>
          <t>是</t>
        </is>
      </c>
      <c r="J852" t="inlineStr">
        <is>
          <t>纳入</t>
        </is>
      </c>
      <c r="K852" t="n">
        <v>521.195652173913</v>
      </c>
      <c r="L852">
        <f>导管母表_860!G852</f>
        <v/>
      </c>
      <c r="M852" t="inlineStr">
        <is>
          <t>视野内部</t>
        </is>
      </c>
      <c r="N852" t="inlineStr">
        <is>
          <t>纳入A/D/Dh；若有Pair_ID则纳入CWR</t>
        </is>
      </c>
      <c r="O852" t="inlineStr">
        <is>
          <t>自动管线检出的合格导管腔。</t>
        </is>
      </c>
      <c r="P852" t="inlineStr">
        <is>
          <t>auto_pipeline;review_png_green</t>
        </is>
      </c>
      <c r="R852" t="inlineStr">
        <is>
          <t>样品63</t>
        </is>
      </c>
    </row>
    <row r="853">
      <c r="A853" t="inlineStr">
        <is>
          <t>63(6)-V03</t>
        </is>
      </c>
      <c r="B853" t="inlineStr">
        <is>
          <t>63 (6).tif</t>
        </is>
      </c>
      <c r="C853" t="n">
        <v>127</v>
      </c>
      <c r="D853" t="n">
        <v>71</v>
      </c>
      <c r="E853" t="inlineStr">
        <is>
          <t>68,15,187,128</t>
        </is>
      </c>
      <c r="F853" t="n">
        <v>15</v>
      </c>
      <c r="G853" t="inlineStr">
        <is>
          <t>primary</t>
        </is>
      </c>
      <c r="H853" t="inlineStr">
        <is>
          <t>AUTO_VESSEL</t>
        </is>
      </c>
      <c r="I853" t="inlineStr">
        <is>
          <t>是</t>
        </is>
      </c>
      <c r="J853" t="inlineStr">
        <is>
          <t>纳入</t>
        </is>
      </c>
      <c r="K853" t="n">
        <v>473.086011342155</v>
      </c>
      <c r="L853">
        <f>导管母表_860!G853</f>
        <v/>
      </c>
      <c r="M853" t="inlineStr">
        <is>
          <t>近边缘（&lt;25 px）</t>
        </is>
      </c>
      <c r="N853" t="inlineStr">
        <is>
          <t>纳入A/D/Dh；若有Pair_ID则纳入CWR</t>
        </is>
      </c>
      <c r="O853" t="inlineStr">
        <is>
          <t>自动管线检出的合格导管腔。</t>
        </is>
      </c>
      <c r="P853" t="inlineStr">
        <is>
          <t>auto_pipeline;review_png_green</t>
        </is>
      </c>
      <c r="R853" t="inlineStr">
        <is>
          <t>样品63</t>
        </is>
      </c>
    </row>
    <row r="854">
      <c r="A854" t="inlineStr">
        <is>
          <t>63(6)-V04</t>
        </is>
      </c>
      <c r="B854" t="inlineStr">
        <is>
          <t>63 (6).tif</t>
        </is>
      </c>
      <c r="C854" t="n">
        <v>882</v>
      </c>
      <c r="D854" t="n">
        <v>615</v>
      </c>
      <c r="E854" t="inlineStr">
        <is>
          <t>850,581,915,650</t>
        </is>
      </c>
      <c r="F854" t="n">
        <v>109</v>
      </c>
      <c r="G854" t="inlineStr">
        <is>
          <t>primary</t>
        </is>
      </c>
      <c r="H854" t="inlineStr">
        <is>
          <t>AUTO_VESSEL</t>
        </is>
      </c>
      <c r="I854" t="inlineStr">
        <is>
          <t>是</t>
        </is>
      </c>
      <c r="J854" t="inlineStr">
        <is>
          <t>纳入</t>
        </is>
      </c>
      <c r="K854" t="n">
        <v>159.4990548204159</v>
      </c>
      <c r="L854">
        <f>导管母表_860!G854</f>
        <v/>
      </c>
      <c r="M854" t="inlineStr">
        <is>
          <t>视野内部</t>
        </is>
      </c>
      <c r="N854" t="inlineStr">
        <is>
          <t>纳入A/D/Dh；若有Pair_ID则纳入CWR</t>
        </is>
      </c>
      <c r="O854" t="inlineStr">
        <is>
          <t>自动管线检出的合格导管腔。</t>
        </is>
      </c>
      <c r="P854" t="inlineStr">
        <is>
          <t>auto_pipeline;review_png_green</t>
        </is>
      </c>
      <c r="R854" t="inlineStr">
        <is>
          <t>样品63</t>
        </is>
      </c>
    </row>
    <row r="855">
      <c r="A855" t="inlineStr">
        <is>
          <t>63(6)-V05</t>
        </is>
      </c>
      <c r="B855" t="inlineStr">
        <is>
          <t>63 (6).tif</t>
        </is>
      </c>
      <c r="C855" t="n">
        <v>409</v>
      </c>
      <c r="D855" t="n">
        <v>454</v>
      </c>
      <c r="E855" t="inlineStr">
        <is>
          <t>359,434,460,475</t>
        </is>
      </c>
      <c r="F855" t="n">
        <v>293</v>
      </c>
      <c r="G855" t="inlineStr">
        <is>
          <t>primary</t>
        </is>
      </c>
      <c r="H855" t="inlineStr">
        <is>
          <t>AUTO_VESSEL</t>
        </is>
      </c>
      <c r="I855" t="inlineStr">
        <is>
          <t>是</t>
        </is>
      </c>
      <c r="J855" t="inlineStr">
        <is>
          <t>纳入</t>
        </is>
      </c>
      <c r="K855" t="n">
        <v>107.9395085066163</v>
      </c>
      <c r="L855">
        <f>导管母表_860!G855</f>
        <v/>
      </c>
      <c r="M855" t="inlineStr">
        <is>
          <t>视野内部</t>
        </is>
      </c>
      <c r="N855" t="inlineStr">
        <is>
          <t>纳入A/D/Dh；若有Pair_ID则纳入CWR</t>
        </is>
      </c>
      <c r="O855" t="inlineStr">
        <is>
          <t>自动管线检出的合格导管腔。</t>
        </is>
      </c>
      <c r="P855" t="inlineStr">
        <is>
          <t>auto_pipeline;review_png_green</t>
        </is>
      </c>
      <c r="R855" t="inlineStr">
        <is>
          <t>样品63</t>
        </is>
      </c>
    </row>
    <row r="856">
      <c r="A856" t="inlineStr">
        <is>
          <t>63(7)-V01</t>
        </is>
      </c>
      <c r="B856" t="inlineStr">
        <is>
          <t>63 (7).tif</t>
        </is>
      </c>
      <c r="C856" t="n">
        <v>432</v>
      </c>
      <c r="D856" t="n">
        <v>360</v>
      </c>
      <c r="E856" t="inlineStr">
        <is>
          <t>365,296,500,425</t>
        </is>
      </c>
      <c r="F856" t="n">
        <v>296</v>
      </c>
      <c r="G856" t="inlineStr">
        <is>
          <t>primary</t>
        </is>
      </c>
      <c r="H856" t="inlineStr">
        <is>
          <t>AUTO_VESSEL</t>
        </is>
      </c>
      <c r="I856" t="inlineStr">
        <is>
          <t>是</t>
        </is>
      </c>
      <c r="J856" t="inlineStr">
        <is>
          <t>纳入</t>
        </is>
      </c>
      <c r="K856" t="n">
        <v>634.0737240075614</v>
      </c>
      <c r="L856">
        <f>导管母表_860!G856</f>
        <v/>
      </c>
      <c r="M856" t="inlineStr">
        <is>
          <t>视野内部</t>
        </is>
      </c>
      <c r="N856" t="inlineStr">
        <is>
          <t>纳入A/D/Dh；若有Pair_ID则纳入CWR</t>
        </is>
      </c>
      <c r="O856" t="inlineStr">
        <is>
          <t>自动管线检出的合格导管腔。</t>
        </is>
      </c>
      <c r="P856" t="inlineStr">
        <is>
          <t>auto_pipeline;review_png_green</t>
        </is>
      </c>
      <c r="R856" t="inlineStr">
        <is>
          <t>样品63</t>
        </is>
      </c>
    </row>
    <row r="857">
      <c r="A857" t="inlineStr">
        <is>
          <t>63(7)-V02</t>
        </is>
      </c>
      <c r="B857" t="inlineStr">
        <is>
          <t>63 (7).tif</t>
        </is>
      </c>
      <c r="C857" t="n">
        <v>549</v>
      </c>
      <c r="D857" t="n">
        <v>427</v>
      </c>
      <c r="E857" t="inlineStr">
        <is>
          <t>502,363,597,492</t>
        </is>
      </c>
      <c r="F857" t="n">
        <v>276</v>
      </c>
      <c r="G857" t="inlineStr">
        <is>
          <t>primary</t>
        </is>
      </c>
      <c r="H857" t="inlineStr">
        <is>
          <t>AUTO_VESSEL</t>
        </is>
      </c>
      <c r="I857" t="inlineStr">
        <is>
          <t>是</t>
        </is>
      </c>
      <c r="J857" t="inlineStr">
        <is>
          <t>纳入</t>
        </is>
      </c>
      <c r="K857" t="n">
        <v>444.0926275992439</v>
      </c>
      <c r="L857">
        <f>导管母表_860!G857</f>
        <v/>
      </c>
      <c r="M857" t="inlineStr">
        <is>
          <t>视野内部</t>
        </is>
      </c>
      <c r="N857" t="inlineStr">
        <is>
          <t>纳入A/D/Dh；若有Pair_ID则纳入CWR</t>
        </is>
      </c>
      <c r="O857" t="inlineStr">
        <is>
          <t>自动管线检出的合格导管腔。</t>
        </is>
      </c>
      <c r="P857" t="inlineStr">
        <is>
          <t>auto_pipeline;review_png_green</t>
        </is>
      </c>
      <c r="R857" t="inlineStr">
        <is>
          <t>样品63</t>
        </is>
      </c>
    </row>
    <row r="858">
      <c r="A858" t="inlineStr">
        <is>
          <t>63(8)-V01</t>
        </is>
      </c>
      <c r="B858" t="inlineStr">
        <is>
          <t>63 (8).tif</t>
        </is>
      </c>
      <c r="C858" t="n">
        <v>443</v>
      </c>
      <c r="D858" t="n">
        <v>320</v>
      </c>
      <c r="E858" t="inlineStr">
        <is>
          <t>393,250,494,391</t>
        </is>
      </c>
      <c r="F858" t="n">
        <v>250</v>
      </c>
      <c r="G858" t="inlineStr">
        <is>
          <t>primary</t>
        </is>
      </c>
      <c r="H858" t="inlineStr">
        <is>
          <t>AUTO_VESSEL</t>
        </is>
      </c>
      <c r="I858" t="inlineStr">
        <is>
          <t>是</t>
        </is>
      </c>
      <c r="J858" t="inlineStr">
        <is>
          <t>纳入</t>
        </is>
      </c>
      <c r="K858" t="n">
        <v>520.0378071833649</v>
      </c>
      <c r="L858">
        <f>导管母表_860!G858</f>
        <v/>
      </c>
      <c r="M858" t="inlineStr">
        <is>
          <t>视野内部</t>
        </is>
      </c>
      <c r="N858" t="inlineStr">
        <is>
          <t>纳入A/D/Dh；若有Pair_ID则纳入CWR</t>
        </is>
      </c>
      <c r="O858" t="inlineStr">
        <is>
          <t>自动管线检出的合格导管腔。</t>
        </is>
      </c>
      <c r="P858" t="inlineStr">
        <is>
          <t>auto_pipeline;review_png_green</t>
        </is>
      </c>
      <c r="R858" t="inlineStr">
        <is>
          <t>样品63</t>
        </is>
      </c>
    </row>
    <row r="859">
      <c r="A859" t="inlineStr">
        <is>
          <t>63(8)-V02</t>
        </is>
      </c>
      <c r="B859" t="inlineStr">
        <is>
          <t>63 (8).tif</t>
        </is>
      </c>
      <c r="C859" t="n">
        <v>533</v>
      </c>
      <c r="D859" t="n">
        <v>444</v>
      </c>
      <c r="E859" t="inlineStr">
        <is>
          <t>482,385,585,504</t>
        </is>
      </c>
      <c r="F859" t="n">
        <v>264</v>
      </c>
      <c r="G859" t="inlineStr">
        <is>
          <t>primary</t>
        </is>
      </c>
      <c r="H859" t="inlineStr">
        <is>
          <t>AUTO_VESSEL</t>
        </is>
      </c>
      <c r="I859" t="inlineStr">
        <is>
          <t>是</t>
        </is>
      </c>
      <c r="J859" t="inlineStr">
        <is>
          <t>纳入</t>
        </is>
      </c>
      <c r="K859" t="n">
        <v>443.4782608695652</v>
      </c>
      <c r="L859">
        <f>导管母表_860!G859</f>
        <v/>
      </c>
      <c r="M859" t="inlineStr">
        <is>
          <t>视野内部</t>
        </is>
      </c>
      <c r="N859" t="inlineStr">
        <is>
          <t>纳入A/D/Dh；若有Pair_ID则纳入CWR</t>
        </is>
      </c>
      <c r="O859" t="inlineStr">
        <is>
          <t>自动管线检出的合格导管腔。</t>
        </is>
      </c>
      <c r="P859" t="inlineStr">
        <is>
          <t>auto_pipeline;review_png_green</t>
        </is>
      </c>
      <c r="R859" t="inlineStr">
        <is>
          <t>样品63</t>
        </is>
      </c>
    </row>
    <row r="860">
      <c r="A860" t="inlineStr">
        <is>
          <t>63(8)-V03</t>
        </is>
      </c>
      <c r="B860" t="inlineStr">
        <is>
          <t>63 (8).tif</t>
        </is>
      </c>
      <c r="C860" t="n">
        <v>918</v>
      </c>
      <c r="D860" t="n">
        <v>376</v>
      </c>
      <c r="E860" t="inlineStr">
        <is>
          <t>873,325,964,428</t>
        </is>
      </c>
      <c r="F860" t="n">
        <v>60</v>
      </c>
      <c r="G860" t="inlineStr">
        <is>
          <t>primary</t>
        </is>
      </c>
      <c r="H860" t="inlineStr">
        <is>
          <t>AUTO_VESSEL</t>
        </is>
      </c>
      <c r="I860" t="inlineStr">
        <is>
          <t>是</t>
        </is>
      </c>
      <c r="J860" t="inlineStr">
        <is>
          <t>纳入</t>
        </is>
      </c>
      <c r="K860" t="n">
        <v>338.5633270321361</v>
      </c>
      <c r="L860">
        <f>导管母表_860!G860</f>
        <v/>
      </c>
      <c r="M860" t="inlineStr">
        <is>
          <t>视野内部</t>
        </is>
      </c>
      <c r="N860" t="inlineStr">
        <is>
          <t>纳入A/D/Dh；若有Pair_ID则纳入CWR</t>
        </is>
      </c>
      <c r="O860" t="inlineStr">
        <is>
          <t>自动管线检出的合格导管腔。</t>
        </is>
      </c>
      <c r="P860" t="inlineStr">
        <is>
          <t>auto_pipeline;review_png_green</t>
        </is>
      </c>
      <c r="R860" t="inlineStr">
        <is>
          <t>样品63</t>
        </is>
      </c>
    </row>
    <row r="861">
      <c r="A861" t="inlineStr">
        <is>
          <t>63(8)-V04</t>
        </is>
      </c>
      <c r="B861" t="inlineStr">
        <is>
          <t>63 (8).tif</t>
        </is>
      </c>
      <c r="C861" t="n">
        <v>292</v>
      </c>
      <c r="D861" t="n">
        <v>58</v>
      </c>
      <c r="E861" t="inlineStr">
        <is>
          <t>254,24,331,93</t>
        </is>
      </c>
      <c r="F861" t="n">
        <v>24</v>
      </c>
      <c r="G861" t="inlineStr">
        <is>
          <t>primary</t>
        </is>
      </c>
      <c r="H861" t="inlineStr">
        <is>
          <t>AUTO_VESSEL</t>
        </is>
      </c>
      <c r="I861" t="inlineStr">
        <is>
          <t>是</t>
        </is>
      </c>
      <c r="J861" t="inlineStr">
        <is>
          <t>纳入</t>
        </is>
      </c>
      <c r="K861" t="n">
        <v>185.4914933837429</v>
      </c>
      <c r="L861">
        <f>导管母表_860!G861</f>
        <v/>
      </c>
      <c r="M861" t="inlineStr">
        <is>
          <t>近边缘（&lt;25 px）</t>
        </is>
      </c>
      <c r="N861" t="inlineStr">
        <is>
          <t>纳入A/D/Dh；若有Pair_ID则纳入CWR</t>
        </is>
      </c>
      <c r="O861" t="inlineStr">
        <is>
          <t>自动管线检出的合格导管腔。</t>
        </is>
      </c>
      <c r="P861" t="inlineStr">
        <is>
          <t>auto_pipeline;review_png_green</t>
        </is>
      </c>
      <c r="R861" t="inlineStr">
        <is>
          <t>样品63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图像</t>
        </is>
      </c>
      <c r="B1" t="inlineStr">
        <is>
          <t>primary导管</t>
        </is>
      </c>
      <c r="C1" t="inlineStr">
        <is>
          <t>borderline候选（含未测）</t>
        </is>
      </c>
      <c r="D1" t="inlineStr">
        <is>
          <t>excluded候选</t>
        </is>
      </c>
      <c r="E1" t="inlineStr">
        <is>
          <t>edge_truncated筛查候选</t>
        </is>
      </c>
      <c r="F1" t="inlineStr">
        <is>
          <t>相贴导管对</t>
        </is>
      </c>
      <c r="G1" t="inlineStr">
        <is>
          <t>TVW线数</t>
        </is>
      </c>
      <c r="H1" t="inlineStr">
        <is>
          <t>像素尺寸 (μm/px)</t>
        </is>
      </c>
      <c r="I1" t="inlineStr">
        <is>
          <t>组织高 (px)</t>
        </is>
      </c>
      <c r="J1" t="inlineStr">
        <is>
          <t>视野面积 (mm²)</t>
        </is>
      </c>
      <c r="K1" t="inlineStr">
        <is>
          <t>说明</t>
        </is>
      </c>
      <c r="L1" t="inlineStr">
        <is>
          <t>样品</t>
        </is>
      </c>
    </row>
    <row r="2">
      <c r="A2" t="inlineStr">
        <is>
          <t>41 (1).tif</t>
        </is>
      </c>
      <c r="B2">
        <f>COUNTIF(导管母表_860!B:B,A2)</f>
        <v/>
      </c>
      <c r="C2">
        <f>COUNTIFS(候选导管审计!B:B,A2,候选导管审计!G:G,"borderline")</f>
        <v/>
      </c>
      <c r="D2">
        <f>COUNTIFS(候选导管审计!B:B,A2,候选导管审计!G:G,"excluded")</f>
        <v/>
      </c>
      <c r="E2">
        <f>COUNTIFS(候选导管审计!B:B,A2,候选导管审计!G:G,"edge_truncated")</f>
        <v/>
      </c>
      <c r="F2">
        <f>COUNTIF(导管对_CWR_112!B:B,A2)</f>
        <v/>
      </c>
      <c r="G2">
        <f>COUNTIF(TVW线测量明细!B:B,A2)</f>
        <v/>
      </c>
      <c r="H2" t="n">
        <v>0.2173913043478261</v>
      </c>
      <c r="I2" t="n">
        <v>201</v>
      </c>
      <c r="J2">
        <f>1024*I2*H2^2/1000000</f>
        <v/>
      </c>
      <c r="K2" t="inlineStr">
        <is>
          <t>同一样品的技术视野；不是独立生物学重复</t>
        </is>
      </c>
      <c r="L2" t="inlineStr">
        <is>
          <t>样品41</t>
        </is>
      </c>
    </row>
    <row r="3">
      <c r="A3" t="inlineStr">
        <is>
          <t>41 (2).tif</t>
        </is>
      </c>
      <c r="B3">
        <f>COUNTIF(导管母表_860!B:B,A3)</f>
        <v/>
      </c>
      <c r="C3">
        <f>COUNTIFS(候选导管审计!B:B,A3,候选导管审计!G:G,"borderline")</f>
        <v/>
      </c>
      <c r="D3">
        <f>COUNTIFS(候选导管审计!B:B,A3,候选导管审计!G:G,"excluded")</f>
        <v/>
      </c>
      <c r="E3">
        <f>COUNTIFS(候选导管审计!B:B,A3,候选导管审计!G:G,"edge_truncated")</f>
        <v/>
      </c>
      <c r="F3">
        <f>COUNTIF(导管对_CWR_112!B:B,A3)</f>
        <v/>
      </c>
      <c r="G3">
        <f>COUNTIF(TVW线测量明细!B:B,A3)</f>
        <v/>
      </c>
      <c r="H3" t="n">
        <v>0.2173913043478261</v>
      </c>
      <c r="I3" t="n">
        <v>691</v>
      </c>
      <c r="J3">
        <f>1024*I3*H3^2/1000000</f>
        <v/>
      </c>
      <c r="K3" t="inlineStr">
        <is>
          <t>同一样品的技术视野；不是独立生物学重复</t>
        </is>
      </c>
      <c r="L3" t="inlineStr">
        <is>
          <t>样品41</t>
        </is>
      </c>
    </row>
    <row r="4">
      <c r="A4" t="inlineStr">
        <is>
          <t>41 (3).tif</t>
        </is>
      </c>
      <c r="B4">
        <f>COUNTIF(导管母表_860!B:B,A4)</f>
        <v/>
      </c>
      <c r="C4">
        <f>COUNTIFS(候选导管审计!B:B,A4,候选导管审计!G:G,"borderline")</f>
        <v/>
      </c>
      <c r="D4">
        <f>COUNTIFS(候选导管审计!B:B,A4,候选导管审计!G:G,"excluded")</f>
        <v/>
      </c>
      <c r="E4">
        <f>COUNTIFS(候选导管审计!B:B,A4,候选导管审计!G:G,"edge_truncated")</f>
        <v/>
      </c>
      <c r="F4">
        <f>COUNTIF(导管对_CWR_112!B:B,A4)</f>
        <v/>
      </c>
      <c r="G4">
        <f>COUNTIF(TVW线测量明细!B:B,A4)</f>
        <v/>
      </c>
      <c r="H4" t="n">
        <v>0.2173913043478261</v>
      </c>
      <c r="I4" t="n">
        <v>691</v>
      </c>
      <c r="J4">
        <f>1024*I4*H4^2/1000000</f>
        <v/>
      </c>
      <c r="K4" t="inlineStr">
        <is>
          <t>同一样品的技术视野；不是独立生物学重复</t>
        </is>
      </c>
      <c r="L4" t="inlineStr">
        <is>
          <t>样品41</t>
        </is>
      </c>
    </row>
    <row r="5">
      <c r="A5" t="inlineStr">
        <is>
          <t>41 (4).tif</t>
        </is>
      </c>
      <c r="B5">
        <f>COUNTIF(导管母表_860!B:B,A5)</f>
        <v/>
      </c>
      <c r="C5">
        <f>COUNTIFS(候选导管审计!B:B,A5,候选导管审计!G:G,"borderline")</f>
        <v/>
      </c>
      <c r="D5">
        <f>COUNTIFS(候选导管审计!B:B,A5,候选导管审计!G:G,"excluded")</f>
        <v/>
      </c>
      <c r="E5">
        <f>COUNTIFS(候选导管审计!B:B,A5,候选导管审计!G:G,"edge_truncated")</f>
        <v/>
      </c>
      <c r="F5">
        <f>COUNTIF(导管对_CWR_112!B:B,A5)</f>
        <v/>
      </c>
      <c r="G5">
        <f>COUNTIF(TVW线测量明细!B:B,A5)</f>
        <v/>
      </c>
      <c r="H5" t="n">
        <v>0.2173913043478261</v>
      </c>
      <c r="I5" t="n">
        <v>197</v>
      </c>
      <c r="J5">
        <f>1024*I5*H5^2/1000000</f>
        <v/>
      </c>
      <c r="K5" t="inlineStr">
        <is>
          <t>同一样品的技术视野；不是独立生物学重复</t>
        </is>
      </c>
      <c r="L5" t="inlineStr">
        <is>
          <t>样品41</t>
        </is>
      </c>
    </row>
    <row r="6">
      <c r="A6" t="inlineStr">
        <is>
          <t>41 (5).tif</t>
        </is>
      </c>
      <c r="B6">
        <f>COUNTIF(导管母表_860!B:B,A6)</f>
        <v/>
      </c>
      <c r="C6">
        <f>COUNTIFS(候选导管审计!B:B,A6,候选导管审计!G:G,"borderline")</f>
        <v/>
      </c>
      <c r="D6">
        <f>COUNTIFS(候选导管审计!B:B,A6,候选导管审计!G:G,"excluded")</f>
        <v/>
      </c>
      <c r="E6">
        <f>COUNTIFS(候选导管审计!B:B,A6,候选导管审计!G:G,"edge_truncated")</f>
        <v/>
      </c>
      <c r="F6">
        <f>COUNTIF(导管对_CWR_112!B:B,A6)</f>
        <v/>
      </c>
      <c r="G6">
        <f>COUNTIF(TVW线测量明细!B:B,A6)</f>
        <v/>
      </c>
      <c r="H6" t="n">
        <v>0.2173913043478261</v>
      </c>
      <c r="I6" t="n">
        <v>209</v>
      </c>
      <c r="J6">
        <f>1024*I6*H6^2/1000000</f>
        <v/>
      </c>
      <c r="K6" t="inlineStr">
        <is>
          <t>同一样品的技术视野；不是独立生物学重复</t>
        </is>
      </c>
      <c r="L6" t="inlineStr">
        <is>
          <t>样品41</t>
        </is>
      </c>
    </row>
    <row r="7">
      <c r="A7" t="inlineStr">
        <is>
          <t>41 (6).tif</t>
        </is>
      </c>
      <c r="B7">
        <f>COUNTIF(导管母表_860!B:B,A7)</f>
        <v/>
      </c>
      <c r="C7">
        <f>COUNTIFS(候选导管审计!B:B,A7,候选导管审计!G:G,"borderline")</f>
        <v/>
      </c>
      <c r="D7">
        <f>COUNTIFS(候选导管审计!B:B,A7,候选导管审计!G:G,"excluded")</f>
        <v/>
      </c>
      <c r="E7">
        <f>COUNTIFS(候选导管审计!B:B,A7,候选导管审计!G:G,"edge_truncated")</f>
        <v/>
      </c>
      <c r="F7">
        <f>COUNTIF(导管对_CWR_112!B:B,A7)</f>
        <v/>
      </c>
      <c r="G7">
        <f>COUNTIF(TVW线测量明细!B:B,A7)</f>
        <v/>
      </c>
      <c r="H7" t="n">
        <v>0.2173913043478261</v>
      </c>
      <c r="I7" t="n">
        <v>691</v>
      </c>
      <c r="J7">
        <f>1024*I7*H7^2/1000000</f>
        <v/>
      </c>
      <c r="K7" t="inlineStr">
        <is>
          <t>同一样品的技术视野；不是独立生物学重复</t>
        </is>
      </c>
      <c r="L7" t="inlineStr">
        <is>
          <t>样品41</t>
        </is>
      </c>
    </row>
    <row r="8">
      <c r="A8" t="inlineStr">
        <is>
          <t>41 (7).tif</t>
        </is>
      </c>
      <c r="B8">
        <f>COUNTIF(导管母表_860!B:B,A8)</f>
        <v/>
      </c>
      <c r="C8">
        <f>COUNTIFS(候选导管审计!B:B,A8,候选导管审计!G:G,"borderline")</f>
        <v/>
      </c>
      <c r="D8">
        <f>COUNTIFS(候选导管审计!B:B,A8,候选导管审计!G:G,"excluded")</f>
        <v/>
      </c>
      <c r="E8">
        <f>COUNTIFS(候选导管审计!B:B,A8,候选导管审计!G:G,"edge_truncated")</f>
        <v/>
      </c>
      <c r="F8">
        <f>COUNTIF(导管对_CWR_112!B:B,A8)</f>
        <v/>
      </c>
      <c r="G8">
        <f>COUNTIF(TVW线测量明细!B:B,A8)</f>
        <v/>
      </c>
      <c r="H8" t="n">
        <v>0.2173913043478261</v>
      </c>
      <c r="I8" t="n">
        <v>188</v>
      </c>
      <c r="J8">
        <f>1024*I8*H8^2/1000000</f>
        <v/>
      </c>
      <c r="K8" t="inlineStr">
        <is>
          <t>同一样品的技术视野；不是独立生物学重复</t>
        </is>
      </c>
      <c r="L8" t="inlineStr">
        <is>
          <t>样品41</t>
        </is>
      </c>
    </row>
    <row r="9">
      <c r="A9" t="inlineStr">
        <is>
          <t>41 (8).tif</t>
        </is>
      </c>
      <c r="B9">
        <f>COUNTIF(导管母表_860!B:B,A9)</f>
        <v/>
      </c>
      <c r="C9">
        <f>COUNTIFS(候选导管审计!B:B,A9,候选导管审计!G:G,"borderline")</f>
        <v/>
      </c>
      <c r="D9">
        <f>COUNTIFS(候选导管审计!B:B,A9,候选导管审计!G:G,"excluded")</f>
        <v/>
      </c>
      <c r="E9">
        <f>COUNTIFS(候选导管审计!B:B,A9,候选导管审计!G:G,"edge_truncated")</f>
        <v/>
      </c>
      <c r="F9">
        <f>COUNTIF(导管对_CWR_112!B:B,A9)</f>
        <v/>
      </c>
      <c r="G9">
        <f>COUNTIF(TVW线测量明细!B:B,A9)</f>
        <v/>
      </c>
      <c r="H9" t="n">
        <v>0.2173913043478261</v>
      </c>
      <c r="I9" t="n">
        <v>691</v>
      </c>
      <c r="J9">
        <f>1024*I9*H9^2/1000000</f>
        <v/>
      </c>
      <c r="K9" t="inlineStr">
        <is>
          <t>同一样品的技术视野；不是独立生物学重复</t>
        </is>
      </c>
      <c r="L9" t="inlineStr">
        <is>
          <t>样品41</t>
        </is>
      </c>
    </row>
    <row r="10">
      <c r="A10" t="inlineStr">
        <is>
          <t>42 (1).tif</t>
        </is>
      </c>
      <c r="B10">
        <f>COUNTIF(导管母表_860!B:B,A10)</f>
        <v/>
      </c>
      <c r="C10">
        <f>COUNTIFS(候选导管审计!B:B,A10,候选导管审计!G:G,"borderline")</f>
        <v/>
      </c>
      <c r="D10">
        <f>COUNTIFS(候选导管审计!B:B,A10,候选导管审计!G:G,"excluded")</f>
        <v/>
      </c>
      <c r="E10">
        <f>COUNTIFS(候选导管审计!B:B,A10,候选导管审计!G:G,"edge_truncated")</f>
        <v/>
      </c>
      <c r="F10">
        <f>COUNTIF(导管对_CWR_112!B:B,A10)</f>
        <v/>
      </c>
      <c r="G10">
        <f>COUNTIF(TVW线测量明细!B:B,A10)</f>
        <v/>
      </c>
      <c r="H10" t="n">
        <v>0.2173913043478261</v>
      </c>
      <c r="I10" t="n">
        <v>246</v>
      </c>
      <c r="J10">
        <f>1024*I10*H10^2/1000000</f>
        <v/>
      </c>
      <c r="K10" t="inlineStr">
        <is>
          <t>同一样品的技术视野；不是独立生物学重复</t>
        </is>
      </c>
      <c r="L10" t="inlineStr">
        <is>
          <t>样品42</t>
        </is>
      </c>
    </row>
    <row r="11">
      <c r="A11" t="inlineStr">
        <is>
          <t>42 (2).tif</t>
        </is>
      </c>
      <c r="B11">
        <f>COUNTIF(导管母表_860!B:B,A11)</f>
        <v/>
      </c>
      <c r="C11">
        <f>COUNTIFS(候选导管审计!B:B,A11,候选导管审计!G:G,"borderline")</f>
        <v/>
      </c>
      <c r="D11">
        <f>COUNTIFS(候选导管审计!B:B,A11,候选导管审计!G:G,"excluded")</f>
        <v/>
      </c>
      <c r="E11">
        <f>COUNTIFS(候选导管审计!B:B,A11,候选导管审计!G:G,"edge_truncated")</f>
        <v/>
      </c>
      <c r="F11">
        <f>COUNTIF(导管对_CWR_112!B:B,A11)</f>
        <v/>
      </c>
      <c r="G11">
        <f>COUNTIF(TVW线测量明细!B:B,A11)</f>
        <v/>
      </c>
      <c r="H11" t="n">
        <v>0.2173913043478261</v>
      </c>
      <c r="I11" t="n">
        <v>166</v>
      </c>
      <c r="J11">
        <f>1024*I11*H11^2/1000000</f>
        <v/>
      </c>
      <c r="K11" t="inlineStr">
        <is>
          <t>同一样品的技术视野；不是独立生物学重复</t>
        </is>
      </c>
      <c r="L11" t="inlineStr">
        <is>
          <t>样品42</t>
        </is>
      </c>
    </row>
    <row r="12">
      <c r="A12" t="inlineStr">
        <is>
          <t>42 (3).tif</t>
        </is>
      </c>
      <c r="B12">
        <f>COUNTIF(导管母表_860!B:B,A12)</f>
        <v/>
      </c>
      <c r="C12">
        <f>COUNTIFS(候选导管审计!B:B,A12,候选导管审计!G:G,"borderline")</f>
        <v/>
      </c>
      <c r="D12">
        <f>COUNTIFS(候选导管审计!B:B,A12,候选导管审计!G:G,"excluded")</f>
        <v/>
      </c>
      <c r="E12">
        <f>COUNTIFS(候选导管审计!B:B,A12,候选导管审计!G:G,"edge_truncated")</f>
        <v/>
      </c>
      <c r="F12">
        <f>COUNTIF(导管对_CWR_112!B:B,A12)</f>
        <v/>
      </c>
      <c r="G12">
        <f>COUNTIF(TVW线测量明细!B:B,A12)</f>
        <v/>
      </c>
      <c r="H12" t="n">
        <v>0.2173913043478261</v>
      </c>
      <c r="I12" t="n">
        <v>222</v>
      </c>
      <c r="J12">
        <f>1024*I12*H12^2/1000000</f>
        <v/>
      </c>
      <c r="K12" t="inlineStr">
        <is>
          <t>同一样品的技术视野；不是独立生物学重复</t>
        </is>
      </c>
      <c r="L12" t="inlineStr">
        <is>
          <t>样品42</t>
        </is>
      </c>
    </row>
    <row r="13">
      <c r="A13" t="inlineStr">
        <is>
          <t>42 (4).tif</t>
        </is>
      </c>
      <c r="B13">
        <f>COUNTIF(导管母表_860!B:B,A13)</f>
        <v/>
      </c>
      <c r="C13">
        <f>COUNTIFS(候选导管审计!B:B,A13,候选导管审计!G:G,"borderline")</f>
        <v/>
      </c>
      <c r="D13">
        <f>COUNTIFS(候选导管审计!B:B,A13,候选导管审计!G:G,"excluded")</f>
        <v/>
      </c>
      <c r="E13">
        <f>COUNTIFS(候选导管审计!B:B,A13,候选导管审计!G:G,"edge_truncated")</f>
        <v/>
      </c>
      <c r="F13">
        <f>COUNTIF(导管对_CWR_112!B:B,A13)</f>
        <v/>
      </c>
      <c r="G13">
        <f>COUNTIF(TVW线测量明细!B:B,A13)</f>
        <v/>
      </c>
      <c r="H13" t="n">
        <v>0.2173913043478261</v>
      </c>
      <c r="I13" t="n">
        <v>691</v>
      </c>
      <c r="J13">
        <f>1024*I13*H13^2/1000000</f>
        <v/>
      </c>
      <c r="K13" t="inlineStr">
        <is>
          <t>同一样品的技术视野；不是独立生物学重复</t>
        </is>
      </c>
      <c r="L13" t="inlineStr">
        <is>
          <t>样品42</t>
        </is>
      </c>
    </row>
    <row r="14">
      <c r="A14" t="inlineStr">
        <is>
          <t>42 (5).tif</t>
        </is>
      </c>
      <c r="B14">
        <f>COUNTIF(导管母表_860!B:B,A14)</f>
        <v/>
      </c>
      <c r="C14">
        <f>COUNTIFS(候选导管审计!B:B,A14,候选导管审计!G:G,"borderline")</f>
        <v/>
      </c>
      <c r="D14">
        <f>COUNTIFS(候选导管审计!B:B,A14,候选导管审计!G:G,"excluded")</f>
        <v/>
      </c>
      <c r="E14">
        <f>COUNTIFS(候选导管审计!B:B,A14,候选导管审计!G:G,"edge_truncated")</f>
        <v/>
      </c>
      <c r="F14">
        <f>COUNTIF(导管对_CWR_112!B:B,A14)</f>
        <v/>
      </c>
      <c r="G14">
        <f>COUNTIF(TVW线测量明细!B:B,A14)</f>
        <v/>
      </c>
      <c r="H14" t="n">
        <v>0.2173913043478261</v>
      </c>
      <c r="I14" t="n">
        <v>236</v>
      </c>
      <c r="J14">
        <f>1024*I14*H14^2/1000000</f>
        <v/>
      </c>
      <c r="K14" t="inlineStr">
        <is>
          <t>同一样品的技术视野；不是独立生物学重复</t>
        </is>
      </c>
      <c r="L14" t="inlineStr">
        <is>
          <t>样品42</t>
        </is>
      </c>
    </row>
    <row r="15">
      <c r="A15" t="inlineStr">
        <is>
          <t>42 (6).tif</t>
        </is>
      </c>
      <c r="B15">
        <f>COUNTIF(导管母表_860!B:B,A15)</f>
        <v/>
      </c>
      <c r="C15">
        <f>COUNTIFS(候选导管审计!B:B,A15,候选导管审计!G:G,"borderline")</f>
        <v/>
      </c>
      <c r="D15">
        <f>COUNTIFS(候选导管审计!B:B,A15,候选导管审计!G:G,"excluded")</f>
        <v/>
      </c>
      <c r="E15">
        <f>COUNTIFS(候选导管审计!B:B,A15,候选导管审计!G:G,"edge_truncated")</f>
        <v/>
      </c>
      <c r="F15">
        <f>COUNTIF(导管对_CWR_112!B:B,A15)</f>
        <v/>
      </c>
      <c r="G15">
        <f>COUNTIF(TVW线测量明细!B:B,A15)</f>
        <v/>
      </c>
      <c r="H15" t="n">
        <v>0.2173913043478261</v>
      </c>
      <c r="I15" t="n">
        <v>240</v>
      </c>
      <c r="J15">
        <f>1024*I15*H15^2/1000000</f>
        <v/>
      </c>
      <c r="K15" t="inlineStr">
        <is>
          <t>同一样品的技术视野；不是独立生物学重复</t>
        </is>
      </c>
      <c r="L15" t="inlineStr">
        <is>
          <t>样品42</t>
        </is>
      </c>
    </row>
    <row r="16">
      <c r="A16" t="inlineStr">
        <is>
          <t>42 (7).tif</t>
        </is>
      </c>
      <c r="B16">
        <f>COUNTIF(导管母表_860!B:B,A16)</f>
        <v/>
      </c>
      <c r="C16">
        <f>COUNTIFS(候选导管审计!B:B,A16,候选导管审计!G:G,"borderline")</f>
        <v/>
      </c>
      <c r="D16">
        <f>COUNTIFS(候选导管审计!B:B,A16,候选导管审计!G:G,"excluded")</f>
        <v/>
      </c>
      <c r="E16">
        <f>COUNTIFS(候选导管审计!B:B,A16,候选导管审计!G:G,"edge_truncated")</f>
        <v/>
      </c>
      <c r="F16">
        <f>COUNTIF(导管对_CWR_112!B:B,A16)</f>
        <v/>
      </c>
      <c r="G16">
        <f>COUNTIF(TVW线测量明细!B:B,A16)</f>
        <v/>
      </c>
      <c r="H16" t="n">
        <v>0.2173913043478261</v>
      </c>
      <c r="I16" t="n">
        <v>145</v>
      </c>
      <c r="J16">
        <f>1024*I16*H16^2/1000000</f>
        <v/>
      </c>
      <c r="K16" t="inlineStr">
        <is>
          <t>同一样品的技术视野；不是独立生物学重复</t>
        </is>
      </c>
      <c r="L16" t="inlineStr">
        <is>
          <t>样品42</t>
        </is>
      </c>
    </row>
    <row r="17">
      <c r="A17" t="inlineStr">
        <is>
          <t>42 (8).tif</t>
        </is>
      </c>
      <c r="B17">
        <f>COUNTIF(导管母表_860!B:B,A17)</f>
        <v/>
      </c>
      <c r="C17">
        <f>COUNTIFS(候选导管审计!B:B,A17,候选导管审计!G:G,"borderline")</f>
        <v/>
      </c>
      <c r="D17">
        <f>COUNTIFS(候选导管审计!B:B,A17,候选导管审计!G:G,"excluded")</f>
        <v/>
      </c>
      <c r="E17">
        <f>COUNTIFS(候选导管审计!B:B,A17,候选导管审计!G:G,"edge_truncated")</f>
        <v/>
      </c>
      <c r="F17">
        <f>COUNTIF(导管对_CWR_112!B:B,A17)</f>
        <v/>
      </c>
      <c r="G17">
        <f>COUNTIF(TVW线测量明细!B:B,A17)</f>
        <v/>
      </c>
      <c r="H17" t="n">
        <v>0.2173913043478261</v>
      </c>
      <c r="I17" t="n">
        <v>171</v>
      </c>
      <c r="J17">
        <f>1024*I17*H17^2/1000000</f>
        <v/>
      </c>
      <c r="K17" t="inlineStr">
        <is>
          <t>同一样品的技术视野；不是独立生物学重复</t>
        </is>
      </c>
      <c r="L17" t="inlineStr">
        <is>
          <t>样品42</t>
        </is>
      </c>
    </row>
    <row r="18">
      <c r="A18" t="inlineStr">
        <is>
          <t>43 (1).tif</t>
        </is>
      </c>
      <c r="B18">
        <f>COUNTIF(导管母表_860!B:B,A18)</f>
        <v/>
      </c>
      <c r="C18">
        <f>COUNTIFS(候选导管审计!B:B,A18,候选导管审计!G:G,"borderline")</f>
        <v/>
      </c>
      <c r="D18">
        <f>COUNTIFS(候选导管审计!B:B,A18,候选导管审计!G:G,"excluded")</f>
        <v/>
      </c>
      <c r="E18">
        <f>COUNTIFS(候选导管审计!B:B,A18,候选导管审计!G:G,"edge_truncated")</f>
        <v/>
      </c>
      <c r="F18">
        <f>COUNTIF(导管对_CWR_112!B:B,A18)</f>
        <v/>
      </c>
      <c r="G18">
        <f>COUNTIF(TVW线测量明细!B:B,A18)</f>
        <v/>
      </c>
      <c r="H18" t="n">
        <v>0.2173913043478261</v>
      </c>
      <c r="I18" t="n">
        <v>691</v>
      </c>
      <c r="J18">
        <f>1024*I18*H18^2/1000000</f>
        <v/>
      </c>
      <c r="K18" t="inlineStr">
        <is>
          <t>同一样品的技术视野；不是独立生物学重复</t>
        </is>
      </c>
      <c r="L18" t="inlineStr">
        <is>
          <t>样品43</t>
        </is>
      </c>
    </row>
    <row r="19">
      <c r="A19" t="inlineStr">
        <is>
          <t>43 (2).tif</t>
        </is>
      </c>
      <c r="B19">
        <f>COUNTIF(导管母表_860!B:B,A19)</f>
        <v/>
      </c>
      <c r="C19">
        <f>COUNTIFS(候选导管审计!B:B,A19,候选导管审计!G:G,"borderline")</f>
        <v/>
      </c>
      <c r="D19">
        <f>COUNTIFS(候选导管审计!B:B,A19,候选导管审计!G:G,"excluded")</f>
        <v/>
      </c>
      <c r="E19">
        <f>COUNTIFS(候选导管审计!B:B,A19,候选导管审计!G:G,"edge_truncated")</f>
        <v/>
      </c>
      <c r="F19">
        <f>COUNTIF(导管对_CWR_112!B:B,A19)</f>
        <v/>
      </c>
      <c r="G19">
        <f>COUNTIF(TVW线测量明细!B:B,A19)</f>
        <v/>
      </c>
      <c r="H19" t="n">
        <v>0.2173913043478261</v>
      </c>
      <c r="I19" t="n">
        <v>691</v>
      </c>
      <c r="J19">
        <f>1024*I19*H19^2/1000000</f>
        <v/>
      </c>
      <c r="K19" t="inlineStr">
        <is>
          <t>同一样品的技术视野；不是独立生物学重复</t>
        </is>
      </c>
      <c r="L19" t="inlineStr">
        <is>
          <t>样品43</t>
        </is>
      </c>
    </row>
    <row r="20">
      <c r="A20" t="inlineStr">
        <is>
          <t>43 (3).tif</t>
        </is>
      </c>
      <c r="B20">
        <f>COUNTIF(导管母表_860!B:B,A20)</f>
        <v/>
      </c>
      <c r="C20">
        <f>COUNTIFS(候选导管审计!B:B,A20,候选导管审计!G:G,"borderline")</f>
        <v/>
      </c>
      <c r="D20">
        <f>COUNTIFS(候选导管审计!B:B,A20,候选导管审计!G:G,"excluded")</f>
        <v/>
      </c>
      <c r="E20">
        <f>COUNTIFS(候选导管审计!B:B,A20,候选导管审计!G:G,"edge_truncated")</f>
        <v/>
      </c>
      <c r="F20">
        <f>COUNTIF(导管对_CWR_112!B:B,A20)</f>
        <v/>
      </c>
      <c r="G20">
        <f>COUNTIF(TVW线测量明细!B:B,A20)</f>
        <v/>
      </c>
      <c r="H20" t="n">
        <v>0.2173913043478261</v>
      </c>
      <c r="I20" t="n">
        <v>212</v>
      </c>
      <c r="J20">
        <f>1024*I20*H20^2/1000000</f>
        <v/>
      </c>
      <c r="K20" t="inlineStr">
        <is>
          <t>同一样品的技术视野；不是独立生物学重复</t>
        </is>
      </c>
      <c r="L20" t="inlineStr">
        <is>
          <t>样品43</t>
        </is>
      </c>
    </row>
    <row r="21">
      <c r="A21" t="inlineStr">
        <is>
          <t>43 (4).tif</t>
        </is>
      </c>
      <c r="B21">
        <f>COUNTIF(导管母表_860!B:B,A21)</f>
        <v/>
      </c>
      <c r="C21">
        <f>COUNTIFS(候选导管审计!B:B,A21,候选导管审计!G:G,"borderline")</f>
        <v/>
      </c>
      <c r="D21">
        <f>COUNTIFS(候选导管审计!B:B,A21,候选导管审计!G:G,"excluded")</f>
        <v/>
      </c>
      <c r="E21">
        <f>COUNTIFS(候选导管审计!B:B,A21,候选导管审计!G:G,"edge_truncated")</f>
        <v/>
      </c>
      <c r="F21">
        <f>COUNTIF(导管对_CWR_112!B:B,A21)</f>
        <v/>
      </c>
      <c r="G21">
        <f>COUNTIF(TVW线测量明细!B:B,A21)</f>
        <v/>
      </c>
      <c r="H21" t="n">
        <v>0.2173913043478261</v>
      </c>
      <c r="I21" t="n">
        <v>174</v>
      </c>
      <c r="J21">
        <f>1024*I21*H21^2/1000000</f>
        <v/>
      </c>
      <c r="K21" t="inlineStr">
        <is>
          <t>同一样品的技术视野；不是独立生物学重复</t>
        </is>
      </c>
      <c r="L21" t="inlineStr">
        <is>
          <t>样品43</t>
        </is>
      </c>
    </row>
    <row r="22">
      <c r="A22" t="inlineStr">
        <is>
          <t>43 (5).tif</t>
        </is>
      </c>
      <c r="B22">
        <f>COUNTIF(导管母表_860!B:B,A22)</f>
        <v/>
      </c>
      <c r="C22">
        <f>COUNTIFS(候选导管审计!B:B,A22,候选导管审计!G:G,"borderline")</f>
        <v/>
      </c>
      <c r="D22">
        <f>COUNTIFS(候选导管审计!B:B,A22,候选导管审计!G:G,"excluded")</f>
        <v/>
      </c>
      <c r="E22">
        <f>COUNTIFS(候选导管审计!B:B,A22,候选导管审计!G:G,"edge_truncated")</f>
        <v/>
      </c>
      <c r="F22">
        <f>COUNTIF(导管对_CWR_112!B:B,A22)</f>
        <v/>
      </c>
      <c r="G22">
        <f>COUNTIF(TVW线测量明细!B:B,A22)</f>
        <v/>
      </c>
      <c r="H22" t="n">
        <v>0.2173913043478261</v>
      </c>
      <c r="I22" t="n">
        <v>228</v>
      </c>
      <c r="J22">
        <f>1024*I22*H22^2/1000000</f>
        <v/>
      </c>
      <c r="K22" t="inlineStr">
        <is>
          <t>同一样品的技术视野；不是独立生物学重复</t>
        </is>
      </c>
      <c r="L22" t="inlineStr">
        <is>
          <t>样品43</t>
        </is>
      </c>
    </row>
    <row r="23">
      <c r="A23" t="inlineStr">
        <is>
          <t>43 (6).tif</t>
        </is>
      </c>
      <c r="B23">
        <f>COUNTIF(导管母表_860!B:B,A23)</f>
        <v/>
      </c>
      <c r="C23">
        <f>COUNTIFS(候选导管审计!B:B,A23,候选导管审计!G:G,"borderline")</f>
        <v/>
      </c>
      <c r="D23">
        <f>COUNTIFS(候选导管审计!B:B,A23,候选导管审计!G:G,"excluded")</f>
        <v/>
      </c>
      <c r="E23">
        <f>COUNTIFS(候选导管审计!B:B,A23,候选导管审计!G:G,"edge_truncated")</f>
        <v/>
      </c>
      <c r="F23">
        <f>COUNTIF(导管对_CWR_112!B:B,A23)</f>
        <v/>
      </c>
      <c r="G23">
        <f>COUNTIF(TVW线测量明细!B:B,A23)</f>
        <v/>
      </c>
      <c r="H23" t="n">
        <v>0.2173913043478261</v>
      </c>
      <c r="I23" t="n">
        <v>691</v>
      </c>
      <c r="J23">
        <f>1024*I23*H23^2/1000000</f>
        <v/>
      </c>
      <c r="K23" t="inlineStr">
        <is>
          <t>同一样品的技术视野；不是独立生物学重复</t>
        </is>
      </c>
      <c r="L23" t="inlineStr">
        <is>
          <t>样品43</t>
        </is>
      </c>
    </row>
    <row r="24">
      <c r="A24" t="inlineStr">
        <is>
          <t>43 (7).tif</t>
        </is>
      </c>
      <c r="B24">
        <f>COUNTIF(导管母表_860!B:B,A24)</f>
        <v/>
      </c>
      <c r="C24">
        <f>COUNTIFS(候选导管审计!B:B,A24,候选导管审计!G:G,"borderline")</f>
        <v/>
      </c>
      <c r="D24">
        <f>COUNTIFS(候选导管审计!B:B,A24,候选导管审计!G:G,"excluded")</f>
        <v/>
      </c>
      <c r="E24">
        <f>COUNTIFS(候选导管审计!B:B,A24,候选导管审计!G:G,"edge_truncated")</f>
        <v/>
      </c>
      <c r="F24">
        <f>COUNTIF(导管对_CWR_112!B:B,A24)</f>
        <v/>
      </c>
      <c r="G24">
        <f>COUNTIF(TVW线测量明细!B:B,A24)</f>
        <v/>
      </c>
      <c r="H24" t="n">
        <v>0.2173913043478261</v>
      </c>
      <c r="I24" t="n">
        <v>691</v>
      </c>
      <c r="J24">
        <f>1024*I24*H24^2/1000000</f>
        <v/>
      </c>
      <c r="K24" t="inlineStr">
        <is>
          <t>同一样品的技术视野；不是独立生物学重复</t>
        </is>
      </c>
      <c r="L24" t="inlineStr">
        <is>
          <t>样品43</t>
        </is>
      </c>
    </row>
    <row r="25">
      <c r="A25" t="inlineStr">
        <is>
          <t>43 (8).tif</t>
        </is>
      </c>
      <c r="B25">
        <f>COUNTIF(导管母表_860!B:B,A25)</f>
        <v/>
      </c>
      <c r="C25">
        <f>COUNTIFS(候选导管审计!B:B,A25,候选导管审计!G:G,"borderline")</f>
        <v/>
      </c>
      <c r="D25">
        <f>COUNTIFS(候选导管审计!B:B,A25,候选导管审计!G:G,"excluded")</f>
        <v/>
      </c>
      <c r="E25">
        <f>COUNTIFS(候选导管审计!B:B,A25,候选导管审计!G:G,"edge_truncated")</f>
        <v/>
      </c>
      <c r="F25">
        <f>COUNTIF(导管对_CWR_112!B:B,A25)</f>
        <v/>
      </c>
      <c r="G25">
        <f>COUNTIF(TVW线测量明细!B:B,A25)</f>
        <v/>
      </c>
      <c r="H25" t="n">
        <v>0.2173913043478261</v>
      </c>
      <c r="I25" t="n">
        <v>691</v>
      </c>
      <c r="J25">
        <f>1024*I25*H25^2/1000000</f>
        <v/>
      </c>
      <c r="K25" t="inlineStr">
        <is>
          <t>同一样品的技术视野；不是独立生物学重复</t>
        </is>
      </c>
      <c r="L25" t="inlineStr">
        <is>
          <t>样品43</t>
        </is>
      </c>
    </row>
    <row r="26">
      <c r="A26" t="inlineStr">
        <is>
          <t>44 (1).tif</t>
        </is>
      </c>
      <c r="B26">
        <f>COUNTIF(导管母表_860!B:B,A26)</f>
        <v/>
      </c>
      <c r="C26">
        <f>COUNTIFS(候选导管审计!B:B,A26,候选导管审计!G:G,"borderline")</f>
        <v/>
      </c>
      <c r="D26">
        <f>COUNTIFS(候选导管审计!B:B,A26,候选导管审计!G:G,"excluded")</f>
        <v/>
      </c>
      <c r="E26">
        <f>COUNTIFS(候选导管审计!B:B,A26,候选导管审计!G:G,"edge_truncated")</f>
        <v/>
      </c>
      <c r="F26">
        <f>COUNTIF(导管对_CWR_112!B:B,A26)</f>
        <v/>
      </c>
      <c r="G26">
        <f>COUNTIF(TVW线测量明细!B:B,A26)</f>
        <v/>
      </c>
      <c r="H26" t="n">
        <v>0.2173913043478261</v>
      </c>
      <c r="I26" t="n">
        <v>157</v>
      </c>
      <c r="J26">
        <f>1024*I26*H26^2/1000000</f>
        <v/>
      </c>
      <c r="K26" t="inlineStr">
        <is>
          <t>同一样品的技术视野；不是独立生物学重复</t>
        </is>
      </c>
      <c r="L26" t="inlineStr">
        <is>
          <t>样品44</t>
        </is>
      </c>
    </row>
    <row r="27">
      <c r="A27" t="inlineStr">
        <is>
          <t>44 (2).tif</t>
        </is>
      </c>
      <c r="B27">
        <f>COUNTIF(导管母表_860!B:B,A27)</f>
        <v/>
      </c>
      <c r="C27">
        <f>COUNTIFS(候选导管审计!B:B,A27,候选导管审计!G:G,"borderline")</f>
        <v/>
      </c>
      <c r="D27">
        <f>COUNTIFS(候选导管审计!B:B,A27,候选导管审计!G:G,"excluded")</f>
        <v/>
      </c>
      <c r="E27">
        <f>COUNTIFS(候选导管审计!B:B,A27,候选导管审计!G:G,"edge_truncated")</f>
        <v/>
      </c>
      <c r="F27">
        <f>COUNTIF(导管对_CWR_112!B:B,A27)</f>
        <v/>
      </c>
      <c r="G27">
        <f>COUNTIF(TVW线测量明细!B:B,A27)</f>
        <v/>
      </c>
      <c r="H27" t="n">
        <v>0.2173913043478261</v>
      </c>
      <c r="I27" t="n">
        <v>202</v>
      </c>
      <c r="J27">
        <f>1024*I27*H27^2/1000000</f>
        <v/>
      </c>
      <c r="K27" t="inlineStr">
        <is>
          <t>同一样品的技术视野；不是独立生物学重复</t>
        </is>
      </c>
      <c r="L27" t="inlineStr">
        <is>
          <t>样品44</t>
        </is>
      </c>
    </row>
    <row r="28">
      <c r="A28" t="inlineStr">
        <is>
          <t>44 (3).tif</t>
        </is>
      </c>
      <c r="B28">
        <f>COUNTIF(导管母表_860!B:B,A28)</f>
        <v/>
      </c>
      <c r="C28">
        <f>COUNTIFS(候选导管审计!B:B,A28,候选导管审计!G:G,"borderline")</f>
        <v/>
      </c>
      <c r="D28">
        <f>COUNTIFS(候选导管审计!B:B,A28,候选导管审计!G:G,"excluded")</f>
        <v/>
      </c>
      <c r="E28">
        <f>COUNTIFS(候选导管审计!B:B,A28,候选导管审计!G:G,"edge_truncated")</f>
        <v/>
      </c>
      <c r="F28">
        <f>COUNTIF(导管对_CWR_112!B:B,A28)</f>
        <v/>
      </c>
      <c r="G28">
        <f>COUNTIF(TVW线测量明细!B:B,A28)</f>
        <v/>
      </c>
      <c r="H28" t="n">
        <v>0.2173913043478261</v>
      </c>
      <c r="I28" t="n">
        <v>140</v>
      </c>
      <c r="J28">
        <f>1024*I28*H28^2/1000000</f>
        <v/>
      </c>
      <c r="K28" t="inlineStr">
        <is>
          <t>同一样品的技术视野；不是独立生物学重复</t>
        </is>
      </c>
      <c r="L28" t="inlineStr">
        <is>
          <t>样品44</t>
        </is>
      </c>
    </row>
    <row r="29">
      <c r="A29" t="inlineStr">
        <is>
          <t>44 (4).tif</t>
        </is>
      </c>
      <c r="B29">
        <f>COUNTIF(导管母表_860!B:B,A29)</f>
        <v/>
      </c>
      <c r="C29">
        <f>COUNTIFS(候选导管审计!B:B,A29,候选导管审计!G:G,"borderline")</f>
        <v/>
      </c>
      <c r="D29">
        <f>COUNTIFS(候选导管审计!B:B,A29,候选导管审计!G:G,"excluded")</f>
        <v/>
      </c>
      <c r="E29">
        <f>COUNTIFS(候选导管审计!B:B,A29,候选导管审计!G:G,"edge_truncated")</f>
        <v/>
      </c>
      <c r="F29">
        <f>COUNTIF(导管对_CWR_112!B:B,A29)</f>
        <v/>
      </c>
      <c r="G29">
        <f>COUNTIF(TVW线测量明细!B:B,A29)</f>
        <v/>
      </c>
      <c r="H29" t="n">
        <v>0.2173913043478261</v>
      </c>
      <c r="I29" t="n">
        <v>184</v>
      </c>
      <c r="J29">
        <f>1024*I29*H29^2/1000000</f>
        <v/>
      </c>
      <c r="K29" t="inlineStr">
        <is>
          <t>同一样品的技术视野；不是独立生物学重复</t>
        </is>
      </c>
      <c r="L29" t="inlineStr">
        <is>
          <t>样品44</t>
        </is>
      </c>
    </row>
    <row r="30">
      <c r="A30" t="inlineStr">
        <is>
          <t>44 (5).tif</t>
        </is>
      </c>
      <c r="B30">
        <f>COUNTIF(导管母表_860!B:B,A30)</f>
        <v/>
      </c>
      <c r="C30">
        <f>COUNTIFS(候选导管审计!B:B,A30,候选导管审计!G:G,"borderline")</f>
        <v/>
      </c>
      <c r="D30">
        <f>COUNTIFS(候选导管审计!B:B,A30,候选导管审计!G:G,"excluded")</f>
        <v/>
      </c>
      <c r="E30">
        <f>COUNTIFS(候选导管审计!B:B,A30,候选导管审计!G:G,"edge_truncated")</f>
        <v/>
      </c>
      <c r="F30">
        <f>COUNTIF(导管对_CWR_112!B:B,A30)</f>
        <v/>
      </c>
      <c r="G30">
        <f>COUNTIF(TVW线测量明细!B:B,A30)</f>
        <v/>
      </c>
      <c r="H30" t="n">
        <v>0.2173913043478261</v>
      </c>
      <c r="I30" t="n">
        <v>126</v>
      </c>
      <c r="J30">
        <f>1024*I30*H30^2/1000000</f>
        <v/>
      </c>
      <c r="K30" t="inlineStr">
        <is>
          <t>同一样品的技术视野；不是独立生物学重复</t>
        </is>
      </c>
      <c r="L30" t="inlineStr">
        <is>
          <t>样品44</t>
        </is>
      </c>
    </row>
    <row r="31">
      <c r="A31" t="inlineStr">
        <is>
          <t>44 (6).tif</t>
        </is>
      </c>
      <c r="B31">
        <f>COUNTIF(导管母表_860!B:B,A31)</f>
        <v/>
      </c>
      <c r="C31">
        <f>COUNTIFS(候选导管审计!B:B,A31,候选导管审计!G:G,"borderline")</f>
        <v/>
      </c>
      <c r="D31">
        <f>COUNTIFS(候选导管审计!B:B,A31,候选导管审计!G:G,"excluded")</f>
        <v/>
      </c>
      <c r="E31">
        <f>COUNTIFS(候选导管审计!B:B,A31,候选导管审计!G:G,"edge_truncated")</f>
        <v/>
      </c>
      <c r="F31">
        <f>COUNTIF(导管对_CWR_112!B:B,A31)</f>
        <v/>
      </c>
      <c r="G31">
        <f>COUNTIF(TVW线测量明细!B:B,A31)</f>
        <v/>
      </c>
      <c r="H31" t="n">
        <v>0.2173913043478261</v>
      </c>
      <c r="I31" t="n">
        <v>222</v>
      </c>
      <c r="J31">
        <f>1024*I31*H31^2/1000000</f>
        <v/>
      </c>
      <c r="K31" t="inlineStr">
        <is>
          <t>同一样品的技术视野；不是独立生物学重复</t>
        </is>
      </c>
      <c r="L31" t="inlineStr">
        <is>
          <t>样品44</t>
        </is>
      </c>
    </row>
    <row r="32">
      <c r="A32" t="inlineStr">
        <is>
          <t>44 (7).tif</t>
        </is>
      </c>
      <c r="B32">
        <f>COUNTIF(导管母表_860!B:B,A32)</f>
        <v/>
      </c>
      <c r="C32">
        <f>COUNTIFS(候选导管审计!B:B,A32,候选导管审计!G:G,"borderline")</f>
        <v/>
      </c>
      <c r="D32">
        <f>COUNTIFS(候选导管审计!B:B,A32,候选导管审计!G:G,"excluded")</f>
        <v/>
      </c>
      <c r="E32">
        <f>COUNTIFS(候选导管审计!B:B,A32,候选导管审计!G:G,"edge_truncated")</f>
        <v/>
      </c>
      <c r="F32">
        <f>COUNTIF(导管对_CWR_112!B:B,A32)</f>
        <v/>
      </c>
      <c r="G32">
        <f>COUNTIF(TVW线测量明细!B:B,A32)</f>
        <v/>
      </c>
      <c r="H32" t="n">
        <v>0.2173913043478261</v>
      </c>
      <c r="I32" t="n">
        <v>231</v>
      </c>
      <c r="J32">
        <f>1024*I32*H32^2/1000000</f>
        <v/>
      </c>
      <c r="K32" t="inlineStr">
        <is>
          <t>同一样品的技术视野；不是独立生物学重复</t>
        </is>
      </c>
      <c r="L32" t="inlineStr">
        <is>
          <t>样品44</t>
        </is>
      </c>
    </row>
    <row r="33">
      <c r="A33" t="inlineStr">
        <is>
          <t>44 (8).tif</t>
        </is>
      </c>
      <c r="B33">
        <f>COUNTIF(导管母表_860!B:B,A33)</f>
        <v/>
      </c>
      <c r="C33">
        <f>COUNTIFS(候选导管审计!B:B,A33,候选导管审计!G:G,"borderline")</f>
        <v/>
      </c>
      <c r="D33">
        <f>COUNTIFS(候选导管审计!B:B,A33,候选导管审计!G:G,"excluded")</f>
        <v/>
      </c>
      <c r="E33">
        <f>COUNTIFS(候选导管审计!B:B,A33,候选导管审计!G:G,"edge_truncated")</f>
        <v/>
      </c>
      <c r="F33">
        <f>COUNTIF(导管对_CWR_112!B:B,A33)</f>
        <v/>
      </c>
      <c r="G33">
        <f>COUNTIF(TVW线测量明细!B:B,A33)</f>
        <v/>
      </c>
      <c r="H33" t="n">
        <v>0.2173913043478261</v>
      </c>
      <c r="I33" t="n">
        <v>286</v>
      </c>
      <c r="J33">
        <f>1024*I33*H33^2/1000000</f>
        <v/>
      </c>
      <c r="K33" t="inlineStr">
        <is>
          <t>同一样品的技术视野；不是独立生物学重复</t>
        </is>
      </c>
      <c r="L33" t="inlineStr">
        <is>
          <t>样品44</t>
        </is>
      </c>
    </row>
    <row r="34">
      <c r="A34" t="inlineStr">
        <is>
          <t>45 (1).tif</t>
        </is>
      </c>
      <c r="B34">
        <f>COUNTIF(导管母表_860!B:B,A34)</f>
        <v/>
      </c>
      <c r="C34">
        <f>COUNTIFS(候选导管审计!B:B,A34,候选导管审计!G:G,"borderline")</f>
        <v/>
      </c>
      <c r="D34">
        <f>COUNTIFS(候选导管审计!B:B,A34,候选导管审计!G:G,"excluded")</f>
        <v/>
      </c>
      <c r="E34">
        <f>COUNTIFS(候选导管审计!B:B,A34,候选导管审计!G:G,"edge_truncated")</f>
        <v/>
      </c>
      <c r="F34">
        <f>COUNTIF(导管对_CWR_112!B:B,A34)</f>
        <v/>
      </c>
      <c r="G34">
        <f>COUNTIF(TVW线测量明细!B:B,A34)</f>
        <v/>
      </c>
      <c r="H34" t="n">
        <v>0.2173913043478261</v>
      </c>
      <c r="I34" t="n">
        <v>168</v>
      </c>
      <c r="J34">
        <f>1024*I34*H34^2/1000000</f>
        <v/>
      </c>
      <c r="K34" t="inlineStr">
        <is>
          <t>同一样品的技术视野；不是独立生物学重复</t>
        </is>
      </c>
      <c r="L34" t="inlineStr">
        <is>
          <t>样品45</t>
        </is>
      </c>
    </row>
    <row r="35">
      <c r="A35" t="inlineStr">
        <is>
          <t>45 (2).tif</t>
        </is>
      </c>
      <c r="B35">
        <f>COUNTIF(导管母表_860!B:B,A35)</f>
        <v/>
      </c>
      <c r="C35">
        <f>COUNTIFS(候选导管审计!B:B,A35,候选导管审计!G:G,"borderline")</f>
        <v/>
      </c>
      <c r="D35">
        <f>COUNTIFS(候选导管审计!B:B,A35,候选导管审计!G:G,"excluded")</f>
        <v/>
      </c>
      <c r="E35">
        <f>COUNTIFS(候选导管审计!B:B,A35,候选导管审计!G:G,"edge_truncated")</f>
        <v/>
      </c>
      <c r="F35">
        <f>COUNTIF(导管对_CWR_112!B:B,A35)</f>
        <v/>
      </c>
      <c r="G35">
        <f>COUNTIF(TVW线测量明细!B:B,A35)</f>
        <v/>
      </c>
      <c r="H35" t="n">
        <v>0.2173913043478261</v>
      </c>
      <c r="I35" t="n">
        <v>192</v>
      </c>
      <c r="J35">
        <f>1024*I35*H35^2/1000000</f>
        <v/>
      </c>
      <c r="K35" t="inlineStr">
        <is>
          <t>同一样品的技术视野；不是独立生物学重复</t>
        </is>
      </c>
      <c r="L35" t="inlineStr">
        <is>
          <t>样品45</t>
        </is>
      </c>
    </row>
    <row r="36">
      <c r="A36" t="inlineStr">
        <is>
          <t>45 (3).tif</t>
        </is>
      </c>
      <c r="B36">
        <f>COUNTIF(导管母表_860!B:B,A36)</f>
        <v/>
      </c>
      <c r="C36">
        <f>COUNTIFS(候选导管审计!B:B,A36,候选导管审计!G:G,"borderline")</f>
        <v/>
      </c>
      <c r="D36">
        <f>COUNTIFS(候选导管审计!B:B,A36,候选导管审计!G:G,"excluded")</f>
        <v/>
      </c>
      <c r="E36">
        <f>COUNTIFS(候选导管审计!B:B,A36,候选导管审计!G:G,"edge_truncated")</f>
        <v/>
      </c>
      <c r="F36">
        <f>COUNTIF(导管对_CWR_112!B:B,A36)</f>
        <v/>
      </c>
      <c r="G36">
        <f>COUNTIF(TVW线测量明细!B:B,A36)</f>
        <v/>
      </c>
      <c r="H36" t="n">
        <v>0.2173913043478261</v>
      </c>
      <c r="I36" t="n">
        <v>691</v>
      </c>
      <c r="J36">
        <f>1024*I36*H36^2/1000000</f>
        <v/>
      </c>
      <c r="K36" t="inlineStr">
        <is>
          <t>同一样品的技术视野；不是独立生物学重复</t>
        </is>
      </c>
      <c r="L36" t="inlineStr">
        <is>
          <t>样品45</t>
        </is>
      </c>
    </row>
    <row r="37">
      <c r="A37" t="inlineStr">
        <is>
          <t>45 (4).tif</t>
        </is>
      </c>
      <c r="B37">
        <f>COUNTIF(导管母表_860!B:B,A37)</f>
        <v/>
      </c>
      <c r="C37">
        <f>COUNTIFS(候选导管审计!B:B,A37,候选导管审计!G:G,"borderline")</f>
        <v/>
      </c>
      <c r="D37">
        <f>COUNTIFS(候选导管审计!B:B,A37,候选导管审计!G:G,"excluded")</f>
        <v/>
      </c>
      <c r="E37">
        <f>COUNTIFS(候选导管审计!B:B,A37,候选导管审计!G:G,"edge_truncated")</f>
        <v/>
      </c>
      <c r="F37">
        <f>COUNTIF(导管对_CWR_112!B:B,A37)</f>
        <v/>
      </c>
      <c r="G37">
        <f>COUNTIF(TVW线测量明细!B:B,A37)</f>
        <v/>
      </c>
      <c r="H37" t="n">
        <v>0.2173913043478261</v>
      </c>
      <c r="I37" t="n">
        <v>121</v>
      </c>
      <c r="J37">
        <f>1024*I37*H37^2/1000000</f>
        <v/>
      </c>
      <c r="K37" t="inlineStr">
        <is>
          <t>同一样品的技术视野；不是独立生物学重复</t>
        </is>
      </c>
      <c r="L37" t="inlineStr">
        <is>
          <t>样品45</t>
        </is>
      </c>
    </row>
    <row r="38">
      <c r="A38" t="inlineStr">
        <is>
          <t>45 (5).tif</t>
        </is>
      </c>
      <c r="B38">
        <f>COUNTIF(导管母表_860!B:B,A38)</f>
        <v/>
      </c>
      <c r="C38">
        <f>COUNTIFS(候选导管审计!B:B,A38,候选导管审计!G:G,"borderline")</f>
        <v/>
      </c>
      <c r="D38">
        <f>COUNTIFS(候选导管审计!B:B,A38,候选导管审计!G:G,"excluded")</f>
        <v/>
      </c>
      <c r="E38">
        <f>COUNTIFS(候选导管审计!B:B,A38,候选导管审计!G:G,"edge_truncated")</f>
        <v/>
      </c>
      <c r="F38">
        <f>COUNTIF(导管对_CWR_112!B:B,A38)</f>
        <v/>
      </c>
      <c r="G38">
        <f>COUNTIF(TVW线测量明细!B:B,A38)</f>
        <v/>
      </c>
      <c r="H38" t="n">
        <v>0.2173913043478261</v>
      </c>
      <c r="I38" t="n">
        <v>193</v>
      </c>
      <c r="J38">
        <f>1024*I38*H38^2/1000000</f>
        <v/>
      </c>
      <c r="K38" t="inlineStr">
        <is>
          <t>同一样品的技术视野；不是独立生物学重复</t>
        </is>
      </c>
      <c r="L38" t="inlineStr">
        <is>
          <t>样品45</t>
        </is>
      </c>
    </row>
    <row r="39">
      <c r="A39" t="inlineStr">
        <is>
          <t>45 (6).tif</t>
        </is>
      </c>
      <c r="B39">
        <f>COUNTIF(导管母表_860!B:B,A39)</f>
        <v/>
      </c>
      <c r="C39">
        <f>COUNTIFS(候选导管审计!B:B,A39,候选导管审计!G:G,"borderline")</f>
        <v/>
      </c>
      <c r="D39">
        <f>COUNTIFS(候选导管审计!B:B,A39,候选导管审计!G:G,"excluded")</f>
        <v/>
      </c>
      <c r="E39">
        <f>COUNTIFS(候选导管审计!B:B,A39,候选导管审计!G:G,"edge_truncated")</f>
        <v/>
      </c>
      <c r="F39">
        <f>COUNTIF(导管对_CWR_112!B:B,A39)</f>
        <v/>
      </c>
      <c r="G39">
        <f>COUNTIF(TVW线测量明细!B:B,A39)</f>
        <v/>
      </c>
      <c r="H39" t="n">
        <v>0.2173913043478261</v>
      </c>
      <c r="I39" t="n">
        <v>124</v>
      </c>
      <c r="J39">
        <f>1024*I39*H39^2/1000000</f>
        <v/>
      </c>
      <c r="K39" t="inlineStr">
        <is>
          <t>同一样品的技术视野；不是独立生物学重复</t>
        </is>
      </c>
      <c r="L39" t="inlineStr">
        <is>
          <t>样品45</t>
        </is>
      </c>
    </row>
    <row r="40">
      <c r="A40" t="inlineStr">
        <is>
          <t>45 (7).tif</t>
        </is>
      </c>
      <c r="B40">
        <f>COUNTIF(导管母表_860!B:B,A40)</f>
        <v/>
      </c>
      <c r="C40">
        <f>COUNTIFS(候选导管审计!B:B,A40,候选导管审计!G:G,"borderline")</f>
        <v/>
      </c>
      <c r="D40">
        <f>COUNTIFS(候选导管审计!B:B,A40,候选导管审计!G:G,"excluded")</f>
        <v/>
      </c>
      <c r="E40">
        <f>COUNTIFS(候选导管审计!B:B,A40,候选导管审计!G:G,"edge_truncated")</f>
        <v/>
      </c>
      <c r="F40">
        <f>COUNTIF(导管对_CWR_112!B:B,A40)</f>
        <v/>
      </c>
      <c r="G40">
        <f>COUNTIF(TVW线测量明细!B:B,A40)</f>
        <v/>
      </c>
      <c r="H40" t="n">
        <v>0.2173913043478261</v>
      </c>
      <c r="I40" t="n">
        <v>273</v>
      </c>
      <c r="J40">
        <f>1024*I40*H40^2/1000000</f>
        <v/>
      </c>
      <c r="K40" t="inlineStr">
        <is>
          <t>同一样品的技术视野；不是独立生物学重复</t>
        </is>
      </c>
      <c r="L40" t="inlineStr">
        <is>
          <t>样品45</t>
        </is>
      </c>
    </row>
    <row r="41">
      <c r="A41" t="inlineStr">
        <is>
          <t>45 (8).tif</t>
        </is>
      </c>
      <c r="B41">
        <f>COUNTIF(导管母表_860!B:B,A41)</f>
        <v/>
      </c>
      <c r="C41">
        <f>COUNTIFS(候选导管审计!B:B,A41,候选导管审计!G:G,"borderline")</f>
        <v/>
      </c>
      <c r="D41">
        <f>COUNTIFS(候选导管审计!B:B,A41,候选导管审计!G:G,"excluded")</f>
        <v/>
      </c>
      <c r="E41">
        <f>COUNTIFS(候选导管审计!B:B,A41,候选导管审计!G:G,"edge_truncated")</f>
        <v/>
      </c>
      <c r="F41">
        <f>COUNTIF(导管对_CWR_112!B:B,A41)</f>
        <v/>
      </c>
      <c r="G41">
        <f>COUNTIF(TVW线测量明细!B:B,A41)</f>
        <v/>
      </c>
      <c r="H41" t="n">
        <v>0.2173913043478261</v>
      </c>
      <c r="I41" t="n">
        <v>691</v>
      </c>
      <c r="J41">
        <f>1024*I41*H41^2/1000000</f>
        <v/>
      </c>
      <c r="K41" t="inlineStr">
        <is>
          <t>同一样品的技术视野；不是独立生物学重复</t>
        </is>
      </c>
      <c r="L41" t="inlineStr">
        <is>
          <t>样品45</t>
        </is>
      </c>
    </row>
    <row r="42">
      <c r="A42" t="inlineStr">
        <is>
          <t>46 (1).tif</t>
        </is>
      </c>
      <c r="B42">
        <f>COUNTIF(导管母表_860!B:B,A42)</f>
        <v/>
      </c>
      <c r="C42">
        <f>COUNTIFS(候选导管审计!B:B,A42,候选导管审计!G:G,"borderline")</f>
        <v/>
      </c>
      <c r="D42">
        <f>COUNTIFS(候选导管审计!B:B,A42,候选导管审计!G:G,"excluded")</f>
        <v/>
      </c>
      <c r="E42">
        <f>COUNTIFS(候选导管审计!B:B,A42,候选导管审计!G:G,"edge_truncated")</f>
        <v/>
      </c>
      <c r="F42">
        <f>COUNTIF(导管对_CWR_112!B:B,A42)</f>
        <v/>
      </c>
      <c r="G42">
        <f>COUNTIF(TVW线测量明细!B:B,A42)</f>
        <v/>
      </c>
      <c r="H42" t="n">
        <v>0.2173913043478261</v>
      </c>
      <c r="I42" t="n">
        <v>160</v>
      </c>
      <c r="J42">
        <f>1024*I42*H42^2/1000000</f>
        <v/>
      </c>
      <c r="K42" t="inlineStr">
        <is>
          <t>同一样品的技术视野；不是独立生物学重复</t>
        </is>
      </c>
      <c r="L42" t="inlineStr">
        <is>
          <t>样品46</t>
        </is>
      </c>
    </row>
    <row r="43">
      <c r="A43" t="inlineStr">
        <is>
          <t>46 (2).tif</t>
        </is>
      </c>
      <c r="B43">
        <f>COUNTIF(导管母表_860!B:B,A43)</f>
        <v/>
      </c>
      <c r="C43">
        <f>COUNTIFS(候选导管审计!B:B,A43,候选导管审计!G:G,"borderline")</f>
        <v/>
      </c>
      <c r="D43">
        <f>COUNTIFS(候选导管审计!B:B,A43,候选导管审计!G:G,"excluded")</f>
        <v/>
      </c>
      <c r="E43">
        <f>COUNTIFS(候选导管审计!B:B,A43,候选导管审计!G:G,"edge_truncated")</f>
        <v/>
      </c>
      <c r="F43">
        <f>COUNTIF(导管对_CWR_112!B:B,A43)</f>
        <v/>
      </c>
      <c r="G43">
        <f>COUNTIF(TVW线测量明细!B:B,A43)</f>
        <v/>
      </c>
      <c r="H43" t="n">
        <v>0.2173913043478261</v>
      </c>
      <c r="I43" t="n">
        <v>691</v>
      </c>
      <c r="J43">
        <f>1024*I43*H43^2/1000000</f>
        <v/>
      </c>
      <c r="K43" t="inlineStr">
        <is>
          <t>同一样品的技术视野；不是独立生物学重复</t>
        </is>
      </c>
      <c r="L43" t="inlineStr">
        <is>
          <t>样品46</t>
        </is>
      </c>
    </row>
    <row r="44">
      <c r="A44" t="inlineStr">
        <is>
          <t>46 (3).tif</t>
        </is>
      </c>
      <c r="B44">
        <f>COUNTIF(导管母表_860!B:B,A44)</f>
        <v/>
      </c>
      <c r="C44">
        <f>COUNTIFS(候选导管审计!B:B,A44,候选导管审计!G:G,"borderline")</f>
        <v/>
      </c>
      <c r="D44">
        <f>COUNTIFS(候选导管审计!B:B,A44,候选导管审计!G:G,"excluded")</f>
        <v/>
      </c>
      <c r="E44">
        <f>COUNTIFS(候选导管审计!B:B,A44,候选导管审计!G:G,"edge_truncated")</f>
        <v/>
      </c>
      <c r="F44">
        <f>COUNTIF(导管对_CWR_112!B:B,A44)</f>
        <v/>
      </c>
      <c r="G44">
        <f>COUNTIF(TVW线测量明细!B:B,A44)</f>
        <v/>
      </c>
      <c r="H44" t="n">
        <v>0.2173913043478261</v>
      </c>
      <c r="I44" t="n">
        <v>301</v>
      </c>
      <c r="J44">
        <f>1024*I44*H44^2/1000000</f>
        <v/>
      </c>
      <c r="K44" t="inlineStr">
        <is>
          <t>同一样品的技术视野；不是独立生物学重复</t>
        </is>
      </c>
      <c r="L44" t="inlineStr">
        <is>
          <t>样品46</t>
        </is>
      </c>
    </row>
    <row r="45">
      <c r="A45" t="inlineStr">
        <is>
          <t>46 (4).tif</t>
        </is>
      </c>
      <c r="B45">
        <f>COUNTIF(导管母表_860!B:B,A45)</f>
        <v/>
      </c>
      <c r="C45">
        <f>COUNTIFS(候选导管审计!B:B,A45,候选导管审计!G:G,"borderline")</f>
        <v/>
      </c>
      <c r="D45">
        <f>COUNTIFS(候选导管审计!B:B,A45,候选导管审计!G:G,"excluded")</f>
        <v/>
      </c>
      <c r="E45">
        <f>COUNTIFS(候选导管审计!B:B,A45,候选导管审计!G:G,"edge_truncated")</f>
        <v/>
      </c>
      <c r="F45">
        <f>COUNTIF(导管对_CWR_112!B:B,A45)</f>
        <v/>
      </c>
      <c r="G45">
        <f>COUNTIF(TVW线测量明细!B:B,A45)</f>
        <v/>
      </c>
      <c r="H45" t="n">
        <v>0.2173913043478261</v>
      </c>
      <c r="I45" t="n">
        <v>691</v>
      </c>
      <c r="J45">
        <f>1024*I45*H45^2/1000000</f>
        <v/>
      </c>
      <c r="K45" t="inlineStr">
        <is>
          <t>同一样品的技术视野；不是独立生物学重复</t>
        </is>
      </c>
      <c r="L45" t="inlineStr">
        <is>
          <t>样品46</t>
        </is>
      </c>
    </row>
    <row r="46">
      <c r="A46" t="inlineStr">
        <is>
          <t>46 (5).tif</t>
        </is>
      </c>
      <c r="B46">
        <f>COUNTIF(导管母表_860!B:B,A46)</f>
        <v/>
      </c>
      <c r="C46">
        <f>COUNTIFS(候选导管审计!B:B,A46,候选导管审计!G:G,"borderline")</f>
        <v/>
      </c>
      <c r="D46">
        <f>COUNTIFS(候选导管审计!B:B,A46,候选导管审计!G:G,"excluded")</f>
        <v/>
      </c>
      <c r="E46">
        <f>COUNTIFS(候选导管审计!B:B,A46,候选导管审计!G:G,"edge_truncated")</f>
        <v/>
      </c>
      <c r="F46">
        <f>COUNTIF(导管对_CWR_112!B:B,A46)</f>
        <v/>
      </c>
      <c r="G46">
        <f>COUNTIF(TVW线测量明细!B:B,A46)</f>
        <v/>
      </c>
      <c r="H46" t="n">
        <v>0.2173913043478261</v>
      </c>
      <c r="I46" t="n">
        <v>220</v>
      </c>
      <c r="J46">
        <f>1024*I46*H46^2/1000000</f>
        <v/>
      </c>
      <c r="K46" t="inlineStr">
        <is>
          <t>同一样品的技术视野；不是独立生物学重复</t>
        </is>
      </c>
      <c r="L46" t="inlineStr">
        <is>
          <t>样品46</t>
        </is>
      </c>
    </row>
    <row r="47">
      <c r="A47" t="inlineStr">
        <is>
          <t>46 (6).tif</t>
        </is>
      </c>
      <c r="B47">
        <f>COUNTIF(导管母表_860!B:B,A47)</f>
        <v/>
      </c>
      <c r="C47">
        <f>COUNTIFS(候选导管审计!B:B,A47,候选导管审计!G:G,"borderline")</f>
        <v/>
      </c>
      <c r="D47">
        <f>COUNTIFS(候选导管审计!B:B,A47,候选导管审计!G:G,"excluded")</f>
        <v/>
      </c>
      <c r="E47">
        <f>COUNTIFS(候选导管审计!B:B,A47,候选导管审计!G:G,"edge_truncated")</f>
        <v/>
      </c>
      <c r="F47">
        <f>COUNTIF(导管对_CWR_112!B:B,A47)</f>
        <v/>
      </c>
      <c r="G47">
        <f>COUNTIF(TVW线测量明细!B:B,A47)</f>
        <v/>
      </c>
      <c r="H47" t="n">
        <v>0.2173913043478261</v>
      </c>
      <c r="I47" t="n">
        <v>691</v>
      </c>
      <c r="J47">
        <f>1024*I47*H47^2/1000000</f>
        <v/>
      </c>
      <c r="K47" t="inlineStr">
        <is>
          <t>同一样品的技术视野；不是独立生物学重复</t>
        </is>
      </c>
      <c r="L47" t="inlineStr">
        <is>
          <t>样品46</t>
        </is>
      </c>
    </row>
    <row r="48">
      <c r="A48" t="inlineStr">
        <is>
          <t>46 (7).tif</t>
        </is>
      </c>
      <c r="B48">
        <f>COUNTIF(导管母表_860!B:B,A48)</f>
        <v/>
      </c>
      <c r="C48">
        <f>COUNTIFS(候选导管审计!B:B,A48,候选导管审计!G:G,"borderline")</f>
        <v/>
      </c>
      <c r="D48">
        <f>COUNTIFS(候选导管审计!B:B,A48,候选导管审计!G:G,"excluded")</f>
        <v/>
      </c>
      <c r="E48">
        <f>COUNTIFS(候选导管审计!B:B,A48,候选导管审计!G:G,"edge_truncated")</f>
        <v/>
      </c>
      <c r="F48">
        <f>COUNTIF(导管对_CWR_112!B:B,A48)</f>
        <v/>
      </c>
      <c r="G48">
        <f>COUNTIF(TVW线测量明细!B:B,A48)</f>
        <v/>
      </c>
      <c r="H48" t="n">
        <v>0.2173913043478261</v>
      </c>
      <c r="I48" t="n">
        <v>290</v>
      </c>
      <c r="J48">
        <f>1024*I48*H48^2/1000000</f>
        <v/>
      </c>
      <c r="K48" t="inlineStr">
        <is>
          <t>同一样品的技术视野；不是独立生物学重复</t>
        </is>
      </c>
      <c r="L48" t="inlineStr">
        <is>
          <t>样品46</t>
        </is>
      </c>
    </row>
    <row r="49">
      <c r="A49" t="inlineStr">
        <is>
          <t>46 (8).tif</t>
        </is>
      </c>
      <c r="B49">
        <f>COUNTIF(导管母表_860!B:B,A49)</f>
        <v/>
      </c>
      <c r="C49">
        <f>COUNTIFS(候选导管审计!B:B,A49,候选导管审计!G:G,"borderline")</f>
        <v/>
      </c>
      <c r="D49">
        <f>COUNTIFS(候选导管审计!B:B,A49,候选导管审计!G:G,"excluded")</f>
        <v/>
      </c>
      <c r="E49">
        <f>COUNTIFS(候选导管审计!B:B,A49,候选导管审计!G:G,"edge_truncated")</f>
        <v/>
      </c>
      <c r="F49">
        <f>COUNTIF(导管对_CWR_112!B:B,A49)</f>
        <v/>
      </c>
      <c r="G49">
        <f>COUNTIF(TVW线测量明细!B:B,A49)</f>
        <v/>
      </c>
      <c r="H49" t="n">
        <v>0.2173913043478261</v>
      </c>
      <c r="I49" t="n">
        <v>691</v>
      </c>
      <c r="J49">
        <f>1024*I49*H49^2/1000000</f>
        <v/>
      </c>
      <c r="K49" t="inlineStr">
        <is>
          <t>同一样品的技术视野；不是独立生物学重复</t>
        </is>
      </c>
      <c r="L49" t="inlineStr">
        <is>
          <t>样品46</t>
        </is>
      </c>
    </row>
    <row r="50">
      <c r="A50" t="inlineStr">
        <is>
          <t>47 (1).tif</t>
        </is>
      </c>
      <c r="B50">
        <f>COUNTIF(导管母表_860!B:B,A50)</f>
        <v/>
      </c>
      <c r="C50">
        <f>COUNTIFS(候选导管审计!B:B,A50,候选导管审计!G:G,"borderline")</f>
        <v/>
      </c>
      <c r="D50">
        <f>COUNTIFS(候选导管审计!B:B,A50,候选导管审计!G:G,"excluded")</f>
        <v/>
      </c>
      <c r="E50">
        <f>COUNTIFS(候选导管审计!B:B,A50,候选导管审计!G:G,"edge_truncated")</f>
        <v/>
      </c>
      <c r="F50">
        <f>COUNTIF(导管对_CWR_112!B:B,A50)</f>
        <v/>
      </c>
      <c r="G50">
        <f>COUNTIF(TVW线测量明细!B:B,A50)</f>
        <v/>
      </c>
      <c r="H50" t="n">
        <v>0.2173913043478261</v>
      </c>
      <c r="I50" t="n">
        <v>153</v>
      </c>
      <c r="J50">
        <f>1024*I50*H50^2/1000000</f>
        <v/>
      </c>
      <c r="K50" t="inlineStr">
        <is>
          <t>同一样品的技术视野；不是独立生物学重复</t>
        </is>
      </c>
      <c r="L50" t="inlineStr">
        <is>
          <t>样品47</t>
        </is>
      </c>
    </row>
    <row r="51">
      <c r="A51" t="inlineStr">
        <is>
          <t>47 (2).tif</t>
        </is>
      </c>
      <c r="B51">
        <f>COUNTIF(导管母表_860!B:B,A51)</f>
        <v/>
      </c>
      <c r="C51">
        <f>COUNTIFS(候选导管审计!B:B,A51,候选导管审计!G:G,"borderline")</f>
        <v/>
      </c>
      <c r="D51">
        <f>COUNTIFS(候选导管审计!B:B,A51,候选导管审计!G:G,"excluded")</f>
        <v/>
      </c>
      <c r="E51">
        <f>COUNTIFS(候选导管审计!B:B,A51,候选导管审计!G:G,"edge_truncated")</f>
        <v/>
      </c>
      <c r="F51">
        <f>COUNTIF(导管对_CWR_112!B:B,A51)</f>
        <v/>
      </c>
      <c r="G51">
        <f>COUNTIF(TVW线测量明细!B:B,A51)</f>
        <v/>
      </c>
      <c r="H51" t="n">
        <v>0.2173913043478261</v>
      </c>
      <c r="I51" t="n">
        <v>691</v>
      </c>
      <c r="J51">
        <f>1024*I51*H51^2/1000000</f>
        <v/>
      </c>
      <c r="K51" t="inlineStr">
        <is>
          <t>同一样品的技术视野；不是独立生物学重复</t>
        </is>
      </c>
      <c r="L51" t="inlineStr">
        <is>
          <t>样品47</t>
        </is>
      </c>
    </row>
    <row r="52">
      <c r="A52" t="inlineStr">
        <is>
          <t>47 (3).tif</t>
        </is>
      </c>
      <c r="B52">
        <f>COUNTIF(导管母表_860!B:B,A52)</f>
        <v/>
      </c>
      <c r="C52">
        <f>COUNTIFS(候选导管审计!B:B,A52,候选导管审计!G:G,"borderline")</f>
        <v/>
      </c>
      <c r="D52">
        <f>COUNTIFS(候选导管审计!B:B,A52,候选导管审计!G:G,"excluded")</f>
        <v/>
      </c>
      <c r="E52">
        <f>COUNTIFS(候选导管审计!B:B,A52,候选导管审计!G:G,"edge_truncated")</f>
        <v/>
      </c>
      <c r="F52">
        <f>COUNTIF(导管对_CWR_112!B:B,A52)</f>
        <v/>
      </c>
      <c r="G52">
        <f>COUNTIF(TVW线测量明细!B:B,A52)</f>
        <v/>
      </c>
      <c r="H52" t="n">
        <v>0.2173913043478261</v>
      </c>
      <c r="I52" t="n">
        <v>263</v>
      </c>
      <c r="J52">
        <f>1024*I52*H52^2/1000000</f>
        <v/>
      </c>
      <c r="K52" t="inlineStr">
        <is>
          <t>同一样品的技术视野；不是独立生物学重复</t>
        </is>
      </c>
      <c r="L52" t="inlineStr">
        <is>
          <t>样品47</t>
        </is>
      </c>
    </row>
    <row r="53">
      <c r="A53" t="inlineStr">
        <is>
          <t>47 (4).tif</t>
        </is>
      </c>
      <c r="B53">
        <f>COUNTIF(导管母表_860!B:B,A53)</f>
        <v/>
      </c>
      <c r="C53">
        <f>COUNTIFS(候选导管审计!B:B,A53,候选导管审计!G:G,"borderline")</f>
        <v/>
      </c>
      <c r="D53">
        <f>COUNTIFS(候选导管审计!B:B,A53,候选导管审计!G:G,"excluded")</f>
        <v/>
      </c>
      <c r="E53">
        <f>COUNTIFS(候选导管审计!B:B,A53,候选导管审计!G:G,"edge_truncated")</f>
        <v/>
      </c>
      <c r="F53">
        <f>COUNTIF(导管对_CWR_112!B:B,A53)</f>
        <v/>
      </c>
      <c r="G53">
        <f>COUNTIF(TVW线测量明细!B:B,A53)</f>
        <v/>
      </c>
      <c r="H53" t="n">
        <v>0.2173913043478261</v>
      </c>
      <c r="I53" t="n">
        <v>691</v>
      </c>
      <c r="J53">
        <f>1024*I53*H53^2/1000000</f>
        <v/>
      </c>
      <c r="K53" t="inlineStr">
        <is>
          <t>同一样品的技术视野；不是独立生物学重复</t>
        </is>
      </c>
      <c r="L53" t="inlineStr">
        <is>
          <t>样品47</t>
        </is>
      </c>
    </row>
    <row r="54">
      <c r="A54" t="inlineStr">
        <is>
          <t>47 (5).tif</t>
        </is>
      </c>
      <c r="B54">
        <f>COUNTIF(导管母表_860!B:B,A54)</f>
        <v/>
      </c>
      <c r="C54">
        <f>COUNTIFS(候选导管审计!B:B,A54,候选导管审计!G:G,"borderline")</f>
        <v/>
      </c>
      <c r="D54">
        <f>COUNTIFS(候选导管审计!B:B,A54,候选导管审计!G:G,"excluded")</f>
        <v/>
      </c>
      <c r="E54">
        <f>COUNTIFS(候选导管审计!B:B,A54,候选导管审计!G:G,"edge_truncated")</f>
        <v/>
      </c>
      <c r="F54">
        <f>COUNTIF(导管对_CWR_112!B:B,A54)</f>
        <v/>
      </c>
      <c r="G54">
        <f>COUNTIF(TVW线测量明细!B:B,A54)</f>
        <v/>
      </c>
      <c r="H54" t="n">
        <v>0.2173913043478261</v>
      </c>
      <c r="I54" t="n">
        <v>170</v>
      </c>
      <c r="J54">
        <f>1024*I54*H54^2/1000000</f>
        <v/>
      </c>
      <c r="K54" t="inlineStr">
        <is>
          <t>同一样品的技术视野；不是独立生物学重复</t>
        </is>
      </c>
      <c r="L54" t="inlineStr">
        <is>
          <t>样品47</t>
        </is>
      </c>
    </row>
    <row r="55">
      <c r="A55" t="inlineStr">
        <is>
          <t>47 (6).tif</t>
        </is>
      </c>
      <c r="B55">
        <f>COUNTIF(导管母表_860!B:B,A55)</f>
        <v/>
      </c>
      <c r="C55">
        <f>COUNTIFS(候选导管审计!B:B,A55,候选导管审计!G:G,"borderline")</f>
        <v/>
      </c>
      <c r="D55">
        <f>COUNTIFS(候选导管审计!B:B,A55,候选导管审计!G:G,"excluded")</f>
        <v/>
      </c>
      <c r="E55">
        <f>COUNTIFS(候选导管审计!B:B,A55,候选导管审计!G:G,"edge_truncated")</f>
        <v/>
      </c>
      <c r="F55">
        <f>COUNTIF(导管对_CWR_112!B:B,A55)</f>
        <v/>
      </c>
      <c r="G55">
        <f>COUNTIF(TVW线测量明细!B:B,A55)</f>
        <v/>
      </c>
      <c r="H55" t="n">
        <v>0.2173913043478261</v>
      </c>
      <c r="I55" t="n">
        <v>242</v>
      </c>
      <c r="J55">
        <f>1024*I55*H55^2/1000000</f>
        <v/>
      </c>
      <c r="K55" t="inlineStr">
        <is>
          <t>同一样品的技术视野；不是独立生物学重复</t>
        </is>
      </c>
      <c r="L55" t="inlineStr">
        <is>
          <t>样品47</t>
        </is>
      </c>
    </row>
    <row r="56">
      <c r="A56" t="inlineStr">
        <is>
          <t>47 (7).tif</t>
        </is>
      </c>
      <c r="B56">
        <f>COUNTIF(导管母表_860!B:B,A56)</f>
        <v/>
      </c>
      <c r="C56">
        <f>COUNTIFS(候选导管审计!B:B,A56,候选导管审计!G:G,"borderline")</f>
        <v/>
      </c>
      <c r="D56">
        <f>COUNTIFS(候选导管审计!B:B,A56,候选导管审计!G:G,"excluded")</f>
        <v/>
      </c>
      <c r="E56">
        <f>COUNTIFS(候选导管审计!B:B,A56,候选导管审计!G:G,"edge_truncated")</f>
        <v/>
      </c>
      <c r="F56">
        <f>COUNTIF(导管对_CWR_112!B:B,A56)</f>
        <v/>
      </c>
      <c r="G56">
        <f>COUNTIF(TVW线测量明细!B:B,A56)</f>
        <v/>
      </c>
      <c r="H56" t="n">
        <v>0.2173913043478261</v>
      </c>
      <c r="I56" t="n">
        <v>250</v>
      </c>
      <c r="J56">
        <f>1024*I56*H56^2/1000000</f>
        <v/>
      </c>
      <c r="K56" t="inlineStr">
        <is>
          <t>同一样品的技术视野；不是独立生物学重复</t>
        </is>
      </c>
      <c r="L56" t="inlineStr">
        <is>
          <t>样品47</t>
        </is>
      </c>
    </row>
    <row r="57">
      <c r="A57" t="inlineStr">
        <is>
          <t>47 (8).tif</t>
        </is>
      </c>
      <c r="B57">
        <f>COUNTIF(导管母表_860!B:B,A57)</f>
        <v/>
      </c>
      <c r="C57">
        <f>COUNTIFS(候选导管审计!B:B,A57,候选导管审计!G:G,"borderline")</f>
        <v/>
      </c>
      <c r="D57">
        <f>COUNTIFS(候选导管审计!B:B,A57,候选导管审计!G:G,"excluded")</f>
        <v/>
      </c>
      <c r="E57">
        <f>COUNTIFS(候选导管审计!B:B,A57,候选导管审计!G:G,"edge_truncated")</f>
        <v/>
      </c>
      <c r="F57">
        <f>COUNTIF(导管对_CWR_112!B:B,A57)</f>
        <v/>
      </c>
      <c r="G57">
        <f>COUNTIF(TVW线测量明细!B:B,A57)</f>
        <v/>
      </c>
      <c r="H57" t="n">
        <v>0.2173913043478261</v>
      </c>
      <c r="I57" t="n">
        <v>182</v>
      </c>
      <c r="J57">
        <f>1024*I57*H57^2/1000000</f>
        <v/>
      </c>
      <c r="K57" t="inlineStr">
        <is>
          <t>同一样品的技术视野；不是独立生物学重复</t>
        </is>
      </c>
      <c r="L57" t="inlineStr">
        <is>
          <t>样品47</t>
        </is>
      </c>
    </row>
    <row r="58">
      <c r="A58" t="inlineStr">
        <is>
          <t>48 (1).tif</t>
        </is>
      </c>
      <c r="B58">
        <f>COUNTIF(导管母表_860!B:B,A58)</f>
        <v/>
      </c>
      <c r="C58">
        <f>COUNTIFS(候选导管审计!B:B,A58,候选导管审计!G:G,"borderline")</f>
        <v/>
      </c>
      <c r="D58">
        <f>COUNTIFS(候选导管审计!B:B,A58,候选导管审计!G:G,"excluded")</f>
        <v/>
      </c>
      <c r="E58">
        <f>COUNTIFS(候选导管审计!B:B,A58,候选导管审计!G:G,"edge_truncated")</f>
        <v/>
      </c>
      <c r="F58">
        <f>COUNTIF(导管对_CWR_112!B:B,A58)</f>
        <v/>
      </c>
      <c r="G58">
        <f>COUNTIF(TVW线测量明细!B:B,A58)</f>
        <v/>
      </c>
      <c r="H58" t="n">
        <v>0.2173913043478261</v>
      </c>
      <c r="I58" t="n">
        <v>270</v>
      </c>
      <c r="J58">
        <f>1024*I58*H58^2/1000000</f>
        <v/>
      </c>
      <c r="K58" t="inlineStr">
        <is>
          <t>同一样品的技术视野；不是独立生物学重复</t>
        </is>
      </c>
      <c r="L58" t="inlineStr">
        <is>
          <t>样品48</t>
        </is>
      </c>
    </row>
    <row r="59">
      <c r="A59" t="inlineStr">
        <is>
          <t>48 (2).tif</t>
        </is>
      </c>
      <c r="B59">
        <f>COUNTIF(导管母表_860!B:B,A59)</f>
        <v/>
      </c>
      <c r="C59">
        <f>COUNTIFS(候选导管审计!B:B,A59,候选导管审计!G:G,"borderline")</f>
        <v/>
      </c>
      <c r="D59">
        <f>COUNTIFS(候选导管审计!B:B,A59,候选导管审计!G:G,"excluded")</f>
        <v/>
      </c>
      <c r="E59">
        <f>COUNTIFS(候选导管审计!B:B,A59,候选导管审计!G:G,"edge_truncated")</f>
        <v/>
      </c>
      <c r="F59">
        <f>COUNTIF(导管对_CWR_112!B:B,A59)</f>
        <v/>
      </c>
      <c r="G59">
        <f>COUNTIF(TVW线测量明细!B:B,A59)</f>
        <v/>
      </c>
      <c r="H59" t="n">
        <v>0.2173913043478261</v>
      </c>
      <c r="I59" t="n">
        <v>263</v>
      </c>
      <c r="J59">
        <f>1024*I59*H59^2/1000000</f>
        <v/>
      </c>
      <c r="K59" t="inlineStr">
        <is>
          <t>同一样品的技术视野；不是独立生物学重复</t>
        </is>
      </c>
      <c r="L59" t="inlineStr">
        <is>
          <t>样品48</t>
        </is>
      </c>
    </row>
    <row r="60">
      <c r="A60" t="inlineStr">
        <is>
          <t>48 (3).tif</t>
        </is>
      </c>
      <c r="B60">
        <f>COUNTIF(导管母表_860!B:B,A60)</f>
        <v/>
      </c>
      <c r="C60">
        <f>COUNTIFS(候选导管审计!B:B,A60,候选导管审计!G:G,"borderline")</f>
        <v/>
      </c>
      <c r="D60">
        <f>COUNTIFS(候选导管审计!B:B,A60,候选导管审计!G:G,"excluded")</f>
        <v/>
      </c>
      <c r="E60">
        <f>COUNTIFS(候选导管审计!B:B,A60,候选导管审计!G:G,"edge_truncated")</f>
        <v/>
      </c>
      <c r="F60">
        <f>COUNTIF(导管对_CWR_112!B:B,A60)</f>
        <v/>
      </c>
      <c r="G60">
        <f>COUNTIF(TVW线测量明细!B:B,A60)</f>
        <v/>
      </c>
      <c r="H60" t="n">
        <v>0.2173913043478261</v>
      </c>
      <c r="I60" t="n">
        <v>194</v>
      </c>
      <c r="J60">
        <f>1024*I60*H60^2/1000000</f>
        <v/>
      </c>
      <c r="K60" t="inlineStr">
        <is>
          <t>同一样品的技术视野；不是独立生物学重复</t>
        </is>
      </c>
      <c r="L60" t="inlineStr">
        <is>
          <t>样品48</t>
        </is>
      </c>
    </row>
    <row r="61">
      <c r="A61" t="inlineStr">
        <is>
          <t>48 (4).tif</t>
        </is>
      </c>
      <c r="B61">
        <f>COUNTIF(导管母表_860!B:B,A61)</f>
        <v/>
      </c>
      <c r="C61">
        <f>COUNTIFS(候选导管审计!B:B,A61,候选导管审计!G:G,"borderline")</f>
        <v/>
      </c>
      <c r="D61">
        <f>COUNTIFS(候选导管审计!B:B,A61,候选导管审计!G:G,"excluded")</f>
        <v/>
      </c>
      <c r="E61">
        <f>COUNTIFS(候选导管审计!B:B,A61,候选导管审计!G:G,"edge_truncated")</f>
        <v/>
      </c>
      <c r="F61">
        <f>COUNTIF(导管对_CWR_112!B:B,A61)</f>
        <v/>
      </c>
      <c r="G61">
        <f>COUNTIF(TVW线测量明细!B:B,A61)</f>
        <v/>
      </c>
      <c r="H61" t="n">
        <v>0.2173913043478261</v>
      </c>
      <c r="I61" t="n">
        <v>691</v>
      </c>
      <c r="J61">
        <f>1024*I61*H61^2/1000000</f>
        <v/>
      </c>
      <c r="K61" t="inlineStr">
        <is>
          <t>同一样品的技术视野；不是独立生物学重复</t>
        </is>
      </c>
      <c r="L61" t="inlineStr">
        <is>
          <t>样品48</t>
        </is>
      </c>
    </row>
    <row r="62">
      <c r="A62" t="inlineStr">
        <is>
          <t>48 (5).tif</t>
        </is>
      </c>
      <c r="B62">
        <f>COUNTIF(导管母表_860!B:B,A62)</f>
        <v/>
      </c>
      <c r="C62">
        <f>COUNTIFS(候选导管审计!B:B,A62,候选导管审计!G:G,"borderline")</f>
        <v/>
      </c>
      <c r="D62">
        <f>COUNTIFS(候选导管审计!B:B,A62,候选导管审计!G:G,"excluded")</f>
        <v/>
      </c>
      <c r="E62">
        <f>COUNTIFS(候选导管审计!B:B,A62,候选导管审计!G:G,"edge_truncated")</f>
        <v/>
      </c>
      <c r="F62">
        <f>COUNTIF(导管对_CWR_112!B:B,A62)</f>
        <v/>
      </c>
      <c r="G62">
        <f>COUNTIF(TVW线测量明细!B:B,A62)</f>
        <v/>
      </c>
      <c r="H62" t="n">
        <v>0.2173913043478261</v>
      </c>
      <c r="I62" t="n">
        <v>330</v>
      </c>
      <c r="J62">
        <f>1024*I62*H62^2/1000000</f>
        <v/>
      </c>
      <c r="K62" t="inlineStr">
        <is>
          <t>同一样品的技术视野；不是独立生物学重复</t>
        </is>
      </c>
      <c r="L62" t="inlineStr">
        <is>
          <t>样品48</t>
        </is>
      </c>
    </row>
    <row r="63">
      <c r="A63" t="inlineStr">
        <is>
          <t>48 (6).tif</t>
        </is>
      </c>
      <c r="B63">
        <f>COUNTIF(导管母表_860!B:B,A63)</f>
        <v/>
      </c>
      <c r="C63">
        <f>COUNTIFS(候选导管审计!B:B,A63,候选导管审计!G:G,"borderline")</f>
        <v/>
      </c>
      <c r="D63">
        <f>COUNTIFS(候选导管审计!B:B,A63,候选导管审计!G:G,"excluded")</f>
        <v/>
      </c>
      <c r="E63">
        <f>COUNTIFS(候选导管审计!B:B,A63,候选导管审计!G:G,"edge_truncated")</f>
        <v/>
      </c>
      <c r="F63">
        <f>COUNTIF(导管对_CWR_112!B:B,A63)</f>
        <v/>
      </c>
      <c r="G63">
        <f>COUNTIF(TVW线测量明细!B:B,A63)</f>
        <v/>
      </c>
      <c r="H63" t="n">
        <v>0.2173913043478261</v>
      </c>
      <c r="I63" t="n">
        <v>221</v>
      </c>
      <c r="J63">
        <f>1024*I63*H63^2/1000000</f>
        <v/>
      </c>
      <c r="K63" t="inlineStr">
        <is>
          <t>同一样品的技术视野；不是独立生物学重复</t>
        </is>
      </c>
      <c r="L63" t="inlineStr">
        <is>
          <t>样品48</t>
        </is>
      </c>
    </row>
    <row r="64">
      <c r="A64" t="inlineStr">
        <is>
          <t>48 (7).tif</t>
        </is>
      </c>
      <c r="B64">
        <f>COUNTIF(导管母表_860!B:B,A64)</f>
        <v/>
      </c>
      <c r="C64">
        <f>COUNTIFS(候选导管审计!B:B,A64,候选导管审计!G:G,"borderline")</f>
        <v/>
      </c>
      <c r="D64">
        <f>COUNTIFS(候选导管审计!B:B,A64,候选导管审计!G:G,"excluded")</f>
        <v/>
      </c>
      <c r="E64">
        <f>COUNTIFS(候选导管审计!B:B,A64,候选导管审计!G:G,"edge_truncated")</f>
        <v/>
      </c>
      <c r="F64">
        <f>COUNTIF(导管对_CWR_112!B:B,A64)</f>
        <v/>
      </c>
      <c r="G64">
        <f>COUNTIF(TVW线测量明细!B:B,A64)</f>
        <v/>
      </c>
      <c r="H64" t="n">
        <v>0.2173913043478261</v>
      </c>
      <c r="I64" t="n">
        <v>691</v>
      </c>
      <c r="J64">
        <f>1024*I64*H64^2/1000000</f>
        <v/>
      </c>
      <c r="K64" t="inlineStr">
        <is>
          <t>同一样品的技术视野；不是独立生物学重复</t>
        </is>
      </c>
      <c r="L64" t="inlineStr">
        <is>
          <t>样品48</t>
        </is>
      </c>
    </row>
    <row r="65">
      <c r="A65" t="inlineStr">
        <is>
          <t>48 (8).tif</t>
        </is>
      </c>
      <c r="B65">
        <f>COUNTIF(导管母表_860!B:B,A65)</f>
        <v/>
      </c>
      <c r="C65">
        <f>COUNTIFS(候选导管审计!B:B,A65,候选导管审计!G:G,"borderline")</f>
        <v/>
      </c>
      <c r="D65">
        <f>COUNTIFS(候选导管审计!B:B,A65,候选导管审计!G:G,"excluded")</f>
        <v/>
      </c>
      <c r="E65">
        <f>COUNTIFS(候选导管审计!B:B,A65,候选导管审计!G:G,"edge_truncated")</f>
        <v/>
      </c>
      <c r="F65">
        <f>COUNTIF(导管对_CWR_112!B:B,A65)</f>
        <v/>
      </c>
      <c r="G65">
        <f>COUNTIF(TVW线测量明细!B:B,A65)</f>
        <v/>
      </c>
      <c r="H65" t="n">
        <v>0.2173913043478261</v>
      </c>
      <c r="I65" t="n">
        <v>147</v>
      </c>
      <c r="J65">
        <f>1024*I65*H65^2/1000000</f>
        <v/>
      </c>
      <c r="K65" t="inlineStr">
        <is>
          <t>同一样品的技术视野；不是独立生物学重复</t>
        </is>
      </c>
      <c r="L65" t="inlineStr">
        <is>
          <t>样品48</t>
        </is>
      </c>
    </row>
    <row r="66">
      <c r="A66" t="inlineStr">
        <is>
          <t>49 (1).tif</t>
        </is>
      </c>
      <c r="B66">
        <f>COUNTIF(导管母表_860!B:B,A66)</f>
        <v/>
      </c>
      <c r="C66">
        <f>COUNTIFS(候选导管审计!B:B,A66,候选导管审计!G:G,"borderline")</f>
        <v/>
      </c>
      <c r="D66">
        <f>COUNTIFS(候选导管审计!B:B,A66,候选导管审计!G:G,"excluded")</f>
        <v/>
      </c>
      <c r="E66">
        <f>COUNTIFS(候选导管审计!B:B,A66,候选导管审计!G:G,"edge_truncated")</f>
        <v/>
      </c>
      <c r="F66">
        <f>COUNTIF(导管对_CWR_112!B:B,A66)</f>
        <v/>
      </c>
      <c r="G66">
        <f>COUNTIF(TVW线测量明细!B:B,A66)</f>
        <v/>
      </c>
      <c r="H66" t="n">
        <v>0.2173913043478261</v>
      </c>
      <c r="I66" t="n">
        <v>691</v>
      </c>
      <c r="J66">
        <f>1024*I66*H66^2/1000000</f>
        <v/>
      </c>
      <c r="K66" t="inlineStr">
        <is>
          <t>同一样品的技术视野；不是独立生物学重复</t>
        </is>
      </c>
      <c r="L66" t="inlineStr">
        <is>
          <t>样品49</t>
        </is>
      </c>
    </row>
    <row r="67">
      <c r="A67" t="inlineStr">
        <is>
          <t>49 (2).tif</t>
        </is>
      </c>
      <c r="B67">
        <f>COUNTIF(导管母表_860!B:B,A67)</f>
        <v/>
      </c>
      <c r="C67">
        <f>COUNTIFS(候选导管审计!B:B,A67,候选导管审计!G:G,"borderline")</f>
        <v/>
      </c>
      <c r="D67">
        <f>COUNTIFS(候选导管审计!B:B,A67,候选导管审计!G:G,"excluded")</f>
        <v/>
      </c>
      <c r="E67">
        <f>COUNTIFS(候选导管审计!B:B,A67,候选导管审计!G:G,"edge_truncated")</f>
        <v/>
      </c>
      <c r="F67">
        <f>COUNTIF(导管对_CWR_112!B:B,A67)</f>
        <v/>
      </c>
      <c r="G67">
        <f>COUNTIF(TVW线测量明细!B:B,A67)</f>
        <v/>
      </c>
      <c r="H67" t="n">
        <v>0.2173913043478261</v>
      </c>
      <c r="I67" t="n">
        <v>691</v>
      </c>
      <c r="J67">
        <f>1024*I67*H67^2/1000000</f>
        <v/>
      </c>
      <c r="K67" t="inlineStr">
        <is>
          <t>同一样品的技术视野；不是独立生物学重复</t>
        </is>
      </c>
      <c r="L67" t="inlineStr">
        <is>
          <t>样品49</t>
        </is>
      </c>
    </row>
    <row r="68">
      <c r="A68" t="inlineStr">
        <is>
          <t>49 (3).tif</t>
        </is>
      </c>
      <c r="B68">
        <f>COUNTIF(导管母表_860!B:B,A68)</f>
        <v/>
      </c>
      <c r="C68">
        <f>COUNTIFS(候选导管审计!B:B,A68,候选导管审计!G:G,"borderline")</f>
        <v/>
      </c>
      <c r="D68">
        <f>COUNTIFS(候选导管审计!B:B,A68,候选导管审计!G:G,"excluded")</f>
        <v/>
      </c>
      <c r="E68">
        <f>COUNTIFS(候选导管审计!B:B,A68,候选导管审计!G:G,"edge_truncated")</f>
        <v/>
      </c>
      <c r="F68">
        <f>COUNTIF(导管对_CWR_112!B:B,A68)</f>
        <v/>
      </c>
      <c r="G68">
        <f>COUNTIF(TVW线测量明细!B:B,A68)</f>
        <v/>
      </c>
      <c r="H68" t="n">
        <v>0.2173913043478261</v>
      </c>
      <c r="I68" t="n">
        <v>220</v>
      </c>
      <c r="J68">
        <f>1024*I68*H68^2/1000000</f>
        <v/>
      </c>
      <c r="K68" t="inlineStr">
        <is>
          <t>同一样品的技术视野；不是独立生物学重复</t>
        </is>
      </c>
      <c r="L68" t="inlineStr">
        <is>
          <t>样品49</t>
        </is>
      </c>
    </row>
    <row r="69">
      <c r="A69" t="inlineStr">
        <is>
          <t>49 (4).tif</t>
        </is>
      </c>
      <c r="B69">
        <f>COUNTIF(导管母表_860!B:B,A69)</f>
        <v/>
      </c>
      <c r="C69">
        <f>COUNTIFS(候选导管审计!B:B,A69,候选导管审计!G:G,"borderline")</f>
        <v/>
      </c>
      <c r="D69">
        <f>COUNTIFS(候选导管审计!B:B,A69,候选导管审计!G:G,"excluded")</f>
        <v/>
      </c>
      <c r="E69">
        <f>COUNTIFS(候选导管审计!B:B,A69,候选导管审计!G:G,"edge_truncated")</f>
        <v/>
      </c>
      <c r="F69">
        <f>COUNTIF(导管对_CWR_112!B:B,A69)</f>
        <v/>
      </c>
      <c r="G69">
        <f>COUNTIF(TVW线测量明细!B:B,A69)</f>
        <v/>
      </c>
      <c r="H69" t="n">
        <v>0.2173913043478261</v>
      </c>
      <c r="I69" t="n">
        <v>691</v>
      </c>
      <c r="J69">
        <f>1024*I69*H69^2/1000000</f>
        <v/>
      </c>
      <c r="K69" t="inlineStr">
        <is>
          <t>同一样品的技术视野；不是独立生物学重复</t>
        </is>
      </c>
      <c r="L69" t="inlineStr">
        <is>
          <t>样品49</t>
        </is>
      </c>
    </row>
    <row r="70">
      <c r="A70" t="inlineStr">
        <is>
          <t>49 (5).tif</t>
        </is>
      </c>
      <c r="B70">
        <f>COUNTIF(导管母表_860!B:B,A70)</f>
        <v/>
      </c>
      <c r="C70">
        <f>COUNTIFS(候选导管审计!B:B,A70,候选导管审计!G:G,"borderline")</f>
        <v/>
      </c>
      <c r="D70">
        <f>COUNTIFS(候选导管审计!B:B,A70,候选导管审计!G:G,"excluded")</f>
        <v/>
      </c>
      <c r="E70">
        <f>COUNTIFS(候选导管审计!B:B,A70,候选导管审计!G:G,"edge_truncated")</f>
        <v/>
      </c>
      <c r="F70">
        <f>COUNTIF(导管对_CWR_112!B:B,A70)</f>
        <v/>
      </c>
      <c r="G70">
        <f>COUNTIF(TVW线测量明细!B:B,A70)</f>
        <v/>
      </c>
      <c r="H70" t="n">
        <v>0.2173913043478261</v>
      </c>
      <c r="I70" t="n">
        <v>691</v>
      </c>
      <c r="J70">
        <f>1024*I70*H70^2/1000000</f>
        <v/>
      </c>
      <c r="K70" t="inlineStr">
        <is>
          <t>同一样品的技术视野；不是独立生物学重复</t>
        </is>
      </c>
      <c r="L70" t="inlineStr">
        <is>
          <t>样品49</t>
        </is>
      </c>
    </row>
    <row r="71">
      <c r="A71" t="inlineStr">
        <is>
          <t>49 (6).tif</t>
        </is>
      </c>
      <c r="B71">
        <f>COUNTIF(导管母表_860!B:B,A71)</f>
        <v/>
      </c>
      <c r="C71">
        <f>COUNTIFS(候选导管审计!B:B,A71,候选导管审计!G:G,"borderline")</f>
        <v/>
      </c>
      <c r="D71">
        <f>COUNTIFS(候选导管审计!B:B,A71,候选导管审计!G:G,"excluded")</f>
        <v/>
      </c>
      <c r="E71">
        <f>COUNTIFS(候选导管审计!B:B,A71,候选导管审计!G:G,"edge_truncated")</f>
        <v/>
      </c>
      <c r="F71">
        <f>COUNTIF(导管对_CWR_112!B:B,A71)</f>
        <v/>
      </c>
      <c r="G71">
        <f>COUNTIF(TVW线测量明细!B:B,A71)</f>
        <v/>
      </c>
      <c r="H71" t="n">
        <v>0.2173913043478261</v>
      </c>
      <c r="I71" t="n">
        <v>691</v>
      </c>
      <c r="J71">
        <f>1024*I71*H71^2/1000000</f>
        <v/>
      </c>
      <c r="K71" t="inlineStr">
        <is>
          <t>同一样品的技术视野；不是独立生物学重复</t>
        </is>
      </c>
      <c r="L71" t="inlineStr">
        <is>
          <t>样品49</t>
        </is>
      </c>
    </row>
    <row r="72">
      <c r="A72" t="inlineStr">
        <is>
          <t>49 (7).tif</t>
        </is>
      </c>
      <c r="B72">
        <f>COUNTIF(导管母表_860!B:B,A72)</f>
        <v/>
      </c>
      <c r="C72">
        <f>COUNTIFS(候选导管审计!B:B,A72,候选导管审计!G:G,"borderline")</f>
        <v/>
      </c>
      <c r="D72">
        <f>COUNTIFS(候选导管审计!B:B,A72,候选导管审计!G:G,"excluded")</f>
        <v/>
      </c>
      <c r="E72">
        <f>COUNTIFS(候选导管审计!B:B,A72,候选导管审计!G:G,"edge_truncated")</f>
        <v/>
      </c>
      <c r="F72">
        <f>COUNTIF(导管对_CWR_112!B:B,A72)</f>
        <v/>
      </c>
      <c r="G72">
        <f>COUNTIF(TVW线测量明细!B:B,A72)</f>
        <v/>
      </c>
      <c r="H72" t="n">
        <v>0.2173913043478261</v>
      </c>
      <c r="I72" t="n">
        <v>691</v>
      </c>
      <c r="J72">
        <f>1024*I72*H72^2/1000000</f>
        <v/>
      </c>
      <c r="K72" t="inlineStr">
        <is>
          <t>同一样品的技术视野；不是独立生物学重复</t>
        </is>
      </c>
      <c r="L72" t="inlineStr">
        <is>
          <t>样品49</t>
        </is>
      </c>
    </row>
    <row r="73">
      <c r="A73" t="inlineStr">
        <is>
          <t>49 (8).tif</t>
        </is>
      </c>
      <c r="B73">
        <f>COUNTIF(导管母表_860!B:B,A73)</f>
        <v/>
      </c>
      <c r="C73">
        <f>COUNTIFS(候选导管审计!B:B,A73,候选导管审计!G:G,"borderline")</f>
        <v/>
      </c>
      <c r="D73">
        <f>COUNTIFS(候选导管审计!B:B,A73,候选导管审计!G:G,"excluded")</f>
        <v/>
      </c>
      <c r="E73">
        <f>COUNTIFS(候选导管审计!B:B,A73,候选导管审计!G:G,"edge_truncated")</f>
        <v/>
      </c>
      <c r="F73">
        <f>COUNTIF(导管对_CWR_112!B:B,A73)</f>
        <v/>
      </c>
      <c r="G73">
        <f>COUNTIF(TVW线测量明细!B:B,A73)</f>
        <v/>
      </c>
      <c r="H73" t="n">
        <v>0.2173913043478261</v>
      </c>
      <c r="I73" t="n">
        <v>320</v>
      </c>
      <c r="J73">
        <f>1024*I73*H73^2/1000000</f>
        <v/>
      </c>
      <c r="K73" t="inlineStr">
        <is>
          <t>同一样品的技术视野；不是独立生物学重复</t>
        </is>
      </c>
      <c r="L73" t="inlineStr">
        <is>
          <t>样品49</t>
        </is>
      </c>
    </row>
    <row r="74">
      <c r="A74" t="inlineStr">
        <is>
          <t>50 (1).tif</t>
        </is>
      </c>
      <c r="B74">
        <f>COUNTIF(导管母表_860!B:B,A74)</f>
        <v/>
      </c>
      <c r="C74">
        <f>COUNTIFS(候选导管审计!B:B,A74,候选导管审计!G:G,"borderline")</f>
        <v/>
      </c>
      <c r="D74">
        <f>COUNTIFS(候选导管审计!B:B,A74,候选导管审计!G:G,"excluded")</f>
        <v/>
      </c>
      <c r="E74">
        <f>COUNTIFS(候选导管审计!B:B,A74,候选导管审计!G:G,"edge_truncated")</f>
        <v/>
      </c>
      <c r="F74">
        <f>COUNTIF(导管对_CWR_112!B:B,A74)</f>
        <v/>
      </c>
      <c r="G74">
        <f>COUNTIF(TVW线测量明细!B:B,A74)</f>
        <v/>
      </c>
      <c r="H74" t="n">
        <v>0.2173913043478261</v>
      </c>
      <c r="I74" t="n">
        <v>691</v>
      </c>
      <c r="J74">
        <f>1024*I74*H74^2/1000000</f>
        <v/>
      </c>
      <c r="K74" t="inlineStr">
        <is>
          <t>同一样品的技术视野；不是独立生物学重复</t>
        </is>
      </c>
      <c r="L74" t="inlineStr">
        <is>
          <t>样品50</t>
        </is>
      </c>
    </row>
    <row r="75">
      <c r="A75" t="inlineStr">
        <is>
          <t>50 (2).tif</t>
        </is>
      </c>
      <c r="B75">
        <f>COUNTIF(导管母表_860!B:B,A75)</f>
        <v/>
      </c>
      <c r="C75">
        <f>COUNTIFS(候选导管审计!B:B,A75,候选导管审计!G:G,"borderline")</f>
        <v/>
      </c>
      <c r="D75">
        <f>COUNTIFS(候选导管审计!B:B,A75,候选导管审计!G:G,"excluded")</f>
        <v/>
      </c>
      <c r="E75">
        <f>COUNTIFS(候选导管审计!B:B,A75,候选导管审计!G:G,"edge_truncated")</f>
        <v/>
      </c>
      <c r="F75">
        <f>COUNTIF(导管对_CWR_112!B:B,A75)</f>
        <v/>
      </c>
      <c r="G75">
        <f>COUNTIF(TVW线测量明细!B:B,A75)</f>
        <v/>
      </c>
      <c r="H75" t="n">
        <v>0.2173913043478261</v>
      </c>
      <c r="I75" t="n">
        <v>341</v>
      </c>
      <c r="J75">
        <f>1024*I75*H75^2/1000000</f>
        <v/>
      </c>
      <c r="K75" t="inlineStr">
        <is>
          <t>同一样品的技术视野；不是独立生物学重复</t>
        </is>
      </c>
      <c r="L75" t="inlineStr">
        <is>
          <t>样品50</t>
        </is>
      </c>
    </row>
    <row r="76">
      <c r="A76" t="inlineStr">
        <is>
          <t>50 (3).tif</t>
        </is>
      </c>
      <c r="B76">
        <f>COUNTIF(导管母表_860!B:B,A76)</f>
        <v/>
      </c>
      <c r="C76">
        <f>COUNTIFS(候选导管审计!B:B,A76,候选导管审计!G:G,"borderline")</f>
        <v/>
      </c>
      <c r="D76">
        <f>COUNTIFS(候选导管审计!B:B,A76,候选导管审计!G:G,"excluded")</f>
        <v/>
      </c>
      <c r="E76">
        <f>COUNTIFS(候选导管审计!B:B,A76,候选导管审计!G:G,"edge_truncated")</f>
        <v/>
      </c>
      <c r="F76">
        <f>COUNTIF(导管对_CWR_112!B:B,A76)</f>
        <v/>
      </c>
      <c r="G76">
        <f>COUNTIF(TVW线测量明细!B:B,A76)</f>
        <v/>
      </c>
      <c r="H76" t="n">
        <v>0.2173913043478261</v>
      </c>
      <c r="I76" t="n">
        <v>290</v>
      </c>
      <c r="J76">
        <f>1024*I76*H76^2/1000000</f>
        <v/>
      </c>
      <c r="K76" t="inlineStr">
        <is>
          <t>同一样品的技术视野；不是独立生物学重复</t>
        </is>
      </c>
      <c r="L76" t="inlineStr">
        <is>
          <t>样品50</t>
        </is>
      </c>
    </row>
    <row r="77">
      <c r="A77" t="inlineStr">
        <is>
          <t>50 (4).tif</t>
        </is>
      </c>
      <c r="B77">
        <f>COUNTIF(导管母表_860!B:B,A77)</f>
        <v/>
      </c>
      <c r="C77">
        <f>COUNTIFS(候选导管审计!B:B,A77,候选导管审计!G:G,"borderline")</f>
        <v/>
      </c>
      <c r="D77">
        <f>COUNTIFS(候选导管审计!B:B,A77,候选导管审计!G:G,"excluded")</f>
        <v/>
      </c>
      <c r="E77">
        <f>COUNTIFS(候选导管审计!B:B,A77,候选导管审计!G:G,"edge_truncated")</f>
        <v/>
      </c>
      <c r="F77">
        <f>COUNTIF(导管对_CWR_112!B:B,A77)</f>
        <v/>
      </c>
      <c r="G77">
        <f>COUNTIF(TVW线测量明细!B:B,A77)</f>
        <v/>
      </c>
      <c r="H77" t="n">
        <v>0.2173913043478261</v>
      </c>
      <c r="I77" t="n">
        <v>691</v>
      </c>
      <c r="J77">
        <f>1024*I77*H77^2/1000000</f>
        <v/>
      </c>
      <c r="K77" t="inlineStr">
        <is>
          <t>同一样品的技术视野；不是独立生物学重复</t>
        </is>
      </c>
      <c r="L77" t="inlineStr">
        <is>
          <t>样品50</t>
        </is>
      </c>
    </row>
    <row r="78">
      <c r="A78" t="inlineStr">
        <is>
          <t>50 (5).tif</t>
        </is>
      </c>
      <c r="B78">
        <f>COUNTIF(导管母表_860!B:B,A78)</f>
        <v/>
      </c>
      <c r="C78">
        <f>COUNTIFS(候选导管审计!B:B,A78,候选导管审计!G:G,"borderline")</f>
        <v/>
      </c>
      <c r="D78">
        <f>COUNTIFS(候选导管审计!B:B,A78,候选导管审计!G:G,"excluded")</f>
        <v/>
      </c>
      <c r="E78">
        <f>COUNTIFS(候选导管审计!B:B,A78,候选导管审计!G:G,"edge_truncated")</f>
        <v/>
      </c>
      <c r="F78">
        <f>COUNTIF(导管对_CWR_112!B:B,A78)</f>
        <v/>
      </c>
      <c r="G78">
        <f>COUNTIF(TVW线测量明细!B:B,A78)</f>
        <v/>
      </c>
      <c r="H78" t="n">
        <v>0.2173913043478261</v>
      </c>
      <c r="I78" t="n">
        <v>691</v>
      </c>
      <c r="J78">
        <f>1024*I78*H78^2/1000000</f>
        <v/>
      </c>
      <c r="K78" t="inlineStr">
        <is>
          <t>同一样品的技术视野；不是独立生物学重复</t>
        </is>
      </c>
      <c r="L78" t="inlineStr">
        <is>
          <t>样品50</t>
        </is>
      </c>
    </row>
    <row r="79">
      <c r="A79" t="inlineStr">
        <is>
          <t>50 (6).tif</t>
        </is>
      </c>
      <c r="B79">
        <f>COUNTIF(导管母表_860!B:B,A79)</f>
        <v/>
      </c>
      <c r="C79">
        <f>COUNTIFS(候选导管审计!B:B,A79,候选导管审计!G:G,"borderline")</f>
        <v/>
      </c>
      <c r="D79">
        <f>COUNTIFS(候选导管审计!B:B,A79,候选导管审计!G:G,"excluded")</f>
        <v/>
      </c>
      <c r="E79">
        <f>COUNTIFS(候选导管审计!B:B,A79,候选导管审计!G:G,"edge_truncated")</f>
        <v/>
      </c>
      <c r="F79">
        <f>COUNTIF(导管对_CWR_112!B:B,A79)</f>
        <v/>
      </c>
      <c r="G79">
        <f>COUNTIF(TVW线测量明细!B:B,A79)</f>
        <v/>
      </c>
      <c r="H79" t="n">
        <v>0.2173913043478261</v>
      </c>
      <c r="I79" t="n">
        <v>227</v>
      </c>
      <c r="J79">
        <f>1024*I79*H79^2/1000000</f>
        <v/>
      </c>
      <c r="K79" t="inlineStr">
        <is>
          <t>同一样品的技术视野；不是独立生物学重复</t>
        </is>
      </c>
      <c r="L79" t="inlineStr">
        <is>
          <t>样品50</t>
        </is>
      </c>
    </row>
    <row r="80">
      <c r="A80" t="inlineStr">
        <is>
          <t>50 (7).tif</t>
        </is>
      </c>
      <c r="B80">
        <f>COUNTIF(导管母表_860!B:B,A80)</f>
        <v/>
      </c>
      <c r="C80">
        <f>COUNTIFS(候选导管审计!B:B,A80,候选导管审计!G:G,"borderline")</f>
        <v/>
      </c>
      <c r="D80">
        <f>COUNTIFS(候选导管审计!B:B,A80,候选导管审计!G:G,"excluded")</f>
        <v/>
      </c>
      <c r="E80">
        <f>COUNTIFS(候选导管审计!B:B,A80,候选导管审计!G:G,"edge_truncated")</f>
        <v/>
      </c>
      <c r="F80">
        <f>COUNTIF(导管对_CWR_112!B:B,A80)</f>
        <v/>
      </c>
      <c r="G80">
        <f>COUNTIF(TVW线测量明细!B:B,A80)</f>
        <v/>
      </c>
      <c r="H80" t="n">
        <v>0.2173913043478261</v>
      </c>
      <c r="I80" t="n">
        <v>297</v>
      </c>
      <c r="J80">
        <f>1024*I80*H80^2/1000000</f>
        <v/>
      </c>
      <c r="K80" t="inlineStr">
        <is>
          <t>同一样品的技术视野；不是独立生物学重复</t>
        </is>
      </c>
      <c r="L80" t="inlineStr">
        <is>
          <t>样品50</t>
        </is>
      </c>
    </row>
    <row r="81">
      <c r="A81" t="inlineStr">
        <is>
          <t>50 (8).tif</t>
        </is>
      </c>
      <c r="B81">
        <f>COUNTIF(导管母表_860!B:B,A81)</f>
        <v/>
      </c>
      <c r="C81">
        <f>COUNTIFS(候选导管审计!B:B,A81,候选导管审计!G:G,"borderline")</f>
        <v/>
      </c>
      <c r="D81">
        <f>COUNTIFS(候选导管审计!B:B,A81,候选导管审计!G:G,"excluded")</f>
        <v/>
      </c>
      <c r="E81">
        <f>COUNTIFS(候选导管审计!B:B,A81,候选导管审计!G:G,"edge_truncated")</f>
        <v/>
      </c>
      <c r="F81">
        <f>COUNTIF(导管对_CWR_112!B:B,A81)</f>
        <v/>
      </c>
      <c r="G81">
        <f>COUNTIF(TVW线测量明细!B:B,A81)</f>
        <v/>
      </c>
      <c r="H81" t="n">
        <v>0.2173913043478261</v>
      </c>
      <c r="I81" t="n">
        <v>193</v>
      </c>
      <c r="J81">
        <f>1024*I81*H81^2/1000000</f>
        <v/>
      </c>
      <c r="K81" t="inlineStr">
        <is>
          <t>同一样品的技术视野；不是独立生物学重复</t>
        </is>
      </c>
      <c r="L81" t="inlineStr">
        <is>
          <t>样品50</t>
        </is>
      </c>
    </row>
    <row r="82">
      <c r="A82" t="inlineStr">
        <is>
          <t>51 (1).tif</t>
        </is>
      </c>
      <c r="B82">
        <f>COUNTIF(导管母表_860!B:B,A82)</f>
        <v/>
      </c>
      <c r="C82">
        <f>COUNTIFS(候选导管审计!B:B,A82,候选导管审计!G:G,"borderline")</f>
        <v/>
      </c>
      <c r="D82">
        <f>COUNTIFS(候选导管审计!B:B,A82,候选导管审计!G:G,"excluded")</f>
        <v/>
      </c>
      <c r="E82">
        <f>COUNTIFS(候选导管审计!B:B,A82,候选导管审计!G:G,"edge_truncated")</f>
        <v/>
      </c>
      <c r="F82">
        <f>COUNTIF(导管对_CWR_112!B:B,A82)</f>
        <v/>
      </c>
      <c r="G82">
        <f>COUNTIF(TVW线测量明细!B:B,A82)</f>
        <v/>
      </c>
      <c r="H82" t="n">
        <v>0.2173913043478261</v>
      </c>
      <c r="I82" t="n">
        <v>691</v>
      </c>
      <c r="J82">
        <f>1024*I82*H82^2/1000000</f>
        <v/>
      </c>
      <c r="K82" t="inlineStr">
        <is>
          <t>同一样品的技术视野；不是独立生物学重复</t>
        </is>
      </c>
      <c r="L82" t="inlineStr">
        <is>
          <t>样品51</t>
        </is>
      </c>
    </row>
    <row r="83">
      <c r="A83" t="inlineStr">
        <is>
          <t>51 (2).tif</t>
        </is>
      </c>
      <c r="B83">
        <f>COUNTIF(导管母表_860!B:B,A83)</f>
        <v/>
      </c>
      <c r="C83">
        <f>COUNTIFS(候选导管审计!B:B,A83,候选导管审计!G:G,"borderline")</f>
        <v/>
      </c>
      <c r="D83">
        <f>COUNTIFS(候选导管审计!B:B,A83,候选导管审计!G:G,"excluded")</f>
        <v/>
      </c>
      <c r="E83">
        <f>COUNTIFS(候选导管审计!B:B,A83,候选导管审计!G:G,"edge_truncated")</f>
        <v/>
      </c>
      <c r="F83">
        <f>COUNTIF(导管对_CWR_112!B:B,A83)</f>
        <v/>
      </c>
      <c r="G83">
        <f>COUNTIF(TVW线测量明细!B:B,A83)</f>
        <v/>
      </c>
      <c r="H83" t="n">
        <v>0.2173913043478261</v>
      </c>
      <c r="I83" t="n">
        <v>691</v>
      </c>
      <c r="J83">
        <f>1024*I83*H83^2/1000000</f>
        <v/>
      </c>
      <c r="K83" t="inlineStr">
        <is>
          <t>同一样品的技术视野；不是独立生物学重复</t>
        </is>
      </c>
      <c r="L83" t="inlineStr">
        <is>
          <t>样品51</t>
        </is>
      </c>
    </row>
    <row r="84">
      <c r="A84" t="inlineStr">
        <is>
          <t>51 (3).tif</t>
        </is>
      </c>
      <c r="B84">
        <f>COUNTIF(导管母表_860!B:B,A84)</f>
        <v/>
      </c>
      <c r="C84">
        <f>COUNTIFS(候选导管审计!B:B,A84,候选导管审计!G:G,"borderline")</f>
        <v/>
      </c>
      <c r="D84">
        <f>COUNTIFS(候选导管审计!B:B,A84,候选导管审计!G:G,"excluded")</f>
        <v/>
      </c>
      <c r="E84">
        <f>COUNTIFS(候选导管审计!B:B,A84,候选导管审计!G:G,"edge_truncated")</f>
        <v/>
      </c>
      <c r="F84">
        <f>COUNTIF(导管对_CWR_112!B:B,A84)</f>
        <v/>
      </c>
      <c r="G84">
        <f>COUNTIF(TVW线测量明细!B:B,A84)</f>
        <v/>
      </c>
      <c r="H84" t="n">
        <v>0.2173913043478261</v>
      </c>
      <c r="I84" t="n">
        <v>691</v>
      </c>
      <c r="J84">
        <f>1024*I84*H84^2/1000000</f>
        <v/>
      </c>
      <c r="K84" t="inlineStr">
        <is>
          <t>同一样品的技术视野；不是独立生物学重复</t>
        </is>
      </c>
      <c r="L84" t="inlineStr">
        <is>
          <t>样品51</t>
        </is>
      </c>
    </row>
    <row r="85">
      <c r="A85" t="inlineStr">
        <is>
          <t>51 (4).tif</t>
        </is>
      </c>
      <c r="B85">
        <f>COUNTIF(导管母表_860!B:B,A85)</f>
        <v/>
      </c>
      <c r="C85">
        <f>COUNTIFS(候选导管审计!B:B,A85,候选导管审计!G:G,"borderline")</f>
        <v/>
      </c>
      <c r="D85">
        <f>COUNTIFS(候选导管审计!B:B,A85,候选导管审计!G:G,"excluded")</f>
        <v/>
      </c>
      <c r="E85">
        <f>COUNTIFS(候选导管审计!B:B,A85,候选导管审计!G:G,"edge_truncated")</f>
        <v/>
      </c>
      <c r="F85">
        <f>COUNTIF(导管对_CWR_112!B:B,A85)</f>
        <v/>
      </c>
      <c r="G85">
        <f>COUNTIF(TVW线测量明细!B:B,A85)</f>
        <v/>
      </c>
      <c r="H85" t="n">
        <v>0.2173913043478261</v>
      </c>
      <c r="I85" t="n">
        <v>691</v>
      </c>
      <c r="J85">
        <f>1024*I85*H85^2/1000000</f>
        <v/>
      </c>
      <c r="K85" t="inlineStr">
        <is>
          <t>同一样品的技术视野；不是独立生物学重复</t>
        </is>
      </c>
      <c r="L85" t="inlineStr">
        <is>
          <t>样品51</t>
        </is>
      </c>
    </row>
    <row r="86">
      <c r="A86" t="inlineStr">
        <is>
          <t>51 (5).tif</t>
        </is>
      </c>
      <c r="B86">
        <f>COUNTIF(导管母表_860!B:B,A86)</f>
        <v/>
      </c>
      <c r="C86">
        <f>COUNTIFS(候选导管审计!B:B,A86,候选导管审计!G:G,"borderline")</f>
        <v/>
      </c>
      <c r="D86">
        <f>COUNTIFS(候选导管审计!B:B,A86,候选导管审计!G:G,"excluded")</f>
        <v/>
      </c>
      <c r="E86">
        <f>COUNTIFS(候选导管审计!B:B,A86,候选导管审计!G:G,"edge_truncated")</f>
        <v/>
      </c>
      <c r="F86">
        <f>COUNTIF(导管对_CWR_112!B:B,A86)</f>
        <v/>
      </c>
      <c r="G86">
        <f>COUNTIF(TVW线测量明细!B:B,A86)</f>
        <v/>
      </c>
      <c r="H86" t="n">
        <v>0.2173913043478261</v>
      </c>
      <c r="I86" t="n">
        <v>229</v>
      </c>
      <c r="J86">
        <f>1024*I86*H86^2/1000000</f>
        <v/>
      </c>
      <c r="K86" t="inlineStr">
        <is>
          <t>同一样品的技术视野；不是独立生物学重复</t>
        </is>
      </c>
      <c r="L86" t="inlineStr">
        <is>
          <t>样品51</t>
        </is>
      </c>
    </row>
    <row r="87">
      <c r="A87" t="inlineStr">
        <is>
          <t>51 (6).tif</t>
        </is>
      </c>
      <c r="B87">
        <f>COUNTIF(导管母表_860!B:B,A87)</f>
        <v/>
      </c>
      <c r="C87">
        <f>COUNTIFS(候选导管审计!B:B,A87,候选导管审计!G:G,"borderline")</f>
        <v/>
      </c>
      <c r="D87">
        <f>COUNTIFS(候选导管审计!B:B,A87,候选导管审计!G:G,"excluded")</f>
        <v/>
      </c>
      <c r="E87">
        <f>COUNTIFS(候选导管审计!B:B,A87,候选导管审计!G:G,"edge_truncated")</f>
        <v/>
      </c>
      <c r="F87">
        <f>COUNTIF(导管对_CWR_112!B:B,A87)</f>
        <v/>
      </c>
      <c r="G87">
        <f>COUNTIF(TVW线测量明细!B:B,A87)</f>
        <v/>
      </c>
      <c r="H87" t="n">
        <v>0.2173913043478261</v>
      </c>
      <c r="I87" t="n">
        <v>298</v>
      </c>
      <c r="J87">
        <f>1024*I87*H87^2/1000000</f>
        <v/>
      </c>
      <c r="K87" t="inlineStr">
        <is>
          <t>同一样品的技术视野；不是独立生物学重复</t>
        </is>
      </c>
      <c r="L87" t="inlineStr">
        <is>
          <t>样品51</t>
        </is>
      </c>
    </row>
    <row r="88">
      <c r="A88" t="inlineStr">
        <is>
          <t>51 (7).tif</t>
        </is>
      </c>
      <c r="B88">
        <f>COUNTIF(导管母表_860!B:B,A88)</f>
        <v/>
      </c>
      <c r="C88">
        <f>COUNTIFS(候选导管审计!B:B,A88,候选导管审计!G:G,"borderline")</f>
        <v/>
      </c>
      <c r="D88">
        <f>COUNTIFS(候选导管审计!B:B,A88,候选导管审计!G:G,"excluded")</f>
        <v/>
      </c>
      <c r="E88">
        <f>COUNTIFS(候选导管审计!B:B,A88,候选导管审计!G:G,"edge_truncated")</f>
        <v/>
      </c>
      <c r="F88">
        <f>COUNTIF(导管对_CWR_112!B:B,A88)</f>
        <v/>
      </c>
      <c r="G88">
        <f>COUNTIF(TVW线测量明细!B:B,A88)</f>
        <v/>
      </c>
      <c r="H88" t="n">
        <v>0.2173913043478261</v>
      </c>
      <c r="I88" t="n">
        <v>691</v>
      </c>
      <c r="J88">
        <f>1024*I88*H88^2/1000000</f>
        <v/>
      </c>
      <c r="K88" t="inlineStr">
        <is>
          <t>同一样品的技术视野；不是独立生物学重复</t>
        </is>
      </c>
      <c r="L88" t="inlineStr">
        <is>
          <t>样品51</t>
        </is>
      </c>
    </row>
    <row r="89">
      <c r="A89" t="inlineStr">
        <is>
          <t>51 (8).tif</t>
        </is>
      </c>
      <c r="B89">
        <f>COUNTIF(导管母表_860!B:B,A89)</f>
        <v/>
      </c>
      <c r="C89">
        <f>COUNTIFS(候选导管审计!B:B,A89,候选导管审计!G:G,"borderline")</f>
        <v/>
      </c>
      <c r="D89">
        <f>COUNTIFS(候选导管审计!B:B,A89,候选导管审计!G:G,"excluded")</f>
        <v/>
      </c>
      <c r="E89">
        <f>COUNTIFS(候选导管审计!B:B,A89,候选导管审计!G:G,"edge_truncated")</f>
        <v/>
      </c>
      <c r="F89">
        <f>COUNTIF(导管对_CWR_112!B:B,A89)</f>
        <v/>
      </c>
      <c r="G89">
        <f>COUNTIF(TVW线测量明细!B:B,A89)</f>
        <v/>
      </c>
      <c r="H89" t="n">
        <v>0.2173913043478261</v>
      </c>
      <c r="I89" t="n">
        <v>691</v>
      </c>
      <c r="J89">
        <f>1024*I89*H89^2/1000000</f>
        <v/>
      </c>
      <c r="K89" t="inlineStr">
        <is>
          <t>同一样品的技术视野；不是独立生物学重复</t>
        </is>
      </c>
      <c r="L89" t="inlineStr">
        <is>
          <t>样品51</t>
        </is>
      </c>
    </row>
    <row r="90">
      <c r="A90" t="inlineStr">
        <is>
          <t>52 (1).tif</t>
        </is>
      </c>
      <c r="B90">
        <f>COUNTIF(导管母表_860!B:B,A90)</f>
        <v/>
      </c>
      <c r="C90">
        <f>COUNTIFS(候选导管审计!B:B,A90,候选导管审计!G:G,"borderline")</f>
        <v/>
      </c>
      <c r="D90">
        <f>COUNTIFS(候选导管审计!B:B,A90,候选导管审计!G:G,"excluded")</f>
        <v/>
      </c>
      <c r="E90">
        <f>COUNTIFS(候选导管审计!B:B,A90,候选导管审计!G:G,"edge_truncated")</f>
        <v/>
      </c>
      <c r="F90">
        <f>COUNTIF(导管对_CWR_112!B:B,A90)</f>
        <v/>
      </c>
      <c r="G90">
        <f>COUNTIF(TVW线测量明细!B:B,A90)</f>
        <v/>
      </c>
      <c r="H90" t="n">
        <v>0.2173913043478261</v>
      </c>
      <c r="I90" t="n">
        <v>691</v>
      </c>
      <c r="J90">
        <f>1024*I90*H90^2/1000000</f>
        <v/>
      </c>
      <c r="K90" t="inlineStr">
        <is>
          <t>同一样品的技术视野；不是独立生物学重复</t>
        </is>
      </c>
      <c r="L90" t="inlineStr">
        <is>
          <t>样品52</t>
        </is>
      </c>
    </row>
    <row r="91">
      <c r="A91" t="inlineStr">
        <is>
          <t>52 (2).tif</t>
        </is>
      </c>
      <c r="B91">
        <f>COUNTIF(导管母表_860!B:B,A91)</f>
        <v/>
      </c>
      <c r="C91">
        <f>COUNTIFS(候选导管审计!B:B,A91,候选导管审计!G:G,"borderline")</f>
        <v/>
      </c>
      <c r="D91">
        <f>COUNTIFS(候选导管审计!B:B,A91,候选导管审计!G:G,"excluded")</f>
        <v/>
      </c>
      <c r="E91">
        <f>COUNTIFS(候选导管审计!B:B,A91,候选导管审计!G:G,"edge_truncated")</f>
        <v/>
      </c>
      <c r="F91">
        <f>COUNTIF(导管对_CWR_112!B:B,A91)</f>
        <v/>
      </c>
      <c r="G91">
        <f>COUNTIF(TVW线测量明细!B:B,A91)</f>
        <v/>
      </c>
      <c r="H91" t="n">
        <v>0.2173913043478261</v>
      </c>
      <c r="I91" t="n">
        <v>210</v>
      </c>
      <c r="J91">
        <f>1024*I91*H91^2/1000000</f>
        <v/>
      </c>
      <c r="K91" t="inlineStr">
        <is>
          <t>同一样品的技术视野；不是独立生物学重复</t>
        </is>
      </c>
      <c r="L91" t="inlineStr">
        <is>
          <t>样品52</t>
        </is>
      </c>
    </row>
    <row r="92">
      <c r="A92" t="inlineStr">
        <is>
          <t>52 (3).tif</t>
        </is>
      </c>
      <c r="B92">
        <f>COUNTIF(导管母表_860!B:B,A92)</f>
        <v/>
      </c>
      <c r="C92">
        <f>COUNTIFS(候选导管审计!B:B,A92,候选导管审计!G:G,"borderline")</f>
        <v/>
      </c>
      <c r="D92">
        <f>COUNTIFS(候选导管审计!B:B,A92,候选导管审计!G:G,"excluded")</f>
        <v/>
      </c>
      <c r="E92">
        <f>COUNTIFS(候选导管审计!B:B,A92,候选导管审计!G:G,"edge_truncated")</f>
        <v/>
      </c>
      <c r="F92">
        <f>COUNTIF(导管对_CWR_112!B:B,A92)</f>
        <v/>
      </c>
      <c r="G92">
        <f>COUNTIF(TVW线测量明细!B:B,A92)</f>
        <v/>
      </c>
      <c r="H92" t="n">
        <v>0.2173913043478261</v>
      </c>
      <c r="I92" t="n">
        <v>264</v>
      </c>
      <c r="J92">
        <f>1024*I92*H92^2/1000000</f>
        <v/>
      </c>
      <c r="K92" t="inlineStr">
        <is>
          <t>同一样品的技术视野；不是独立生物学重复</t>
        </is>
      </c>
      <c r="L92" t="inlineStr">
        <is>
          <t>样品52</t>
        </is>
      </c>
    </row>
    <row r="93">
      <c r="A93" t="inlineStr">
        <is>
          <t>52 (4).tif</t>
        </is>
      </c>
      <c r="B93">
        <f>COUNTIF(导管母表_860!B:B,A93)</f>
        <v/>
      </c>
      <c r="C93">
        <f>COUNTIFS(候选导管审计!B:B,A93,候选导管审计!G:G,"borderline")</f>
        <v/>
      </c>
      <c r="D93">
        <f>COUNTIFS(候选导管审计!B:B,A93,候选导管审计!G:G,"excluded")</f>
        <v/>
      </c>
      <c r="E93">
        <f>COUNTIFS(候选导管审计!B:B,A93,候选导管审计!G:G,"edge_truncated")</f>
        <v/>
      </c>
      <c r="F93">
        <f>COUNTIF(导管对_CWR_112!B:B,A93)</f>
        <v/>
      </c>
      <c r="G93">
        <f>COUNTIF(TVW线测量明细!B:B,A93)</f>
        <v/>
      </c>
      <c r="H93" t="n">
        <v>0.2173913043478261</v>
      </c>
      <c r="I93" t="n">
        <v>270</v>
      </c>
      <c r="J93">
        <f>1024*I93*H93^2/1000000</f>
        <v/>
      </c>
      <c r="K93" t="inlineStr">
        <is>
          <t>同一样品的技术视野；不是独立生物学重复</t>
        </is>
      </c>
      <c r="L93" t="inlineStr">
        <is>
          <t>样品52</t>
        </is>
      </c>
    </row>
    <row r="94">
      <c r="A94" t="inlineStr">
        <is>
          <t>52 (5).tif</t>
        </is>
      </c>
      <c r="B94">
        <f>COUNTIF(导管母表_860!B:B,A94)</f>
        <v/>
      </c>
      <c r="C94">
        <f>COUNTIFS(候选导管审计!B:B,A94,候选导管审计!G:G,"borderline")</f>
        <v/>
      </c>
      <c r="D94">
        <f>COUNTIFS(候选导管审计!B:B,A94,候选导管审计!G:G,"excluded")</f>
        <v/>
      </c>
      <c r="E94">
        <f>COUNTIFS(候选导管审计!B:B,A94,候选导管审计!G:G,"edge_truncated")</f>
        <v/>
      </c>
      <c r="F94">
        <f>COUNTIF(导管对_CWR_112!B:B,A94)</f>
        <v/>
      </c>
      <c r="G94">
        <f>COUNTIF(TVW线测量明细!B:B,A94)</f>
        <v/>
      </c>
      <c r="H94" t="n">
        <v>0.2173913043478261</v>
      </c>
      <c r="I94" t="n">
        <v>691</v>
      </c>
      <c r="J94">
        <f>1024*I94*H94^2/1000000</f>
        <v/>
      </c>
      <c r="K94" t="inlineStr">
        <is>
          <t>同一样品的技术视野；不是独立生物学重复</t>
        </is>
      </c>
      <c r="L94" t="inlineStr">
        <is>
          <t>样品52</t>
        </is>
      </c>
    </row>
    <row r="95">
      <c r="A95" t="inlineStr">
        <is>
          <t>52 (6).tif</t>
        </is>
      </c>
      <c r="B95">
        <f>COUNTIF(导管母表_860!B:B,A95)</f>
        <v/>
      </c>
      <c r="C95">
        <f>COUNTIFS(候选导管审计!B:B,A95,候选导管审计!G:G,"borderline")</f>
        <v/>
      </c>
      <c r="D95">
        <f>COUNTIFS(候选导管审计!B:B,A95,候选导管审计!G:G,"excluded")</f>
        <v/>
      </c>
      <c r="E95">
        <f>COUNTIFS(候选导管审计!B:B,A95,候选导管审计!G:G,"edge_truncated")</f>
        <v/>
      </c>
      <c r="F95">
        <f>COUNTIF(导管对_CWR_112!B:B,A95)</f>
        <v/>
      </c>
      <c r="G95">
        <f>COUNTIF(TVW线测量明细!B:B,A95)</f>
        <v/>
      </c>
      <c r="H95" t="n">
        <v>0.2173913043478261</v>
      </c>
      <c r="I95" t="n">
        <v>221</v>
      </c>
      <c r="J95">
        <f>1024*I95*H95^2/1000000</f>
        <v/>
      </c>
      <c r="K95" t="inlineStr">
        <is>
          <t>同一样品的技术视野；不是独立生物学重复</t>
        </is>
      </c>
      <c r="L95" t="inlineStr">
        <is>
          <t>样品52</t>
        </is>
      </c>
    </row>
    <row r="96">
      <c r="A96" t="inlineStr">
        <is>
          <t>52 (7).tif</t>
        </is>
      </c>
      <c r="B96">
        <f>COUNTIF(导管母表_860!B:B,A96)</f>
        <v/>
      </c>
      <c r="C96">
        <f>COUNTIFS(候选导管审计!B:B,A96,候选导管审计!G:G,"borderline")</f>
        <v/>
      </c>
      <c r="D96">
        <f>COUNTIFS(候选导管审计!B:B,A96,候选导管审计!G:G,"excluded")</f>
        <v/>
      </c>
      <c r="E96">
        <f>COUNTIFS(候选导管审计!B:B,A96,候选导管审计!G:G,"edge_truncated")</f>
        <v/>
      </c>
      <c r="F96">
        <f>COUNTIF(导管对_CWR_112!B:B,A96)</f>
        <v/>
      </c>
      <c r="G96">
        <f>COUNTIF(TVW线测量明细!B:B,A96)</f>
        <v/>
      </c>
      <c r="H96" t="n">
        <v>0.2173913043478261</v>
      </c>
      <c r="I96" t="n">
        <v>691</v>
      </c>
      <c r="J96">
        <f>1024*I96*H96^2/1000000</f>
        <v/>
      </c>
      <c r="K96" t="inlineStr">
        <is>
          <t>同一样品的技术视野；不是独立生物学重复</t>
        </is>
      </c>
      <c r="L96" t="inlineStr">
        <is>
          <t>样品52</t>
        </is>
      </c>
    </row>
    <row r="97">
      <c r="A97" t="inlineStr">
        <is>
          <t>52 (8).tif</t>
        </is>
      </c>
      <c r="B97">
        <f>COUNTIF(导管母表_860!B:B,A97)</f>
        <v/>
      </c>
      <c r="C97">
        <f>COUNTIFS(候选导管审计!B:B,A97,候选导管审计!G:G,"borderline")</f>
        <v/>
      </c>
      <c r="D97">
        <f>COUNTIFS(候选导管审计!B:B,A97,候选导管审计!G:G,"excluded")</f>
        <v/>
      </c>
      <c r="E97">
        <f>COUNTIFS(候选导管审计!B:B,A97,候选导管审计!G:G,"edge_truncated")</f>
        <v/>
      </c>
      <c r="F97">
        <f>COUNTIF(导管对_CWR_112!B:B,A97)</f>
        <v/>
      </c>
      <c r="G97">
        <f>COUNTIF(TVW线测量明细!B:B,A97)</f>
        <v/>
      </c>
      <c r="H97" t="n">
        <v>0.2173913043478261</v>
      </c>
      <c r="I97" t="n">
        <v>173</v>
      </c>
      <c r="J97">
        <f>1024*I97*H97^2/1000000</f>
        <v/>
      </c>
      <c r="K97" t="inlineStr">
        <is>
          <t>同一样品的技术视野；不是独立生物学重复</t>
        </is>
      </c>
      <c r="L97" t="inlineStr">
        <is>
          <t>样品52</t>
        </is>
      </c>
    </row>
    <row r="98">
      <c r="A98" t="inlineStr">
        <is>
          <t>53 (1).tif</t>
        </is>
      </c>
      <c r="B98">
        <f>COUNTIF(导管母表_860!B:B,A98)</f>
        <v/>
      </c>
      <c r="C98">
        <f>COUNTIFS(候选导管审计!B:B,A98,候选导管审计!G:G,"borderline")</f>
        <v/>
      </c>
      <c r="D98">
        <f>COUNTIFS(候选导管审计!B:B,A98,候选导管审计!G:G,"excluded")</f>
        <v/>
      </c>
      <c r="E98">
        <f>COUNTIFS(候选导管审计!B:B,A98,候选导管审计!G:G,"edge_truncated")</f>
        <v/>
      </c>
      <c r="F98">
        <f>COUNTIF(导管对_CWR_112!B:B,A98)</f>
        <v/>
      </c>
      <c r="G98">
        <f>COUNTIF(TVW线测量明细!B:B,A98)</f>
        <v/>
      </c>
      <c r="H98" t="n">
        <v>0.2173913043478261</v>
      </c>
      <c r="I98" t="n">
        <v>276</v>
      </c>
      <c r="J98">
        <f>1024*I98*H98^2/1000000</f>
        <v/>
      </c>
      <c r="K98" t="inlineStr">
        <is>
          <t>同一样品的技术视野；不是独立生物学重复</t>
        </is>
      </c>
      <c r="L98" t="inlineStr">
        <is>
          <t>样品53</t>
        </is>
      </c>
    </row>
    <row r="99">
      <c r="A99" t="inlineStr">
        <is>
          <t>53 (2).tif</t>
        </is>
      </c>
      <c r="B99">
        <f>COUNTIF(导管母表_860!B:B,A99)</f>
        <v/>
      </c>
      <c r="C99">
        <f>COUNTIFS(候选导管审计!B:B,A99,候选导管审计!G:G,"borderline")</f>
        <v/>
      </c>
      <c r="D99">
        <f>COUNTIFS(候选导管审计!B:B,A99,候选导管审计!G:G,"excluded")</f>
        <v/>
      </c>
      <c r="E99">
        <f>COUNTIFS(候选导管审计!B:B,A99,候选导管审计!G:G,"edge_truncated")</f>
        <v/>
      </c>
      <c r="F99">
        <f>COUNTIF(导管对_CWR_112!B:B,A99)</f>
        <v/>
      </c>
      <c r="G99">
        <f>COUNTIF(TVW线测量明细!B:B,A99)</f>
        <v/>
      </c>
      <c r="H99" t="n">
        <v>0.2173913043478261</v>
      </c>
      <c r="I99" t="n">
        <v>691</v>
      </c>
      <c r="J99">
        <f>1024*I99*H99^2/1000000</f>
        <v/>
      </c>
      <c r="K99" t="inlineStr">
        <is>
          <t>同一样品的技术视野；不是独立生物学重复</t>
        </is>
      </c>
      <c r="L99" t="inlineStr">
        <is>
          <t>样品53</t>
        </is>
      </c>
    </row>
    <row r="100">
      <c r="A100" t="inlineStr">
        <is>
          <t>53 (3).tif</t>
        </is>
      </c>
      <c r="B100">
        <f>COUNTIF(导管母表_860!B:B,A100)</f>
        <v/>
      </c>
      <c r="C100">
        <f>COUNTIFS(候选导管审计!B:B,A100,候选导管审计!G:G,"borderline")</f>
        <v/>
      </c>
      <c r="D100">
        <f>COUNTIFS(候选导管审计!B:B,A100,候选导管审计!G:G,"excluded")</f>
        <v/>
      </c>
      <c r="E100">
        <f>COUNTIFS(候选导管审计!B:B,A100,候选导管审计!G:G,"edge_truncated")</f>
        <v/>
      </c>
      <c r="F100">
        <f>COUNTIF(导管对_CWR_112!B:B,A100)</f>
        <v/>
      </c>
      <c r="G100">
        <f>COUNTIF(TVW线测量明细!B:B,A100)</f>
        <v/>
      </c>
      <c r="H100" t="n">
        <v>0.2173913043478261</v>
      </c>
      <c r="I100" t="n">
        <v>175</v>
      </c>
      <c r="J100">
        <f>1024*I100*H100^2/1000000</f>
        <v/>
      </c>
      <c r="K100" t="inlineStr">
        <is>
          <t>同一样品的技术视野；不是独立生物学重复</t>
        </is>
      </c>
      <c r="L100" t="inlineStr">
        <is>
          <t>样品53</t>
        </is>
      </c>
    </row>
    <row r="101">
      <c r="A101" t="inlineStr">
        <is>
          <t>53 (4).tif</t>
        </is>
      </c>
      <c r="B101">
        <f>COUNTIF(导管母表_860!B:B,A101)</f>
        <v/>
      </c>
      <c r="C101">
        <f>COUNTIFS(候选导管审计!B:B,A101,候选导管审计!G:G,"borderline")</f>
        <v/>
      </c>
      <c r="D101">
        <f>COUNTIFS(候选导管审计!B:B,A101,候选导管审计!G:G,"excluded")</f>
        <v/>
      </c>
      <c r="E101">
        <f>COUNTIFS(候选导管审计!B:B,A101,候选导管审计!G:G,"edge_truncated")</f>
        <v/>
      </c>
      <c r="F101">
        <f>COUNTIF(导管对_CWR_112!B:B,A101)</f>
        <v/>
      </c>
      <c r="G101">
        <f>COUNTIF(TVW线测量明细!B:B,A101)</f>
        <v/>
      </c>
      <c r="H101" t="n">
        <v>0.2173913043478261</v>
      </c>
      <c r="I101" t="n">
        <v>691</v>
      </c>
      <c r="J101">
        <f>1024*I101*H101^2/1000000</f>
        <v/>
      </c>
      <c r="K101" t="inlineStr">
        <is>
          <t>同一样品的技术视野；不是独立生物学重复</t>
        </is>
      </c>
      <c r="L101" t="inlineStr">
        <is>
          <t>样品53</t>
        </is>
      </c>
    </row>
    <row r="102">
      <c r="A102" t="inlineStr">
        <is>
          <t>53 (5).tif</t>
        </is>
      </c>
      <c r="B102">
        <f>COUNTIF(导管母表_860!B:B,A102)</f>
        <v/>
      </c>
      <c r="C102">
        <f>COUNTIFS(候选导管审计!B:B,A102,候选导管审计!G:G,"borderline")</f>
        <v/>
      </c>
      <c r="D102">
        <f>COUNTIFS(候选导管审计!B:B,A102,候选导管审计!G:G,"excluded")</f>
        <v/>
      </c>
      <c r="E102">
        <f>COUNTIFS(候选导管审计!B:B,A102,候选导管审计!G:G,"edge_truncated")</f>
        <v/>
      </c>
      <c r="F102">
        <f>COUNTIF(导管对_CWR_112!B:B,A102)</f>
        <v/>
      </c>
      <c r="G102">
        <f>COUNTIF(TVW线测量明细!B:B,A102)</f>
        <v/>
      </c>
      <c r="H102" t="n">
        <v>0.2173913043478261</v>
      </c>
      <c r="I102" t="n">
        <v>691</v>
      </c>
      <c r="J102">
        <f>1024*I102*H102^2/1000000</f>
        <v/>
      </c>
      <c r="K102" t="inlineStr">
        <is>
          <t>同一样品的技术视野；不是独立生物学重复</t>
        </is>
      </c>
      <c r="L102" t="inlineStr">
        <is>
          <t>样品53</t>
        </is>
      </c>
    </row>
    <row r="103">
      <c r="A103" t="inlineStr">
        <is>
          <t>53 (6).tif</t>
        </is>
      </c>
      <c r="B103">
        <f>COUNTIF(导管母表_860!B:B,A103)</f>
        <v/>
      </c>
      <c r="C103">
        <f>COUNTIFS(候选导管审计!B:B,A103,候选导管审计!G:G,"borderline")</f>
        <v/>
      </c>
      <c r="D103">
        <f>COUNTIFS(候选导管审计!B:B,A103,候选导管审计!G:G,"excluded")</f>
        <v/>
      </c>
      <c r="E103">
        <f>COUNTIFS(候选导管审计!B:B,A103,候选导管审计!G:G,"edge_truncated")</f>
        <v/>
      </c>
      <c r="F103">
        <f>COUNTIF(导管对_CWR_112!B:B,A103)</f>
        <v/>
      </c>
      <c r="G103">
        <f>COUNTIF(TVW线测量明细!B:B,A103)</f>
        <v/>
      </c>
      <c r="H103" t="n">
        <v>0.2173913043478261</v>
      </c>
      <c r="I103" t="n">
        <v>300</v>
      </c>
      <c r="J103">
        <f>1024*I103*H103^2/1000000</f>
        <v/>
      </c>
      <c r="K103" t="inlineStr">
        <is>
          <t>同一样品的技术视野；不是独立生物学重复</t>
        </is>
      </c>
      <c r="L103" t="inlineStr">
        <is>
          <t>样品53</t>
        </is>
      </c>
    </row>
    <row r="104">
      <c r="A104" t="inlineStr">
        <is>
          <t>53 (7).tif</t>
        </is>
      </c>
      <c r="B104">
        <f>COUNTIF(导管母表_860!B:B,A104)</f>
        <v/>
      </c>
      <c r="C104">
        <f>COUNTIFS(候选导管审计!B:B,A104,候选导管审计!G:G,"borderline")</f>
        <v/>
      </c>
      <c r="D104">
        <f>COUNTIFS(候选导管审计!B:B,A104,候选导管审计!G:G,"excluded")</f>
        <v/>
      </c>
      <c r="E104">
        <f>COUNTIFS(候选导管审计!B:B,A104,候选导管审计!G:G,"edge_truncated")</f>
        <v/>
      </c>
      <c r="F104">
        <f>COUNTIF(导管对_CWR_112!B:B,A104)</f>
        <v/>
      </c>
      <c r="G104">
        <f>COUNTIF(TVW线测量明细!B:B,A104)</f>
        <v/>
      </c>
      <c r="H104" t="n">
        <v>0.2173913043478261</v>
      </c>
      <c r="I104" t="n">
        <v>181</v>
      </c>
      <c r="J104">
        <f>1024*I104*H104^2/1000000</f>
        <v/>
      </c>
      <c r="K104" t="inlineStr">
        <is>
          <t>同一样品的技术视野；不是独立生物学重复</t>
        </is>
      </c>
      <c r="L104" t="inlineStr">
        <is>
          <t>样品53</t>
        </is>
      </c>
    </row>
    <row r="105">
      <c r="A105" t="inlineStr">
        <is>
          <t>53 (8).tif</t>
        </is>
      </c>
      <c r="B105">
        <f>COUNTIF(导管母表_860!B:B,A105)</f>
        <v/>
      </c>
      <c r="C105">
        <f>COUNTIFS(候选导管审计!B:B,A105,候选导管审计!G:G,"borderline")</f>
        <v/>
      </c>
      <c r="D105">
        <f>COUNTIFS(候选导管审计!B:B,A105,候选导管审计!G:G,"excluded")</f>
        <v/>
      </c>
      <c r="E105">
        <f>COUNTIFS(候选导管审计!B:B,A105,候选导管审计!G:G,"edge_truncated")</f>
        <v/>
      </c>
      <c r="F105">
        <f>COUNTIF(导管对_CWR_112!B:B,A105)</f>
        <v/>
      </c>
      <c r="G105">
        <f>COUNTIF(TVW线测量明细!B:B,A105)</f>
        <v/>
      </c>
      <c r="H105" t="n">
        <v>0.2173913043478261</v>
      </c>
      <c r="I105" t="n">
        <v>265</v>
      </c>
      <c r="J105">
        <f>1024*I105*H105^2/1000000</f>
        <v/>
      </c>
      <c r="K105" t="inlineStr">
        <is>
          <t>同一样品的技术视野；不是独立生物学重复</t>
        </is>
      </c>
      <c r="L105" t="inlineStr">
        <is>
          <t>样品53</t>
        </is>
      </c>
    </row>
    <row r="106">
      <c r="A106" t="inlineStr">
        <is>
          <t>54 (1).tif</t>
        </is>
      </c>
      <c r="B106">
        <f>COUNTIF(导管母表_860!B:B,A106)</f>
        <v/>
      </c>
      <c r="C106">
        <f>COUNTIFS(候选导管审计!B:B,A106,候选导管审计!G:G,"borderline")</f>
        <v/>
      </c>
      <c r="D106">
        <f>COUNTIFS(候选导管审计!B:B,A106,候选导管审计!G:G,"excluded")</f>
        <v/>
      </c>
      <c r="E106">
        <f>COUNTIFS(候选导管审计!B:B,A106,候选导管审计!G:G,"edge_truncated")</f>
        <v/>
      </c>
      <c r="F106">
        <f>COUNTIF(导管对_CWR_112!B:B,A106)</f>
        <v/>
      </c>
      <c r="G106">
        <f>COUNTIF(TVW线测量明细!B:B,A106)</f>
        <v/>
      </c>
      <c r="H106" t="n">
        <v>0.2173913043478261</v>
      </c>
      <c r="I106" t="n">
        <v>189</v>
      </c>
      <c r="J106">
        <f>1024*I106*H106^2/1000000</f>
        <v/>
      </c>
      <c r="K106" t="inlineStr">
        <is>
          <t>同一样品的技术视野；不是独立生物学重复</t>
        </is>
      </c>
      <c r="L106" t="inlineStr">
        <is>
          <t>样品54</t>
        </is>
      </c>
    </row>
    <row r="107">
      <c r="A107" t="inlineStr">
        <is>
          <t>54 (2).tif</t>
        </is>
      </c>
      <c r="B107">
        <f>COUNTIF(导管母表_860!B:B,A107)</f>
        <v/>
      </c>
      <c r="C107">
        <f>COUNTIFS(候选导管审计!B:B,A107,候选导管审计!G:G,"borderline")</f>
        <v/>
      </c>
      <c r="D107">
        <f>COUNTIFS(候选导管审计!B:B,A107,候选导管审计!G:G,"excluded")</f>
        <v/>
      </c>
      <c r="E107">
        <f>COUNTIFS(候选导管审计!B:B,A107,候选导管审计!G:G,"edge_truncated")</f>
        <v/>
      </c>
      <c r="F107">
        <f>COUNTIF(导管对_CWR_112!B:B,A107)</f>
        <v/>
      </c>
      <c r="G107">
        <f>COUNTIF(TVW线测量明细!B:B,A107)</f>
        <v/>
      </c>
      <c r="H107" t="n">
        <v>0.2173913043478261</v>
      </c>
      <c r="I107" t="n">
        <v>691</v>
      </c>
      <c r="J107">
        <f>1024*I107*H107^2/1000000</f>
        <v/>
      </c>
      <c r="K107" t="inlineStr">
        <is>
          <t>同一样品的技术视野；不是独立生物学重复</t>
        </is>
      </c>
      <c r="L107" t="inlineStr">
        <is>
          <t>样品54</t>
        </is>
      </c>
    </row>
    <row r="108">
      <c r="A108" t="inlineStr">
        <is>
          <t>54 (3).tif</t>
        </is>
      </c>
      <c r="B108">
        <f>COUNTIF(导管母表_860!B:B,A108)</f>
        <v/>
      </c>
      <c r="C108">
        <f>COUNTIFS(候选导管审计!B:B,A108,候选导管审计!G:G,"borderline")</f>
        <v/>
      </c>
      <c r="D108">
        <f>COUNTIFS(候选导管审计!B:B,A108,候选导管审计!G:G,"excluded")</f>
        <v/>
      </c>
      <c r="E108">
        <f>COUNTIFS(候选导管审计!B:B,A108,候选导管审计!G:G,"edge_truncated")</f>
        <v/>
      </c>
      <c r="F108">
        <f>COUNTIF(导管对_CWR_112!B:B,A108)</f>
        <v/>
      </c>
      <c r="G108">
        <f>COUNTIF(TVW线测量明细!B:B,A108)</f>
        <v/>
      </c>
      <c r="H108" t="n">
        <v>0.2173913043478261</v>
      </c>
      <c r="I108" t="n">
        <v>319</v>
      </c>
      <c r="J108">
        <f>1024*I108*H108^2/1000000</f>
        <v/>
      </c>
      <c r="K108" t="inlineStr">
        <is>
          <t>同一样品的技术视野；不是独立生物学重复</t>
        </is>
      </c>
      <c r="L108" t="inlineStr">
        <is>
          <t>样品54</t>
        </is>
      </c>
    </row>
    <row r="109">
      <c r="A109" t="inlineStr">
        <is>
          <t>54 (4).tif</t>
        </is>
      </c>
      <c r="B109">
        <f>COUNTIF(导管母表_860!B:B,A109)</f>
        <v/>
      </c>
      <c r="C109">
        <f>COUNTIFS(候选导管审计!B:B,A109,候选导管审计!G:G,"borderline")</f>
        <v/>
      </c>
      <c r="D109">
        <f>COUNTIFS(候选导管审计!B:B,A109,候选导管审计!G:G,"excluded")</f>
        <v/>
      </c>
      <c r="E109">
        <f>COUNTIFS(候选导管审计!B:B,A109,候选导管审计!G:G,"edge_truncated")</f>
        <v/>
      </c>
      <c r="F109">
        <f>COUNTIF(导管对_CWR_112!B:B,A109)</f>
        <v/>
      </c>
      <c r="G109">
        <f>COUNTIF(TVW线测量明细!B:B,A109)</f>
        <v/>
      </c>
      <c r="H109" t="n">
        <v>0.2173913043478261</v>
      </c>
      <c r="I109" t="n">
        <v>691</v>
      </c>
      <c r="J109">
        <f>1024*I109*H109^2/1000000</f>
        <v/>
      </c>
      <c r="K109" t="inlineStr">
        <is>
          <t>同一样品的技术视野；不是独立生物学重复</t>
        </is>
      </c>
      <c r="L109" t="inlineStr">
        <is>
          <t>样品54</t>
        </is>
      </c>
    </row>
    <row r="110">
      <c r="A110" t="inlineStr">
        <is>
          <t>54 (5).tif</t>
        </is>
      </c>
      <c r="B110">
        <f>COUNTIF(导管母表_860!B:B,A110)</f>
        <v/>
      </c>
      <c r="C110">
        <f>COUNTIFS(候选导管审计!B:B,A110,候选导管审计!G:G,"borderline")</f>
        <v/>
      </c>
      <c r="D110">
        <f>COUNTIFS(候选导管审计!B:B,A110,候选导管审计!G:G,"excluded")</f>
        <v/>
      </c>
      <c r="E110">
        <f>COUNTIFS(候选导管审计!B:B,A110,候选导管审计!G:G,"edge_truncated")</f>
        <v/>
      </c>
      <c r="F110">
        <f>COUNTIF(导管对_CWR_112!B:B,A110)</f>
        <v/>
      </c>
      <c r="G110">
        <f>COUNTIF(TVW线测量明细!B:B,A110)</f>
        <v/>
      </c>
      <c r="H110" t="n">
        <v>0.2173913043478261</v>
      </c>
      <c r="I110" t="n">
        <v>691</v>
      </c>
      <c r="J110">
        <f>1024*I110*H110^2/1000000</f>
        <v/>
      </c>
      <c r="K110" t="inlineStr">
        <is>
          <t>同一样品的技术视野；不是独立生物学重复</t>
        </is>
      </c>
      <c r="L110" t="inlineStr">
        <is>
          <t>样品54</t>
        </is>
      </c>
    </row>
    <row r="111">
      <c r="A111" t="inlineStr">
        <is>
          <t>54 (6).tif</t>
        </is>
      </c>
      <c r="B111">
        <f>COUNTIF(导管母表_860!B:B,A111)</f>
        <v/>
      </c>
      <c r="C111">
        <f>COUNTIFS(候选导管审计!B:B,A111,候选导管审计!G:G,"borderline")</f>
        <v/>
      </c>
      <c r="D111">
        <f>COUNTIFS(候选导管审计!B:B,A111,候选导管审计!G:G,"excluded")</f>
        <v/>
      </c>
      <c r="E111">
        <f>COUNTIFS(候选导管审计!B:B,A111,候选导管审计!G:G,"edge_truncated")</f>
        <v/>
      </c>
      <c r="F111">
        <f>COUNTIF(导管对_CWR_112!B:B,A111)</f>
        <v/>
      </c>
      <c r="G111">
        <f>COUNTIF(TVW线测量明细!B:B,A111)</f>
        <v/>
      </c>
      <c r="H111" t="n">
        <v>0.2173913043478261</v>
      </c>
      <c r="I111" t="n">
        <v>160</v>
      </c>
      <c r="J111">
        <f>1024*I111*H111^2/1000000</f>
        <v/>
      </c>
      <c r="K111" t="inlineStr">
        <is>
          <t>同一样品的技术视野；不是独立生物学重复</t>
        </is>
      </c>
      <c r="L111" t="inlineStr">
        <is>
          <t>样品54</t>
        </is>
      </c>
    </row>
    <row r="112">
      <c r="A112" t="inlineStr">
        <is>
          <t>54 (7).tif</t>
        </is>
      </c>
      <c r="B112">
        <f>COUNTIF(导管母表_860!B:B,A112)</f>
        <v/>
      </c>
      <c r="C112">
        <f>COUNTIFS(候选导管审计!B:B,A112,候选导管审计!G:G,"borderline")</f>
        <v/>
      </c>
      <c r="D112">
        <f>COUNTIFS(候选导管审计!B:B,A112,候选导管审计!G:G,"excluded")</f>
        <v/>
      </c>
      <c r="E112">
        <f>COUNTIFS(候选导管审计!B:B,A112,候选导管审计!G:G,"edge_truncated")</f>
        <v/>
      </c>
      <c r="F112">
        <f>COUNTIF(导管对_CWR_112!B:B,A112)</f>
        <v/>
      </c>
      <c r="G112">
        <f>COUNTIF(TVW线测量明细!B:B,A112)</f>
        <v/>
      </c>
      <c r="H112" t="n">
        <v>0.2173913043478261</v>
      </c>
      <c r="I112" t="n">
        <v>691</v>
      </c>
      <c r="J112">
        <f>1024*I112*H112^2/1000000</f>
        <v/>
      </c>
      <c r="K112" t="inlineStr">
        <is>
          <t>同一样品的技术视野；不是独立生物学重复</t>
        </is>
      </c>
      <c r="L112" t="inlineStr">
        <is>
          <t>样品54</t>
        </is>
      </c>
    </row>
    <row r="113">
      <c r="A113" t="inlineStr">
        <is>
          <t>54 (8).tif</t>
        </is>
      </c>
      <c r="B113">
        <f>COUNTIF(导管母表_860!B:B,A113)</f>
        <v/>
      </c>
      <c r="C113">
        <f>COUNTIFS(候选导管审计!B:B,A113,候选导管审计!G:G,"borderline")</f>
        <v/>
      </c>
      <c r="D113">
        <f>COUNTIFS(候选导管审计!B:B,A113,候选导管审计!G:G,"excluded")</f>
        <v/>
      </c>
      <c r="E113">
        <f>COUNTIFS(候选导管审计!B:B,A113,候选导管审计!G:G,"edge_truncated")</f>
        <v/>
      </c>
      <c r="F113">
        <f>COUNTIF(导管对_CWR_112!B:B,A113)</f>
        <v/>
      </c>
      <c r="G113">
        <f>COUNTIF(TVW线测量明细!B:B,A113)</f>
        <v/>
      </c>
      <c r="H113" t="n">
        <v>0.2173913043478261</v>
      </c>
      <c r="I113" t="n">
        <v>691</v>
      </c>
      <c r="J113">
        <f>1024*I113*H113^2/1000000</f>
        <v/>
      </c>
      <c r="K113" t="inlineStr">
        <is>
          <t>同一样品的技术视野；不是独立生物学重复</t>
        </is>
      </c>
      <c r="L113" t="inlineStr">
        <is>
          <t>样品54</t>
        </is>
      </c>
    </row>
    <row r="114">
      <c r="A114" t="inlineStr">
        <is>
          <t>55 (1).tif</t>
        </is>
      </c>
      <c r="B114">
        <f>COUNTIF(导管母表_860!B:B,A114)</f>
        <v/>
      </c>
      <c r="C114">
        <f>COUNTIFS(候选导管审计!B:B,A114,候选导管审计!G:G,"borderline")</f>
        <v/>
      </c>
      <c r="D114">
        <f>COUNTIFS(候选导管审计!B:B,A114,候选导管审计!G:G,"excluded")</f>
        <v/>
      </c>
      <c r="E114">
        <f>COUNTIFS(候选导管审计!B:B,A114,候选导管审计!G:G,"edge_truncated")</f>
        <v/>
      </c>
      <c r="F114">
        <f>COUNTIF(导管对_CWR_112!B:B,A114)</f>
        <v/>
      </c>
      <c r="G114">
        <f>COUNTIF(TVW线测量明细!B:B,A114)</f>
        <v/>
      </c>
      <c r="H114" t="n">
        <v>0.2173913043478261</v>
      </c>
      <c r="I114" t="n">
        <v>309</v>
      </c>
      <c r="J114">
        <f>1024*I114*H114^2/1000000</f>
        <v/>
      </c>
      <c r="K114" t="inlineStr">
        <is>
          <t>同一样品的技术视野；不是独立生物学重复</t>
        </is>
      </c>
      <c r="L114" t="inlineStr">
        <is>
          <t>样品55</t>
        </is>
      </c>
    </row>
    <row r="115">
      <c r="A115" t="inlineStr">
        <is>
          <t>55 (2).tif</t>
        </is>
      </c>
      <c r="B115">
        <f>COUNTIF(导管母表_860!B:B,A115)</f>
        <v/>
      </c>
      <c r="C115">
        <f>COUNTIFS(候选导管审计!B:B,A115,候选导管审计!G:G,"borderline")</f>
        <v/>
      </c>
      <c r="D115">
        <f>COUNTIFS(候选导管审计!B:B,A115,候选导管审计!G:G,"excluded")</f>
        <v/>
      </c>
      <c r="E115">
        <f>COUNTIFS(候选导管审计!B:B,A115,候选导管审计!G:G,"edge_truncated")</f>
        <v/>
      </c>
      <c r="F115">
        <f>COUNTIF(导管对_CWR_112!B:B,A115)</f>
        <v/>
      </c>
      <c r="G115">
        <f>COUNTIF(TVW线测量明细!B:B,A115)</f>
        <v/>
      </c>
      <c r="H115" t="n">
        <v>0.2173913043478261</v>
      </c>
      <c r="I115" t="n">
        <v>691</v>
      </c>
      <c r="J115">
        <f>1024*I115*H115^2/1000000</f>
        <v/>
      </c>
      <c r="K115" t="inlineStr">
        <is>
          <t>同一样品的技术视野；不是独立生物学重复</t>
        </is>
      </c>
      <c r="L115" t="inlineStr">
        <is>
          <t>样品55</t>
        </is>
      </c>
    </row>
    <row r="116">
      <c r="A116" t="inlineStr">
        <is>
          <t>55 (3).tif</t>
        </is>
      </c>
      <c r="B116">
        <f>COUNTIF(导管母表_860!B:B,A116)</f>
        <v/>
      </c>
      <c r="C116">
        <f>COUNTIFS(候选导管审计!B:B,A116,候选导管审计!G:G,"borderline")</f>
        <v/>
      </c>
      <c r="D116">
        <f>COUNTIFS(候选导管审计!B:B,A116,候选导管审计!G:G,"excluded")</f>
        <v/>
      </c>
      <c r="E116">
        <f>COUNTIFS(候选导管审计!B:B,A116,候选导管审计!G:G,"edge_truncated")</f>
        <v/>
      </c>
      <c r="F116">
        <f>COUNTIF(导管对_CWR_112!B:B,A116)</f>
        <v/>
      </c>
      <c r="G116">
        <f>COUNTIF(TVW线测量明细!B:B,A116)</f>
        <v/>
      </c>
      <c r="H116" t="n">
        <v>0.2173913043478261</v>
      </c>
      <c r="I116" t="n">
        <v>691</v>
      </c>
      <c r="J116">
        <f>1024*I116*H116^2/1000000</f>
        <v/>
      </c>
      <c r="K116" t="inlineStr">
        <is>
          <t>同一样品的技术视野；不是独立生物学重复</t>
        </is>
      </c>
      <c r="L116" t="inlineStr">
        <is>
          <t>样品55</t>
        </is>
      </c>
    </row>
    <row r="117">
      <c r="A117" t="inlineStr">
        <is>
          <t>55 (4).tif</t>
        </is>
      </c>
      <c r="B117">
        <f>COUNTIF(导管母表_860!B:B,A117)</f>
        <v/>
      </c>
      <c r="C117">
        <f>COUNTIFS(候选导管审计!B:B,A117,候选导管审计!G:G,"borderline")</f>
        <v/>
      </c>
      <c r="D117">
        <f>COUNTIFS(候选导管审计!B:B,A117,候选导管审计!G:G,"excluded")</f>
        <v/>
      </c>
      <c r="E117">
        <f>COUNTIFS(候选导管审计!B:B,A117,候选导管审计!G:G,"edge_truncated")</f>
        <v/>
      </c>
      <c r="F117">
        <f>COUNTIF(导管对_CWR_112!B:B,A117)</f>
        <v/>
      </c>
      <c r="G117">
        <f>COUNTIF(TVW线测量明细!B:B,A117)</f>
        <v/>
      </c>
      <c r="H117" t="n">
        <v>0.2173913043478261</v>
      </c>
      <c r="I117" t="n">
        <v>267</v>
      </c>
      <c r="J117">
        <f>1024*I117*H117^2/1000000</f>
        <v/>
      </c>
      <c r="K117" t="inlineStr">
        <is>
          <t>同一样品的技术视野；不是独立生物学重复</t>
        </is>
      </c>
      <c r="L117" t="inlineStr">
        <is>
          <t>样品55</t>
        </is>
      </c>
    </row>
    <row r="118">
      <c r="A118" t="inlineStr">
        <is>
          <t>55 (5).tif</t>
        </is>
      </c>
      <c r="B118">
        <f>COUNTIF(导管母表_860!B:B,A118)</f>
        <v/>
      </c>
      <c r="C118">
        <f>COUNTIFS(候选导管审计!B:B,A118,候选导管审计!G:G,"borderline")</f>
        <v/>
      </c>
      <c r="D118">
        <f>COUNTIFS(候选导管审计!B:B,A118,候选导管审计!G:G,"excluded")</f>
        <v/>
      </c>
      <c r="E118">
        <f>COUNTIFS(候选导管审计!B:B,A118,候选导管审计!G:G,"edge_truncated")</f>
        <v/>
      </c>
      <c r="F118">
        <f>COUNTIF(导管对_CWR_112!B:B,A118)</f>
        <v/>
      </c>
      <c r="G118">
        <f>COUNTIF(TVW线测量明细!B:B,A118)</f>
        <v/>
      </c>
      <c r="H118" t="n">
        <v>0.2173913043478261</v>
      </c>
      <c r="I118" t="n">
        <v>691</v>
      </c>
      <c r="J118">
        <f>1024*I118*H118^2/1000000</f>
        <v/>
      </c>
      <c r="K118" t="inlineStr">
        <is>
          <t>同一样品的技术视野；不是独立生物学重复</t>
        </is>
      </c>
      <c r="L118" t="inlineStr">
        <is>
          <t>样品55</t>
        </is>
      </c>
    </row>
    <row r="119">
      <c r="A119" t="inlineStr">
        <is>
          <t>55 (6).tif</t>
        </is>
      </c>
      <c r="B119">
        <f>COUNTIF(导管母表_860!B:B,A119)</f>
        <v/>
      </c>
      <c r="C119">
        <f>COUNTIFS(候选导管审计!B:B,A119,候选导管审计!G:G,"borderline")</f>
        <v/>
      </c>
      <c r="D119">
        <f>COUNTIFS(候选导管审计!B:B,A119,候选导管审计!G:G,"excluded")</f>
        <v/>
      </c>
      <c r="E119">
        <f>COUNTIFS(候选导管审计!B:B,A119,候选导管审计!G:G,"edge_truncated")</f>
        <v/>
      </c>
      <c r="F119">
        <f>COUNTIF(导管对_CWR_112!B:B,A119)</f>
        <v/>
      </c>
      <c r="G119">
        <f>COUNTIF(TVW线测量明细!B:B,A119)</f>
        <v/>
      </c>
      <c r="H119" t="n">
        <v>0.2173913043478261</v>
      </c>
      <c r="I119" t="n">
        <v>253</v>
      </c>
      <c r="J119">
        <f>1024*I119*H119^2/1000000</f>
        <v/>
      </c>
      <c r="K119" t="inlineStr">
        <is>
          <t>同一样品的技术视野；不是独立生物学重复</t>
        </is>
      </c>
      <c r="L119" t="inlineStr">
        <is>
          <t>样品55</t>
        </is>
      </c>
    </row>
    <row r="120">
      <c r="A120" t="inlineStr">
        <is>
          <t>55 (7).tif</t>
        </is>
      </c>
      <c r="B120">
        <f>COUNTIF(导管母表_860!B:B,A120)</f>
        <v/>
      </c>
      <c r="C120">
        <f>COUNTIFS(候选导管审计!B:B,A120,候选导管审计!G:G,"borderline")</f>
        <v/>
      </c>
      <c r="D120">
        <f>COUNTIFS(候选导管审计!B:B,A120,候选导管审计!G:G,"excluded")</f>
        <v/>
      </c>
      <c r="E120">
        <f>COUNTIFS(候选导管审计!B:B,A120,候选导管审计!G:G,"edge_truncated")</f>
        <v/>
      </c>
      <c r="F120">
        <f>COUNTIF(导管对_CWR_112!B:B,A120)</f>
        <v/>
      </c>
      <c r="G120">
        <f>COUNTIF(TVW线测量明细!B:B,A120)</f>
        <v/>
      </c>
      <c r="H120" t="n">
        <v>0.2173913043478261</v>
      </c>
      <c r="I120" t="n">
        <v>691</v>
      </c>
      <c r="J120">
        <f>1024*I120*H120^2/1000000</f>
        <v/>
      </c>
      <c r="K120" t="inlineStr">
        <is>
          <t>同一样品的技术视野；不是独立生物学重复</t>
        </is>
      </c>
      <c r="L120" t="inlineStr">
        <is>
          <t>样品55</t>
        </is>
      </c>
    </row>
    <row r="121">
      <c r="A121" t="inlineStr">
        <is>
          <t>55 (8).tif</t>
        </is>
      </c>
      <c r="B121">
        <f>COUNTIF(导管母表_860!B:B,A121)</f>
        <v/>
      </c>
      <c r="C121">
        <f>COUNTIFS(候选导管审计!B:B,A121,候选导管审计!G:G,"borderline")</f>
        <v/>
      </c>
      <c r="D121">
        <f>COUNTIFS(候选导管审计!B:B,A121,候选导管审计!G:G,"excluded")</f>
        <v/>
      </c>
      <c r="E121">
        <f>COUNTIFS(候选导管审计!B:B,A121,候选导管审计!G:G,"edge_truncated")</f>
        <v/>
      </c>
      <c r="F121">
        <f>COUNTIF(导管对_CWR_112!B:B,A121)</f>
        <v/>
      </c>
      <c r="G121">
        <f>COUNTIF(TVW线测量明细!B:B,A121)</f>
        <v/>
      </c>
      <c r="H121" t="n">
        <v>0.2173913043478261</v>
      </c>
      <c r="I121" t="n">
        <v>285</v>
      </c>
      <c r="J121">
        <f>1024*I121*H121^2/1000000</f>
        <v/>
      </c>
      <c r="K121" t="inlineStr">
        <is>
          <t>同一样品的技术视野；不是独立生物学重复</t>
        </is>
      </c>
      <c r="L121" t="inlineStr">
        <is>
          <t>样品55</t>
        </is>
      </c>
    </row>
    <row r="122">
      <c r="A122" t="inlineStr">
        <is>
          <t>56 (1).tif</t>
        </is>
      </c>
      <c r="B122">
        <f>COUNTIF(导管母表_860!B:B,A122)</f>
        <v/>
      </c>
      <c r="C122">
        <f>COUNTIFS(候选导管审计!B:B,A122,候选导管审计!G:G,"borderline")</f>
        <v/>
      </c>
      <c r="D122">
        <f>COUNTIFS(候选导管审计!B:B,A122,候选导管审计!G:G,"excluded")</f>
        <v/>
      </c>
      <c r="E122">
        <f>COUNTIFS(候选导管审计!B:B,A122,候选导管审计!G:G,"edge_truncated")</f>
        <v/>
      </c>
      <c r="F122">
        <f>COUNTIF(导管对_CWR_112!B:B,A122)</f>
        <v/>
      </c>
      <c r="G122">
        <f>COUNTIF(TVW线测量明细!B:B,A122)</f>
        <v/>
      </c>
      <c r="H122" t="n">
        <v>0.2173913043478261</v>
      </c>
      <c r="I122" t="n">
        <v>232</v>
      </c>
      <c r="J122">
        <f>1024*I122*H122^2/1000000</f>
        <v/>
      </c>
      <c r="K122" t="inlineStr">
        <is>
          <t>同一样品的技术视野；不是独立生物学重复</t>
        </is>
      </c>
      <c r="L122" t="inlineStr">
        <is>
          <t>样品56</t>
        </is>
      </c>
    </row>
    <row r="123">
      <c r="A123" t="inlineStr">
        <is>
          <t>56 (2).tif</t>
        </is>
      </c>
      <c r="B123">
        <f>COUNTIF(导管母表_860!B:B,A123)</f>
        <v/>
      </c>
      <c r="C123">
        <f>COUNTIFS(候选导管审计!B:B,A123,候选导管审计!G:G,"borderline")</f>
        <v/>
      </c>
      <c r="D123">
        <f>COUNTIFS(候选导管审计!B:B,A123,候选导管审计!G:G,"excluded")</f>
        <v/>
      </c>
      <c r="E123">
        <f>COUNTIFS(候选导管审计!B:B,A123,候选导管审计!G:G,"edge_truncated")</f>
        <v/>
      </c>
      <c r="F123">
        <f>COUNTIF(导管对_CWR_112!B:B,A123)</f>
        <v/>
      </c>
      <c r="G123">
        <f>COUNTIF(TVW线测量明细!B:B,A123)</f>
        <v/>
      </c>
      <c r="H123" t="n">
        <v>0.2173913043478261</v>
      </c>
      <c r="I123" t="n">
        <v>240</v>
      </c>
      <c r="J123">
        <f>1024*I123*H123^2/1000000</f>
        <v/>
      </c>
      <c r="K123" t="inlineStr">
        <is>
          <t>同一样品的技术视野；不是独立生物学重复</t>
        </is>
      </c>
      <c r="L123" t="inlineStr">
        <is>
          <t>样品56</t>
        </is>
      </c>
    </row>
    <row r="124">
      <c r="A124" t="inlineStr">
        <is>
          <t>56 (3).tif</t>
        </is>
      </c>
      <c r="B124">
        <f>COUNTIF(导管母表_860!B:B,A124)</f>
        <v/>
      </c>
      <c r="C124">
        <f>COUNTIFS(候选导管审计!B:B,A124,候选导管审计!G:G,"borderline")</f>
        <v/>
      </c>
      <c r="D124">
        <f>COUNTIFS(候选导管审计!B:B,A124,候选导管审计!G:G,"excluded")</f>
        <v/>
      </c>
      <c r="E124">
        <f>COUNTIFS(候选导管审计!B:B,A124,候选导管审计!G:G,"edge_truncated")</f>
        <v/>
      </c>
      <c r="F124">
        <f>COUNTIF(导管对_CWR_112!B:B,A124)</f>
        <v/>
      </c>
      <c r="G124">
        <f>COUNTIF(TVW线测量明细!B:B,A124)</f>
        <v/>
      </c>
      <c r="H124" t="n">
        <v>0.2173913043478261</v>
      </c>
      <c r="I124" t="n">
        <v>691</v>
      </c>
      <c r="J124">
        <f>1024*I124*H124^2/1000000</f>
        <v/>
      </c>
      <c r="K124" t="inlineStr">
        <is>
          <t>同一样品的技术视野；不是独立生物学重复</t>
        </is>
      </c>
      <c r="L124" t="inlineStr">
        <is>
          <t>样品56</t>
        </is>
      </c>
    </row>
    <row r="125">
      <c r="A125" t="inlineStr">
        <is>
          <t>56 (4).tif</t>
        </is>
      </c>
      <c r="B125">
        <f>COUNTIF(导管母表_860!B:B,A125)</f>
        <v/>
      </c>
      <c r="C125">
        <f>COUNTIFS(候选导管审计!B:B,A125,候选导管审计!G:G,"borderline")</f>
        <v/>
      </c>
      <c r="D125">
        <f>COUNTIFS(候选导管审计!B:B,A125,候选导管审计!G:G,"excluded")</f>
        <v/>
      </c>
      <c r="E125">
        <f>COUNTIFS(候选导管审计!B:B,A125,候选导管审计!G:G,"edge_truncated")</f>
        <v/>
      </c>
      <c r="F125">
        <f>COUNTIF(导管对_CWR_112!B:B,A125)</f>
        <v/>
      </c>
      <c r="G125">
        <f>COUNTIF(TVW线测量明细!B:B,A125)</f>
        <v/>
      </c>
      <c r="H125" t="n">
        <v>0.2173913043478261</v>
      </c>
      <c r="I125" t="n">
        <v>304</v>
      </c>
      <c r="J125">
        <f>1024*I125*H125^2/1000000</f>
        <v/>
      </c>
      <c r="K125" t="inlineStr">
        <is>
          <t>同一样品的技术视野；不是独立生物学重复</t>
        </is>
      </c>
      <c r="L125" t="inlineStr">
        <is>
          <t>样品56</t>
        </is>
      </c>
    </row>
    <row r="126">
      <c r="A126" t="inlineStr">
        <is>
          <t>56 (5).tif</t>
        </is>
      </c>
      <c r="B126">
        <f>COUNTIF(导管母表_860!B:B,A126)</f>
        <v/>
      </c>
      <c r="C126">
        <f>COUNTIFS(候选导管审计!B:B,A126,候选导管审计!G:G,"borderline")</f>
        <v/>
      </c>
      <c r="D126">
        <f>COUNTIFS(候选导管审计!B:B,A126,候选导管审计!G:G,"excluded")</f>
        <v/>
      </c>
      <c r="E126">
        <f>COUNTIFS(候选导管审计!B:B,A126,候选导管审计!G:G,"edge_truncated")</f>
        <v/>
      </c>
      <c r="F126">
        <f>COUNTIF(导管对_CWR_112!B:B,A126)</f>
        <v/>
      </c>
      <c r="G126">
        <f>COUNTIF(TVW线测量明细!B:B,A126)</f>
        <v/>
      </c>
      <c r="H126" t="n">
        <v>0.2173913043478261</v>
      </c>
      <c r="I126" t="n">
        <v>691</v>
      </c>
      <c r="J126">
        <f>1024*I126*H126^2/1000000</f>
        <v/>
      </c>
      <c r="K126" t="inlineStr">
        <is>
          <t>同一样品的技术视野；不是独立生物学重复</t>
        </is>
      </c>
      <c r="L126" t="inlineStr">
        <is>
          <t>样品56</t>
        </is>
      </c>
    </row>
    <row r="127">
      <c r="A127" t="inlineStr">
        <is>
          <t>56 (6).tif</t>
        </is>
      </c>
      <c r="B127">
        <f>COUNTIF(导管母表_860!B:B,A127)</f>
        <v/>
      </c>
      <c r="C127">
        <f>COUNTIFS(候选导管审计!B:B,A127,候选导管审计!G:G,"borderline")</f>
        <v/>
      </c>
      <c r="D127">
        <f>COUNTIFS(候选导管审计!B:B,A127,候选导管审计!G:G,"excluded")</f>
        <v/>
      </c>
      <c r="E127">
        <f>COUNTIFS(候选导管审计!B:B,A127,候选导管审计!G:G,"edge_truncated")</f>
        <v/>
      </c>
      <c r="F127">
        <f>COUNTIF(导管对_CWR_112!B:B,A127)</f>
        <v/>
      </c>
      <c r="G127">
        <f>COUNTIF(TVW线测量明细!B:B,A127)</f>
        <v/>
      </c>
      <c r="H127" t="n">
        <v>0.2173913043478261</v>
      </c>
      <c r="I127" t="n">
        <v>691</v>
      </c>
      <c r="J127">
        <f>1024*I127*H127^2/1000000</f>
        <v/>
      </c>
      <c r="K127" t="inlineStr">
        <is>
          <t>同一样品的技术视野；不是独立生物学重复</t>
        </is>
      </c>
      <c r="L127" t="inlineStr">
        <is>
          <t>样品56</t>
        </is>
      </c>
    </row>
    <row r="128">
      <c r="A128" t="inlineStr">
        <is>
          <t>56 (7).tif</t>
        </is>
      </c>
      <c r="B128">
        <f>COUNTIF(导管母表_860!B:B,A128)</f>
        <v/>
      </c>
      <c r="C128">
        <f>COUNTIFS(候选导管审计!B:B,A128,候选导管审计!G:G,"borderline")</f>
        <v/>
      </c>
      <c r="D128">
        <f>COUNTIFS(候选导管审计!B:B,A128,候选导管审计!G:G,"excluded")</f>
        <v/>
      </c>
      <c r="E128">
        <f>COUNTIFS(候选导管审计!B:B,A128,候选导管审计!G:G,"edge_truncated")</f>
        <v/>
      </c>
      <c r="F128">
        <f>COUNTIF(导管对_CWR_112!B:B,A128)</f>
        <v/>
      </c>
      <c r="G128">
        <f>COUNTIF(TVW线测量明细!B:B,A128)</f>
        <v/>
      </c>
      <c r="H128" t="n">
        <v>0.2173913043478261</v>
      </c>
      <c r="I128" t="n">
        <v>691</v>
      </c>
      <c r="J128">
        <f>1024*I128*H128^2/1000000</f>
        <v/>
      </c>
      <c r="K128" t="inlineStr">
        <is>
          <t>同一样品的技术视野；不是独立生物学重复</t>
        </is>
      </c>
      <c r="L128" t="inlineStr">
        <is>
          <t>样品56</t>
        </is>
      </c>
    </row>
    <row r="129">
      <c r="A129" t="inlineStr">
        <is>
          <t>56 (8).tif</t>
        </is>
      </c>
      <c r="B129">
        <f>COUNTIF(导管母表_860!B:B,A129)</f>
        <v/>
      </c>
      <c r="C129">
        <f>COUNTIFS(候选导管审计!B:B,A129,候选导管审计!G:G,"borderline")</f>
        <v/>
      </c>
      <c r="D129">
        <f>COUNTIFS(候选导管审计!B:B,A129,候选导管审计!G:G,"excluded")</f>
        <v/>
      </c>
      <c r="E129">
        <f>COUNTIFS(候选导管审计!B:B,A129,候选导管审计!G:G,"edge_truncated")</f>
        <v/>
      </c>
      <c r="F129">
        <f>COUNTIF(导管对_CWR_112!B:B,A129)</f>
        <v/>
      </c>
      <c r="G129">
        <f>COUNTIF(TVW线测量明细!B:B,A129)</f>
        <v/>
      </c>
      <c r="H129" t="n">
        <v>0.2173913043478261</v>
      </c>
      <c r="I129" t="n">
        <v>356</v>
      </c>
      <c r="J129">
        <f>1024*I129*H129^2/1000000</f>
        <v/>
      </c>
      <c r="K129" t="inlineStr">
        <is>
          <t>同一样品的技术视野；不是独立生物学重复</t>
        </is>
      </c>
      <c r="L129" t="inlineStr">
        <is>
          <t>样品56</t>
        </is>
      </c>
    </row>
    <row r="130">
      <c r="A130" t="inlineStr">
        <is>
          <t>57 (1).tif</t>
        </is>
      </c>
      <c r="B130">
        <f>COUNTIF(导管母表_860!B:B,A130)</f>
        <v/>
      </c>
      <c r="C130">
        <f>COUNTIFS(候选导管审计!B:B,A130,候选导管审计!G:G,"borderline")</f>
        <v/>
      </c>
      <c r="D130">
        <f>COUNTIFS(候选导管审计!B:B,A130,候选导管审计!G:G,"excluded")</f>
        <v/>
      </c>
      <c r="E130">
        <f>COUNTIFS(候选导管审计!B:B,A130,候选导管审计!G:G,"edge_truncated")</f>
        <v/>
      </c>
      <c r="F130">
        <f>COUNTIF(导管对_CWR_112!B:B,A130)</f>
        <v/>
      </c>
      <c r="G130">
        <f>COUNTIF(TVW线测量明细!B:B,A130)</f>
        <v/>
      </c>
      <c r="H130" t="n">
        <v>0.2173913043478261</v>
      </c>
      <c r="I130" t="n">
        <v>691</v>
      </c>
      <c r="J130">
        <f>1024*I130*H130^2/1000000</f>
        <v/>
      </c>
      <c r="K130" t="inlineStr">
        <is>
          <t>同一样品的技术视野；不是独立生物学重复</t>
        </is>
      </c>
      <c r="L130" t="inlineStr">
        <is>
          <t>样品57</t>
        </is>
      </c>
    </row>
    <row r="131">
      <c r="A131" t="inlineStr">
        <is>
          <t>57 (2).tif</t>
        </is>
      </c>
      <c r="B131">
        <f>COUNTIF(导管母表_860!B:B,A131)</f>
        <v/>
      </c>
      <c r="C131">
        <f>COUNTIFS(候选导管审计!B:B,A131,候选导管审计!G:G,"borderline")</f>
        <v/>
      </c>
      <c r="D131">
        <f>COUNTIFS(候选导管审计!B:B,A131,候选导管审计!G:G,"excluded")</f>
        <v/>
      </c>
      <c r="E131">
        <f>COUNTIFS(候选导管审计!B:B,A131,候选导管审计!G:G,"edge_truncated")</f>
        <v/>
      </c>
      <c r="F131">
        <f>COUNTIF(导管对_CWR_112!B:B,A131)</f>
        <v/>
      </c>
      <c r="G131">
        <f>COUNTIF(TVW线测量明细!B:B,A131)</f>
        <v/>
      </c>
      <c r="H131" t="n">
        <v>0.2173913043478261</v>
      </c>
      <c r="I131" t="n">
        <v>691</v>
      </c>
      <c r="J131">
        <f>1024*I131*H131^2/1000000</f>
        <v/>
      </c>
      <c r="K131" t="inlineStr">
        <is>
          <t>同一样品的技术视野；不是独立生物学重复</t>
        </is>
      </c>
      <c r="L131" t="inlineStr">
        <is>
          <t>样品57</t>
        </is>
      </c>
    </row>
    <row r="132">
      <c r="A132" t="inlineStr">
        <is>
          <t>57 (3).tif</t>
        </is>
      </c>
      <c r="B132">
        <f>COUNTIF(导管母表_860!B:B,A132)</f>
        <v/>
      </c>
      <c r="C132">
        <f>COUNTIFS(候选导管审计!B:B,A132,候选导管审计!G:G,"borderline")</f>
        <v/>
      </c>
      <c r="D132">
        <f>COUNTIFS(候选导管审计!B:B,A132,候选导管审计!G:G,"excluded")</f>
        <v/>
      </c>
      <c r="E132">
        <f>COUNTIFS(候选导管审计!B:B,A132,候选导管审计!G:G,"edge_truncated")</f>
        <v/>
      </c>
      <c r="F132">
        <f>COUNTIF(导管对_CWR_112!B:B,A132)</f>
        <v/>
      </c>
      <c r="G132">
        <f>COUNTIF(TVW线测量明细!B:B,A132)</f>
        <v/>
      </c>
      <c r="H132" t="n">
        <v>0.2173913043478261</v>
      </c>
      <c r="I132" t="n">
        <v>691</v>
      </c>
      <c r="J132">
        <f>1024*I132*H132^2/1000000</f>
        <v/>
      </c>
      <c r="K132" t="inlineStr">
        <is>
          <t>同一样品的技术视野；不是独立生物学重复</t>
        </is>
      </c>
      <c r="L132" t="inlineStr">
        <is>
          <t>样品57</t>
        </is>
      </c>
    </row>
    <row r="133">
      <c r="A133" t="inlineStr">
        <is>
          <t>57 (4).tif</t>
        </is>
      </c>
      <c r="B133">
        <f>COUNTIF(导管母表_860!B:B,A133)</f>
        <v/>
      </c>
      <c r="C133">
        <f>COUNTIFS(候选导管审计!B:B,A133,候选导管审计!G:G,"borderline")</f>
        <v/>
      </c>
      <c r="D133">
        <f>COUNTIFS(候选导管审计!B:B,A133,候选导管审计!G:G,"excluded")</f>
        <v/>
      </c>
      <c r="E133">
        <f>COUNTIFS(候选导管审计!B:B,A133,候选导管审计!G:G,"edge_truncated")</f>
        <v/>
      </c>
      <c r="F133">
        <f>COUNTIF(导管对_CWR_112!B:B,A133)</f>
        <v/>
      </c>
      <c r="G133">
        <f>COUNTIF(TVW线测量明细!B:B,A133)</f>
        <v/>
      </c>
      <c r="H133" t="n">
        <v>0.2173913043478261</v>
      </c>
      <c r="I133" t="n">
        <v>691</v>
      </c>
      <c r="J133">
        <f>1024*I133*H133^2/1000000</f>
        <v/>
      </c>
      <c r="K133" t="inlineStr">
        <is>
          <t>同一样品的技术视野；不是独立生物学重复</t>
        </is>
      </c>
      <c r="L133" t="inlineStr">
        <is>
          <t>样品57</t>
        </is>
      </c>
    </row>
    <row r="134">
      <c r="A134" t="inlineStr">
        <is>
          <t>57 (5).tif</t>
        </is>
      </c>
      <c r="B134">
        <f>COUNTIF(导管母表_860!B:B,A134)</f>
        <v/>
      </c>
      <c r="C134">
        <f>COUNTIFS(候选导管审计!B:B,A134,候选导管审计!G:G,"borderline")</f>
        <v/>
      </c>
      <c r="D134">
        <f>COUNTIFS(候选导管审计!B:B,A134,候选导管审计!G:G,"excluded")</f>
        <v/>
      </c>
      <c r="E134">
        <f>COUNTIFS(候选导管审计!B:B,A134,候选导管审计!G:G,"edge_truncated")</f>
        <v/>
      </c>
      <c r="F134">
        <f>COUNTIF(导管对_CWR_112!B:B,A134)</f>
        <v/>
      </c>
      <c r="G134">
        <f>COUNTIF(TVW线测量明细!B:B,A134)</f>
        <v/>
      </c>
      <c r="H134" t="n">
        <v>0.2173913043478261</v>
      </c>
      <c r="I134" t="n">
        <v>691</v>
      </c>
      <c r="J134">
        <f>1024*I134*H134^2/1000000</f>
        <v/>
      </c>
      <c r="K134" t="inlineStr">
        <is>
          <t>同一样品的技术视野；不是独立生物学重复</t>
        </is>
      </c>
      <c r="L134" t="inlineStr">
        <is>
          <t>样品57</t>
        </is>
      </c>
    </row>
    <row r="135">
      <c r="A135" t="inlineStr">
        <is>
          <t>57 (6).tif</t>
        </is>
      </c>
      <c r="B135">
        <f>COUNTIF(导管母表_860!B:B,A135)</f>
        <v/>
      </c>
      <c r="C135">
        <f>COUNTIFS(候选导管审计!B:B,A135,候选导管审计!G:G,"borderline")</f>
        <v/>
      </c>
      <c r="D135">
        <f>COUNTIFS(候选导管审计!B:B,A135,候选导管审计!G:G,"excluded")</f>
        <v/>
      </c>
      <c r="E135">
        <f>COUNTIFS(候选导管审计!B:B,A135,候选导管审计!G:G,"edge_truncated")</f>
        <v/>
      </c>
      <c r="F135">
        <f>COUNTIF(导管对_CWR_112!B:B,A135)</f>
        <v/>
      </c>
      <c r="G135">
        <f>COUNTIF(TVW线测量明细!B:B,A135)</f>
        <v/>
      </c>
      <c r="H135" t="n">
        <v>0.2173913043478261</v>
      </c>
      <c r="I135" t="n">
        <v>163</v>
      </c>
      <c r="J135">
        <f>1024*I135*H135^2/1000000</f>
        <v/>
      </c>
      <c r="K135" t="inlineStr">
        <is>
          <t>同一样品的技术视野；不是独立生物学重复</t>
        </is>
      </c>
      <c r="L135" t="inlineStr">
        <is>
          <t>样品57</t>
        </is>
      </c>
    </row>
    <row r="136">
      <c r="A136" t="inlineStr">
        <is>
          <t>57 (7).tif</t>
        </is>
      </c>
      <c r="B136">
        <f>COUNTIF(导管母表_860!B:B,A136)</f>
        <v/>
      </c>
      <c r="C136">
        <f>COUNTIFS(候选导管审计!B:B,A136,候选导管审计!G:G,"borderline")</f>
        <v/>
      </c>
      <c r="D136">
        <f>COUNTIFS(候选导管审计!B:B,A136,候选导管审计!G:G,"excluded")</f>
        <v/>
      </c>
      <c r="E136">
        <f>COUNTIFS(候选导管审计!B:B,A136,候选导管审计!G:G,"edge_truncated")</f>
        <v/>
      </c>
      <c r="F136">
        <f>COUNTIF(导管对_CWR_112!B:B,A136)</f>
        <v/>
      </c>
      <c r="G136">
        <f>COUNTIF(TVW线测量明细!B:B,A136)</f>
        <v/>
      </c>
      <c r="H136" t="n">
        <v>0.2173913043478261</v>
      </c>
      <c r="I136" t="n">
        <v>691</v>
      </c>
      <c r="J136">
        <f>1024*I136*H136^2/1000000</f>
        <v/>
      </c>
      <c r="K136" t="inlineStr">
        <is>
          <t>同一样品的技术视野；不是独立生物学重复</t>
        </is>
      </c>
      <c r="L136" t="inlineStr">
        <is>
          <t>样品57</t>
        </is>
      </c>
    </row>
    <row r="137">
      <c r="A137" t="inlineStr">
        <is>
          <t>57 (8).tif</t>
        </is>
      </c>
      <c r="B137">
        <f>COUNTIF(导管母表_860!B:B,A137)</f>
        <v/>
      </c>
      <c r="C137">
        <f>COUNTIFS(候选导管审计!B:B,A137,候选导管审计!G:G,"borderline")</f>
        <v/>
      </c>
      <c r="D137">
        <f>COUNTIFS(候选导管审计!B:B,A137,候选导管审计!G:G,"excluded")</f>
        <v/>
      </c>
      <c r="E137">
        <f>COUNTIFS(候选导管审计!B:B,A137,候选导管审计!G:G,"edge_truncated")</f>
        <v/>
      </c>
      <c r="F137">
        <f>COUNTIF(导管对_CWR_112!B:B,A137)</f>
        <v/>
      </c>
      <c r="G137">
        <f>COUNTIF(TVW线测量明细!B:B,A137)</f>
        <v/>
      </c>
      <c r="H137" t="n">
        <v>0.2173913043478261</v>
      </c>
      <c r="I137" t="n">
        <v>691</v>
      </c>
      <c r="J137">
        <f>1024*I137*H137^2/1000000</f>
        <v/>
      </c>
      <c r="K137" t="inlineStr">
        <is>
          <t>同一样品的技术视野；不是独立生物学重复</t>
        </is>
      </c>
      <c r="L137" t="inlineStr">
        <is>
          <t>样品57</t>
        </is>
      </c>
    </row>
    <row r="138">
      <c r="A138" t="inlineStr">
        <is>
          <t>58 (1).tif</t>
        </is>
      </c>
      <c r="B138">
        <f>COUNTIF(导管母表_860!B:B,A138)</f>
        <v/>
      </c>
      <c r="C138">
        <f>COUNTIFS(候选导管审计!B:B,A138,候选导管审计!G:G,"borderline")</f>
        <v/>
      </c>
      <c r="D138">
        <f>COUNTIFS(候选导管审计!B:B,A138,候选导管审计!G:G,"excluded")</f>
        <v/>
      </c>
      <c r="E138">
        <f>COUNTIFS(候选导管审计!B:B,A138,候选导管审计!G:G,"edge_truncated")</f>
        <v/>
      </c>
      <c r="F138">
        <f>COUNTIF(导管对_CWR_112!B:B,A138)</f>
        <v/>
      </c>
      <c r="G138">
        <f>COUNTIF(TVW线测量明细!B:B,A138)</f>
        <v/>
      </c>
      <c r="H138" t="n">
        <v>0.2173913043478261</v>
      </c>
      <c r="I138" t="n">
        <v>691</v>
      </c>
      <c r="J138">
        <f>1024*I138*H138^2/1000000</f>
        <v/>
      </c>
      <c r="K138" t="inlineStr">
        <is>
          <t>同一样品的技术视野；不是独立生物学重复</t>
        </is>
      </c>
      <c r="L138" t="inlineStr">
        <is>
          <t>样品58</t>
        </is>
      </c>
    </row>
    <row r="139">
      <c r="A139" t="inlineStr">
        <is>
          <t>58 (2).tif</t>
        </is>
      </c>
      <c r="B139">
        <f>COUNTIF(导管母表_860!B:B,A139)</f>
        <v/>
      </c>
      <c r="C139">
        <f>COUNTIFS(候选导管审计!B:B,A139,候选导管审计!G:G,"borderline")</f>
        <v/>
      </c>
      <c r="D139">
        <f>COUNTIFS(候选导管审计!B:B,A139,候选导管审计!G:G,"excluded")</f>
        <v/>
      </c>
      <c r="E139">
        <f>COUNTIFS(候选导管审计!B:B,A139,候选导管审计!G:G,"edge_truncated")</f>
        <v/>
      </c>
      <c r="F139">
        <f>COUNTIF(导管对_CWR_112!B:B,A139)</f>
        <v/>
      </c>
      <c r="G139">
        <f>COUNTIF(TVW线测量明细!B:B,A139)</f>
        <v/>
      </c>
      <c r="H139" t="n">
        <v>0.2173913043478261</v>
      </c>
      <c r="I139" t="n">
        <v>185</v>
      </c>
      <c r="J139">
        <f>1024*I139*H139^2/1000000</f>
        <v/>
      </c>
      <c r="K139" t="inlineStr">
        <is>
          <t>同一样品的技术视野；不是独立生物学重复</t>
        </is>
      </c>
      <c r="L139" t="inlineStr">
        <is>
          <t>样品58</t>
        </is>
      </c>
    </row>
    <row r="140">
      <c r="A140" t="inlineStr">
        <is>
          <t>58 (3).tif</t>
        </is>
      </c>
      <c r="B140">
        <f>COUNTIF(导管母表_860!B:B,A140)</f>
        <v/>
      </c>
      <c r="C140">
        <f>COUNTIFS(候选导管审计!B:B,A140,候选导管审计!G:G,"borderline")</f>
        <v/>
      </c>
      <c r="D140">
        <f>COUNTIFS(候选导管审计!B:B,A140,候选导管审计!G:G,"excluded")</f>
        <v/>
      </c>
      <c r="E140">
        <f>COUNTIFS(候选导管审计!B:B,A140,候选导管审计!G:G,"edge_truncated")</f>
        <v/>
      </c>
      <c r="F140">
        <f>COUNTIF(导管对_CWR_112!B:B,A140)</f>
        <v/>
      </c>
      <c r="G140">
        <f>COUNTIF(TVW线测量明细!B:B,A140)</f>
        <v/>
      </c>
      <c r="H140" t="n">
        <v>0.2173913043478261</v>
      </c>
      <c r="I140" t="n">
        <v>691</v>
      </c>
      <c r="J140">
        <f>1024*I140*H140^2/1000000</f>
        <v/>
      </c>
      <c r="K140" t="inlineStr">
        <is>
          <t>同一样品的技术视野；不是独立生物学重复</t>
        </is>
      </c>
      <c r="L140" t="inlineStr">
        <is>
          <t>样品58</t>
        </is>
      </c>
    </row>
    <row r="141">
      <c r="A141" t="inlineStr">
        <is>
          <t>58 (4).tif</t>
        </is>
      </c>
      <c r="B141">
        <f>COUNTIF(导管母表_860!B:B,A141)</f>
        <v/>
      </c>
      <c r="C141">
        <f>COUNTIFS(候选导管审计!B:B,A141,候选导管审计!G:G,"borderline")</f>
        <v/>
      </c>
      <c r="D141">
        <f>COUNTIFS(候选导管审计!B:B,A141,候选导管审计!G:G,"excluded")</f>
        <v/>
      </c>
      <c r="E141">
        <f>COUNTIFS(候选导管审计!B:B,A141,候选导管审计!G:G,"edge_truncated")</f>
        <v/>
      </c>
      <c r="F141">
        <f>COUNTIF(导管对_CWR_112!B:B,A141)</f>
        <v/>
      </c>
      <c r="G141">
        <f>COUNTIF(TVW线测量明细!B:B,A141)</f>
        <v/>
      </c>
      <c r="H141" t="n">
        <v>0.2173913043478261</v>
      </c>
      <c r="I141" t="n">
        <v>231</v>
      </c>
      <c r="J141">
        <f>1024*I141*H141^2/1000000</f>
        <v/>
      </c>
      <c r="K141" t="inlineStr">
        <is>
          <t>同一样品的技术视野；不是独立生物学重复</t>
        </is>
      </c>
      <c r="L141" t="inlineStr">
        <is>
          <t>样品58</t>
        </is>
      </c>
    </row>
    <row r="142">
      <c r="A142" t="inlineStr">
        <is>
          <t>58 (5).tif</t>
        </is>
      </c>
      <c r="B142">
        <f>COUNTIF(导管母表_860!B:B,A142)</f>
        <v/>
      </c>
      <c r="C142">
        <f>COUNTIFS(候选导管审计!B:B,A142,候选导管审计!G:G,"borderline")</f>
        <v/>
      </c>
      <c r="D142">
        <f>COUNTIFS(候选导管审计!B:B,A142,候选导管审计!G:G,"excluded")</f>
        <v/>
      </c>
      <c r="E142">
        <f>COUNTIFS(候选导管审计!B:B,A142,候选导管审计!G:G,"edge_truncated")</f>
        <v/>
      </c>
      <c r="F142">
        <f>COUNTIF(导管对_CWR_112!B:B,A142)</f>
        <v/>
      </c>
      <c r="G142">
        <f>COUNTIF(TVW线测量明细!B:B,A142)</f>
        <v/>
      </c>
      <c r="H142" t="n">
        <v>0.2173913043478261</v>
      </c>
      <c r="I142" t="n">
        <v>691</v>
      </c>
      <c r="J142">
        <f>1024*I142*H142^2/1000000</f>
        <v/>
      </c>
      <c r="K142" t="inlineStr">
        <is>
          <t>同一样品的技术视野；不是独立生物学重复</t>
        </is>
      </c>
      <c r="L142" t="inlineStr">
        <is>
          <t>样品58</t>
        </is>
      </c>
    </row>
    <row r="143">
      <c r="A143" t="inlineStr">
        <is>
          <t>58 (6).tif</t>
        </is>
      </c>
      <c r="B143">
        <f>COUNTIF(导管母表_860!B:B,A143)</f>
        <v/>
      </c>
      <c r="C143">
        <f>COUNTIFS(候选导管审计!B:B,A143,候选导管审计!G:G,"borderline")</f>
        <v/>
      </c>
      <c r="D143">
        <f>COUNTIFS(候选导管审计!B:B,A143,候选导管审计!G:G,"excluded")</f>
        <v/>
      </c>
      <c r="E143">
        <f>COUNTIFS(候选导管审计!B:B,A143,候选导管审计!G:G,"edge_truncated")</f>
        <v/>
      </c>
      <c r="F143">
        <f>COUNTIF(导管对_CWR_112!B:B,A143)</f>
        <v/>
      </c>
      <c r="G143">
        <f>COUNTIF(TVW线测量明细!B:B,A143)</f>
        <v/>
      </c>
      <c r="H143" t="n">
        <v>0.2173913043478261</v>
      </c>
      <c r="I143" t="n">
        <v>283</v>
      </c>
      <c r="J143">
        <f>1024*I143*H143^2/1000000</f>
        <v/>
      </c>
      <c r="K143" t="inlineStr">
        <is>
          <t>同一样品的技术视野；不是独立生物学重复</t>
        </is>
      </c>
      <c r="L143" t="inlineStr">
        <is>
          <t>样品58</t>
        </is>
      </c>
    </row>
    <row r="144">
      <c r="A144" t="inlineStr">
        <is>
          <t>58 (7).tif</t>
        </is>
      </c>
      <c r="B144">
        <f>COUNTIF(导管母表_860!B:B,A144)</f>
        <v/>
      </c>
      <c r="C144">
        <f>COUNTIFS(候选导管审计!B:B,A144,候选导管审计!G:G,"borderline")</f>
        <v/>
      </c>
      <c r="D144">
        <f>COUNTIFS(候选导管审计!B:B,A144,候选导管审计!G:G,"excluded")</f>
        <v/>
      </c>
      <c r="E144">
        <f>COUNTIFS(候选导管审计!B:B,A144,候选导管审计!G:G,"edge_truncated")</f>
        <v/>
      </c>
      <c r="F144">
        <f>COUNTIF(导管对_CWR_112!B:B,A144)</f>
        <v/>
      </c>
      <c r="G144">
        <f>COUNTIF(TVW线测量明细!B:B,A144)</f>
        <v/>
      </c>
      <c r="H144" t="n">
        <v>0.2173913043478261</v>
      </c>
      <c r="I144" t="n">
        <v>198</v>
      </c>
      <c r="J144">
        <f>1024*I144*H144^2/1000000</f>
        <v/>
      </c>
      <c r="K144" t="inlineStr">
        <is>
          <t>同一样品的技术视野；不是独立生物学重复</t>
        </is>
      </c>
      <c r="L144" t="inlineStr">
        <is>
          <t>样品58</t>
        </is>
      </c>
    </row>
    <row r="145">
      <c r="A145" t="inlineStr">
        <is>
          <t>58 (8).tif</t>
        </is>
      </c>
      <c r="B145">
        <f>COUNTIF(导管母表_860!B:B,A145)</f>
        <v/>
      </c>
      <c r="C145">
        <f>COUNTIFS(候选导管审计!B:B,A145,候选导管审计!G:G,"borderline")</f>
        <v/>
      </c>
      <c r="D145">
        <f>COUNTIFS(候选导管审计!B:B,A145,候选导管审计!G:G,"excluded")</f>
        <v/>
      </c>
      <c r="E145">
        <f>COUNTIFS(候选导管审计!B:B,A145,候选导管审计!G:G,"edge_truncated")</f>
        <v/>
      </c>
      <c r="F145">
        <f>COUNTIF(导管对_CWR_112!B:B,A145)</f>
        <v/>
      </c>
      <c r="G145">
        <f>COUNTIF(TVW线测量明细!B:B,A145)</f>
        <v/>
      </c>
      <c r="H145" t="n">
        <v>0.2173913043478261</v>
      </c>
      <c r="I145" t="n">
        <v>222</v>
      </c>
      <c r="J145">
        <f>1024*I145*H145^2/1000000</f>
        <v/>
      </c>
      <c r="K145" t="inlineStr">
        <is>
          <t>同一样品的技术视野；不是独立生物学重复</t>
        </is>
      </c>
      <c r="L145" t="inlineStr">
        <is>
          <t>样品58</t>
        </is>
      </c>
    </row>
    <row r="146">
      <c r="A146" t="inlineStr">
        <is>
          <t>59 (1).tif</t>
        </is>
      </c>
      <c r="B146">
        <f>COUNTIF(导管母表_860!B:B,A146)</f>
        <v/>
      </c>
      <c r="C146">
        <f>COUNTIFS(候选导管审计!B:B,A146,候选导管审计!G:G,"borderline")</f>
        <v/>
      </c>
      <c r="D146">
        <f>COUNTIFS(候选导管审计!B:B,A146,候选导管审计!G:G,"excluded")</f>
        <v/>
      </c>
      <c r="E146">
        <f>COUNTIFS(候选导管审计!B:B,A146,候选导管审计!G:G,"edge_truncated")</f>
        <v/>
      </c>
      <c r="F146">
        <f>COUNTIF(导管对_CWR_112!B:B,A146)</f>
        <v/>
      </c>
      <c r="G146">
        <f>COUNTIF(TVW线测量明细!B:B,A146)</f>
        <v/>
      </c>
      <c r="H146" t="n">
        <v>0.2173913043478261</v>
      </c>
      <c r="I146" t="n">
        <v>691</v>
      </c>
      <c r="J146">
        <f>1024*I146*H146^2/1000000</f>
        <v/>
      </c>
      <c r="K146" t="inlineStr">
        <is>
          <t>同一样品的技术视野；不是独立生物学重复</t>
        </is>
      </c>
      <c r="L146" t="inlineStr">
        <is>
          <t>样品59</t>
        </is>
      </c>
    </row>
    <row r="147">
      <c r="A147" t="inlineStr">
        <is>
          <t>59 (2).tif</t>
        </is>
      </c>
      <c r="B147">
        <f>COUNTIF(导管母表_860!B:B,A147)</f>
        <v/>
      </c>
      <c r="C147">
        <f>COUNTIFS(候选导管审计!B:B,A147,候选导管审计!G:G,"borderline")</f>
        <v/>
      </c>
      <c r="D147">
        <f>COUNTIFS(候选导管审计!B:B,A147,候选导管审计!G:G,"excluded")</f>
        <v/>
      </c>
      <c r="E147">
        <f>COUNTIFS(候选导管审计!B:B,A147,候选导管审计!G:G,"edge_truncated")</f>
        <v/>
      </c>
      <c r="F147">
        <f>COUNTIF(导管对_CWR_112!B:B,A147)</f>
        <v/>
      </c>
      <c r="G147">
        <f>COUNTIF(TVW线测量明细!B:B,A147)</f>
        <v/>
      </c>
      <c r="H147" t="n">
        <v>0.2173913043478261</v>
      </c>
      <c r="I147" t="n">
        <v>691</v>
      </c>
      <c r="J147">
        <f>1024*I147*H147^2/1000000</f>
        <v/>
      </c>
      <c r="K147" t="inlineStr">
        <is>
          <t>同一样品的技术视野；不是独立生物学重复</t>
        </is>
      </c>
      <c r="L147" t="inlineStr">
        <is>
          <t>样品59</t>
        </is>
      </c>
    </row>
    <row r="148">
      <c r="A148" t="inlineStr">
        <is>
          <t>59 (3).tif</t>
        </is>
      </c>
      <c r="B148">
        <f>COUNTIF(导管母表_860!B:B,A148)</f>
        <v/>
      </c>
      <c r="C148">
        <f>COUNTIFS(候选导管审计!B:B,A148,候选导管审计!G:G,"borderline")</f>
        <v/>
      </c>
      <c r="D148">
        <f>COUNTIFS(候选导管审计!B:B,A148,候选导管审计!G:G,"excluded")</f>
        <v/>
      </c>
      <c r="E148">
        <f>COUNTIFS(候选导管审计!B:B,A148,候选导管审计!G:G,"edge_truncated")</f>
        <v/>
      </c>
      <c r="F148">
        <f>COUNTIF(导管对_CWR_112!B:B,A148)</f>
        <v/>
      </c>
      <c r="G148">
        <f>COUNTIF(TVW线测量明细!B:B,A148)</f>
        <v/>
      </c>
      <c r="H148" t="n">
        <v>0.2173913043478261</v>
      </c>
      <c r="I148" t="n">
        <v>229</v>
      </c>
      <c r="J148">
        <f>1024*I148*H148^2/1000000</f>
        <v/>
      </c>
      <c r="K148" t="inlineStr">
        <is>
          <t>同一样品的技术视野；不是独立生物学重复</t>
        </is>
      </c>
      <c r="L148" t="inlineStr">
        <is>
          <t>样品59</t>
        </is>
      </c>
    </row>
    <row r="149">
      <c r="A149" t="inlineStr">
        <is>
          <t>59 (4).tif</t>
        </is>
      </c>
      <c r="B149">
        <f>COUNTIF(导管母表_860!B:B,A149)</f>
        <v/>
      </c>
      <c r="C149">
        <f>COUNTIFS(候选导管审计!B:B,A149,候选导管审计!G:G,"borderline")</f>
        <v/>
      </c>
      <c r="D149">
        <f>COUNTIFS(候选导管审计!B:B,A149,候选导管审计!G:G,"excluded")</f>
        <v/>
      </c>
      <c r="E149">
        <f>COUNTIFS(候选导管审计!B:B,A149,候选导管审计!G:G,"edge_truncated")</f>
        <v/>
      </c>
      <c r="F149">
        <f>COUNTIF(导管对_CWR_112!B:B,A149)</f>
        <v/>
      </c>
      <c r="G149">
        <f>COUNTIF(TVW线测量明细!B:B,A149)</f>
        <v/>
      </c>
      <c r="H149" t="n">
        <v>0.2173913043478261</v>
      </c>
      <c r="I149" t="n">
        <v>261</v>
      </c>
      <c r="J149">
        <f>1024*I149*H149^2/1000000</f>
        <v/>
      </c>
      <c r="K149" t="inlineStr">
        <is>
          <t>同一样品的技术视野；不是独立生物学重复</t>
        </is>
      </c>
      <c r="L149" t="inlineStr">
        <is>
          <t>样品59</t>
        </is>
      </c>
    </row>
    <row r="150">
      <c r="A150" t="inlineStr">
        <is>
          <t>59 (5).tif</t>
        </is>
      </c>
      <c r="B150">
        <f>COUNTIF(导管母表_860!B:B,A150)</f>
        <v/>
      </c>
      <c r="C150">
        <f>COUNTIFS(候选导管审计!B:B,A150,候选导管审计!G:G,"borderline")</f>
        <v/>
      </c>
      <c r="D150">
        <f>COUNTIFS(候选导管审计!B:B,A150,候选导管审计!G:G,"excluded")</f>
        <v/>
      </c>
      <c r="E150">
        <f>COUNTIFS(候选导管审计!B:B,A150,候选导管审计!G:G,"edge_truncated")</f>
        <v/>
      </c>
      <c r="F150">
        <f>COUNTIF(导管对_CWR_112!B:B,A150)</f>
        <v/>
      </c>
      <c r="G150">
        <f>COUNTIF(TVW线测量明细!B:B,A150)</f>
        <v/>
      </c>
      <c r="H150" t="n">
        <v>0.2173913043478261</v>
      </c>
      <c r="I150" t="n">
        <v>170</v>
      </c>
      <c r="J150">
        <f>1024*I150*H150^2/1000000</f>
        <v/>
      </c>
      <c r="K150" t="inlineStr">
        <is>
          <t>同一样品的技术视野；不是独立生物学重复</t>
        </is>
      </c>
      <c r="L150" t="inlineStr">
        <is>
          <t>样品59</t>
        </is>
      </c>
    </row>
    <row r="151">
      <c r="A151" t="inlineStr">
        <is>
          <t>59 (6).tif</t>
        </is>
      </c>
      <c r="B151">
        <f>COUNTIF(导管母表_860!B:B,A151)</f>
        <v/>
      </c>
      <c r="C151">
        <f>COUNTIFS(候选导管审计!B:B,A151,候选导管审计!G:G,"borderline")</f>
        <v/>
      </c>
      <c r="D151">
        <f>COUNTIFS(候选导管审计!B:B,A151,候选导管审计!G:G,"excluded")</f>
        <v/>
      </c>
      <c r="E151">
        <f>COUNTIFS(候选导管审计!B:B,A151,候选导管审计!G:G,"edge_truncated")</f>
        <v/>
      </c>
      <c r="F151">
        <f>COUNTIF(导管对_CWR_112!B:B,A151)</f>
        <v/>
      </c>
      <c r="G151">
        <f>COUNTIF(TVW线测量明细!B:B,A151)</f>
        <v/>
      </c>
      <c r="H151" t="n">
        <v>0.2173913043478261</v>
      </c>
      <c r="I151" t="n">
        <v>243</v>
      </c>
      <c r="J151">
        <f>1024*I151*H151^2/1000000</f>
        <v/>
      </c>
      <c r="K151" t="inlineStr">
        <is>
          <t>同一样品的技术视野；不是独立生物学重复</t>
        </is>
      </c>
      <c r="L151" t="inlineStr">
        <is>
          <t>样品59</t>
        </is>
      </c>
    </row>
    <row r="152">
      <c r="A152" t="inlineStr">
        <is>
          <t>59 (7).tif</t>
        </is>
      </c>
      <c r="B152">
        <f>COUNTIF(导管母表_860!B:B,A152)</f>
        <v/>
      </c>
      <c r="C152">
        <f>COUNTIFS(候选导管审计!B:B,A152,候选导管审计!G:G,"borderline")</f>
        <v/>
      </c>
      <c r="D152">
        <f>COUNTIFS(候选导管审计!B:B,A152,候选导管审计!G:G,"excluded")</f>
        <v/>
      </c>
      <c r="E152">
        <f>COUNTIFS(候选导管审计!B:B,A152,候选导管审计!G:G,"edge_truncated")</f>
        <v/>
      </c>
      <c r="F152">
        <f>COUNTIF(导管对_CWR_112!B:B,A152)</f>
        <v/>
      </c>
      <c r="G152">
        <f>COUNTIF(TVW线测量明细!B:B,A152)</f>
        <v/>
      </c>
      <c r="H152" t="n">
        <v>0.2173913043478261</v>
      </c>
      <c r="I152" t="n">
        <v>691</v>
      </c>
      <c r="J152">
        <f>1024*I152*H152^2/1000000</f>
        <v/>
      </c>
      <c r="K152" t="inlineStr">
        <is>
          <t>同一样品的技术视野；不是独立生物学重复</t>
        </is>
      </c>
      <c r="L152" t="inlineStr">
        <is>
          <t>样品59</t>
        </is>
      </c>
    </row>
    <row r="153">
      <c r="A153" t="inlineStr">
        <is>
          <t>59 (8).tif</t>
        </is>
      </c>
      <c r="B153">
        <f>COUNTIF(导管母表_860!B:B,A153)</f>
        <v/>
      </c>
      <c r="C153">
        <f>COUNTIFS(候选导管审计!B:B,A153,候选导管审计!G:G,"borderline")</f>
        <v/>
      </c>
      <c r="D153">
        <f>COUNTIFS(候选导管审计!B:B,A153,候选导管审计!G:G,"excluded")</f>
        <v/>
      </c>
      <c r="E153">
        <f>COUNTIFS(候选导管审计!B:B,A153,候选导管审计!G:G,"edge_truncated")</f>
        <v/>
      </c>
      <c r="F153">
        <f>COUNTIF(导管对_CWR_112!B:B,A153)</f>
        <v/>
      </c>
      <c r="G153">
        <f>COUNTIF(TVW线测量明细!B:B,A153)</f>
        <v/>
      </c>
      <c r="H153" t="n">
        <v>0.2173913043478261</v>
      </c>
      <c r="I153" t="n">
        <v>292</v>
      </c>
      <c r="J153">
        <f>1024*I153*H153^2/1000000</f>
        <v/>
      </c>
      <c r="K153" t="inlineStr">
        <is>
          <t>同一样品的技术视野；不是独立生物学重复</t>
        </is>
      </c>
      <c r="L153" t="inlineStr">
        <is>
          <t>样品59</t>
        </is>
      </c>
    </row>
    <row r="154">
      <c r="A154" t="inlineStr">
        <is>
          <t>60 (1).tif</t>
        </is>
      </c>
      <c r="B154">
        <f>COUNTIF(导管母表_860!B:B,A154)</f>
        <v/>
      </c>
      <c r="C154">
        <f>COUNTIFS(候选导管审计!B:B,A154,候选导管审计!G:G,"borderline")</f>
        <v/>
      </c>
      <c r="D154">
        <f>COUNTIFS(候选导管审计!B:B,A154,候选导管审计!G:G,"excluded")</f>
        <v/>
      </c>
      <c r="E154">
        <f>COUNTIFS(候选导管审计!B:B,A154,候选导管审计!G:G,"edge_truncated")</f>
        <v/>
      </c>
      <c r="F154">
        <f>COUNTIF(导管对_CWR_112!B:B,A154)</f>
        <v/>
      </c>
      <c r="G154">
        <f>COUNTIF(TVW线测量明细!B:B,A154)</f>
        <v/>
      </c>
      <c r="H154" t="n">
        <v>0.2173913043478261</v>
      </c>
      <c r="I154" t="n">
        <v>274</v>
      </c>
      <c r="J154">
        <f>1024*I154*H154^2/1000000</f>
        <v/>
      </c>
      <c r="K154" t="inlineStr">
        <is>
          <t>同一样品的技术视野；不是独立生物学重复</t>
        </is>
      </c>
      <c r="L154" t="inlineStr">
        <is>
          <t>样品60</t>
        </is>
      </c>
    </row>
    <row r="155">
      <c r="A155" t="inlineStr">
        <is>
          <t>60 (2).tif</t>
        </is>
      </c>
      <c r="B155">
        <f>COUNTIF(导管母表_860!B:B,A155)</f>
        <v/>
      </c>
      <c r="C155">
        <f>COUNTIFS(候选导管审计!B:B,A155,候选导管审计!G:G,"borderline")</f>
        <v/>
      </c>
      <c r="D155">
        <f>COUNTIFS(候选导管审计!B:B,A155,候选导管审计!G:G,"excluded")</f>
        <v/>
      </c>
      <c r="E155">
        <f>COUNTIFS(候选导管审计!B:B,A155,候选导管审计!G:G,"edge_truncated")</f>
        <v/>
      </c>
      <c r="F155">
        <f>COUNTIF(导管对_CWR_112!B:B,A155)</f>
        <v/>
      </c>
      <c r="G155">
        <f>COUNTIF(TVW线测量明细!B:B,A155)</f>
        <v/>
      </c>
      <c r="H155" t="n">
        <v>0.2173913043478261</v>
      </c>
      <c r="I155" t="n">
        <v>198</v>
      </c>
      <c r="J155">
        <f>1024*I155*H155^2/1000000</f>
        <v/>
      </c>
      <c r="K155" t="inlineStr">
        <is>
          <t>同一样品的技术视野；不是独立生物学重复</t>
        </is>
      </c>
      <c r="L155" t="inlineStr">
        <is>
          <t>样品60</t>
        </is>
      </c>
    </row>
    <row r="156">
      <c r="A156" t="inlineStr">
        <is>
          <t>60 (3).tif</t>
        </is>
      </c>
      <c r="B156">
        <f>COUNTIF(导管母表_860!B:B,A156)</f>
        <v/>
      </c>
      <c r="C156">
        <f>COUNTIFS(候选导管审计!B:B,A156,候选导管审计!G:G,"borderline")</f>
        <v/>
      </c>
      <c r="D156">
        <f>COUNTIFS(候选导管审计!B:B,A156,候选导管审计!G:G,"excluded")</f>
        <v/>
      </c>
      <c r="E156">
        <f>COUNTIFS(候选导管审计!B:B,A156,候选导管审计!G:G,"edge_truncated")</f>
        <v/>
      </c>
      <c r="F156">
        <f>COUNTIF(导管对_CWR_112!B:B,A156)</f>
        <v/>
      </c>
      <c r="G156">
        <f>COUNTIF(TVW线测量明细!B:B,A156)</f>
        <v/>
      </c>
      <c r="H156" t="n">
        <v>0.2173913043478261</v>
      </c>
      <c r="I156" t="n">
        <v>165</v>
      </c>
      <c r="J156">
        <f>1024*I156*H156^2/1000000</f>
        <v/>
      </c>
      <c r="K156" t="inlineStr">
        <is>
          <t>同一样品的技术视野；不是独立生物学重复</t>
        </is>
      </c>
      <c r="L156" t="inlineStr">
        <is>
          <t>样品60</t>
        </is>
      </c>
    </row>
    <row r="157">
      <c r="A157" t="inlineStr">
        <is>
          <t>60 (4).tif</t>
        </is>
      </c>
      <c r="B157">
        <f>COUNTIF(导管母表_860!B:B,A157)</f>
        <v/>
      </c>
      <c r="C157">
        <f>COUNTIFS(候选导管审计!B:B,A157,候选导管审计!G:G,"borderline")</f>
        <v/>
      </c>
      <c r="D157">
        <f>COUNTIFS(候选导管审计!B:B,A157,候选导管审计!G:G,"excluded")</f>
        <v/>
      </c>
      <c r="E157">
        <f>COUNTIFS(候选导管审计!B:B,A157,候选导管审计!G:G,"edge_truncated")</f>
        <v/>
      </c>
      <c r="F157">
        <f>COUNTIF(导管对_CWR_112!B:B,A157)</f>
        <v/>
      </c>
      <c r="G157">
        <f>COUNTIF(TVW线测量明细!B:B,A157)</f>
        <v/>
      </c>
      <c r="H157" t="n">
        <v>0.2173913043478261</v>
      </c>
      <c r="I157" t="n">
        <v>221</v>
      </c>
      <c r="J157">
        <f>1024*I157*H157^2/1000000</f>
        <v/>
      </c>
      <c r="K157" t="inlineStr">
        <is>
          <t>同一样品的技术视野；不是独立生物学重复</t>
        </is>
      </c>
      <c r="L157" t="inlineStr">
        <is>
          <t>样品60</t>
        </is>
      </c>
    </row>
    <row r="158">
      <c r="A158" t="inlineStr">
        <is>
          <t>60 (5).tif</t>
        </is>
      </c>
      <c r="B158">
        <f>COUNTIF(导管母表_860!B:B,A158)</f>
        <v/>
      </c>
      <c r="C158">
        <f>COUNTIFS(候选导管审计!B:B,A158,候选导管审计!G:G,"borderline")</f>
        <v/>
      </c>
      <c r="D158">
        <f>COUNTIFS(候选导管审计!B:B,A158,候选导管审计!G:G,"excluded")</f>
        <v/>
      </c>
      <c r="E158">
        <f>COUNTIFS(候选导管审计!B:B,A158,候选导管审计!G:G,"edge_truncated")</f>
        <v/>
      </c>
      <c r="F158">
        <f>COUNTIF(导管对_CWR_112!B:B,A158)</f>
        <v/>
      </c>
      <c r="G158">
        <f>COUNTIF(TVW线测量明细!B:B,A158)</f>
        <v/>
      </c>
      <c r="H158" t="n">
        <v>0.2173913043478261</v>
      </c>
      <c r="I158" t="n">
        <v>215</v>
      </c>
      <c r="J158">
        <f>1024*I158*H158^2/1000000</f>
        <v/>
      </c>
      <c r="K158" t="inlineStr">
        <is>
          <t>同一样品的技术视野；不是独立生物学重复</t>
        </is>
      </c>
      <c r="L158" t="inlineStr">
        <is>
          <t>样品60</t>
        </is>
      </c>
    </row>
    <row r="159">
      <c r="A159" t="inlineStr">
        <is>
          <t>60 (6).tif</t>
        </is>
      </c>
      <c r="B159">
        <f>COUNTIF(导管母表_860!B:B,A159)</f>
        <v/>
      </c>
      <c r="C159">
        <f>COUNTIFS(候选导管审计!B:B,A159,候选导管审计!G:G,"borderline")</f>
        <v/>
      </c>
      <c r="D159">
        <f>COUNTIFS(候选导管审计!B:B,A159,候选导管审计!G:G,"excluded")</f>
        <v/>
      </c>
      <c r="E159">
        <f>COUNTIFS(候选导管审计!B:B,A159,候选导管审计!G:G,"edge_truncated")</f>
        <v/>
      </c>
      <c r="F159">
        <f>COUNTIF(导管对_CWR_112!B:B,A159)</f>
        <v/>
      </c>
      <c r="G159">
        <f>COUNTIF(TVW线测量明细!B:B,A159)</f>
        <v/>
      </c>
      <c r="H159" t="n">
        <v>0.2173913043478261</v>
      </c>
      <c r="I159" t="n">
        <v>349</v>
      </c>
      <c r="J159">
        <f>1024*I159*H159^2/1000000</f>
        <v/>
      </c>
      <c r="K159" t="inlineStr">
        <is>
          <t>同一样品的技术视野；不是独立生物学重复</t>
        </is>
      </c>
      <c r="L159" t="inlineStr">
        <is>
          <t>样品60</t>
        </is>
      </c>
    </row>
    <row r="160">
      <c r="A160" t="inlineStr">
        <is>
          <t>60 (7).tif</t>
        </is>
      </c>
      <c r="B160">
        <f>COUNTIF(导管母表_860!B:B,A160)</f>
        <v/>
      </c>
      <c r="C160">
        <f>COUNTIFS(候选导管审计!B:B,A160,候选导管审计!G:G,"borderline")</f>
        <v/>
      </c>
      <c r="D160">
        <f>COUNTIFS(候选导管审计!B:B,A160,候选导管审计!G:G,"excluded")</f>
        <v/>
      </c>
      <c r="E160">
        <f>COUNTIFS(候选导管审计!B:B,A160,候选导管审计!G:G,"edge_truncated")</f>
        <v/>
      </c>
      <c r="F160">
        <f>COUNTIF(导管对_CWR_112!B:B,A160)</f>
        <v/>
      </c>
      <c r="G160">
        <f>COUNTIF(TVW线测量明细!B:B,A160)</f>
        <v/>
      </c>
      <c r="H160" t="n">
        <v>0.2173913043478261</v>
      </c>
      <c r="I160" t="n">
        <v>169</v>
      </c>
      <c r="J160">
        <f>1024*I160*H160^2/1000000</f>
        <v/>
      </c>
      <c r="K160" t="inlineStr">
        <is>
          <t>同一样品的技术视野；不是独立生物学重复</t>
        </is>
      </c>
      <c r="L160" t="inlineStr">
        <is>
          <t>样品60</t>
        </is>
      </c>
    </row>
    <row r="161">
      <c r="A161" t="inlineStr">
        <is>
          <t>60 (8).tif</t>
        </is>
      </c>
      <c r="B161">
        <f>COUNTIF(导管母表_860!B:B,A161)</f>
        <v/>
      </c>
      <c r="C161">
        <f>COUNTIFS(候选导管审计!B:B,A161,候选导管审计!G:G,"borderline")</f>
        <v/>
      </c>
      <c r="D161">
        <f>COUNTIFS(候选导管审计!B:B,A161,候选导管审计!G:G,"excluded")</f>
        <v/>
      </c>
      <c r="E161">
        <f>COUNTIFS(候选导管审计!B:B,A161,候选导管审计!G:G,"edge_truncated")</f>
        <v/>
      </c>
      <c r="F161">
        <f>COUNTIF(导管对_CWR_112!B:B,A161)</f>
        <v/>
      </c>
      <c r="G161">
        <f>COUNTIF(TVW线测量明细!B:B,A161)</f>
        <v/>
      </c>
      <c r="H161" t="n">
        <v>0.2173913043478261</v>
      </c>
      <c r="I161" t="n">
        <v>232</v>
      </c>
      <c r="J161">
        <f>1024*I161*H161^2/1000000</f>
        <v/>
      </c>
      <c r="K161" t="inlineStr">
        <is>
          <t>同一样品的技术视野；不是独立生物学重复</t>
        </is>
      </c>
      <c r="L161" t="inlineStr">
        <is>
          <t>样品60</t>
        </is>
      </c>
    </row>
    <row r="162">
      <c r="A162" t="inlineStr">
        <is>
          <t>61 (1).tif</t>
        </is>
      </c>
      <c r="B162">
        <f>COUNTIF(导管母表_860!B:B,A162)</f>
        <v/>
      </c>
      <c r="C162">
        <f>COUNTIFS(候选导管审计!B:B,A162,候选导管审计!G:G,"borderline")</f>
        <v/>
      </c>
      <c r="D162">
        <f>COUNTIFS(候选导管审计!B:B,A162,候选导管审计!G:G,"excluded")</f>
        <v/>
      </c>
      <c r="E162">
        <f>COUNTIFS(候选导管审计!B:B,A162,候选导管审计!G:G,"edge_truncated")</f>
        <v/>
      </c>
      <c r="F162">
        <f>COUNTIF(导管对_CWR_112!B:B,A162)</f>
        <v/>
      </c>
      <c r="G162">
        <f>COUNTIF(TVW线测量明细!B:B,A162)</f>
        <v/>
      </c>
      <c r="H162" t="n">
        <v>0.2173913043478261</v>
      </c>
      <c r="I162" t="n">
        <v>691</v>
      </c>
      <c r="J162">
        <f>1024*I162*H162^2/1000000</f>
        <v/>
      </c>
      <c r="K162" t="inlineStr">
        <is>
          <t>同一样品的技术视野；不是独立生物学重复</t>
        </is>
      </c>
      <c r="L162" t="inlineStr">
        <is>
          <t>样品61</t>
        </is>
      </c>
    </row>
    <row r="163">
      <c r="A163" t="inlineStr">
        <is>
          <t>61 (2).tif</t>
        </is>
      </c>
      <c r="B163">
        <f>COUNTIF(导管母表_860!B:B,A163)</f>
        <v/>
      </c>
      <c r="C163">
        <f>COUNTIFS(候选导管审计!B:B,A163,候选导管审计!G:G,"borderline")</f>
        <v/>
      </c>
      <c r="D163">
        <f>COUNTIFS(候选导管审计!B:B,A163,候选导管审计!G:G,"excluded")</f>
        <v/>
      </c>
      <c r="E163">
        <f>COUNTIFS(候选导管审计!B:B,A163,候选导管审计!G:G,"edge_truncated")</f>
        <v/>
      </c>
      <c r="F163">
        <f>COUNTIF(导管对_CWR_112!B:B,A163)</f>
        <v/>
      </c>
      <c r="G163">
        <f>COUNTIF(TVW线测量明细!B:B,A163)</f>
        <v/>
      </c>
      <c r="H163" t="n">
        <v>0.2173913043478261</v>
      </c>
      <c r="I163" t="n">
        <v>200</v>
      </c>
      <c r="J163">
        <f>1024*I163*H163^2/1000000</f>
        <v/>
      </c>
      <c r="K163" t="inlineStr">
        <is>
          <t>同一样品的技术视野；不是独立生物学重复</t>
        </is>
      </c>
      <c r="L163" t="inlineStr">
        <is>
          <t>样品61</t>
        </is>
      </c>
    </row>
    <row r="164">
      <c r="A164" t="inlineStr">
        <is>
          <t>61 (3).tif</t>
        </is>
      </c>
      <c r="B164">
        <f>COUNTIF(导管母表_860!B:B,A164)</f>
        <v/>
      </c>
      <c r="C164">
        <f>COUNTIFS(候选导管审计!B:B,A164,候选导管审计!G:G,"borderline")</f>
        <v/>
      </c>
      <c r="D164">
        <f>COUNTIFS(候选导管审计!B:B,A164,候选导管审计!G:G,"excluded")</f>
        <v/>
      </c>
      <c r="E164">
        <f>COUNTIFS(候选导管审计!B:B,A164,候选导管审计!G:G,"edge_truncated")</f>
        <v/>
      </c>
      <c r="F164">
        <f>COUNTIF(导管对_CWR_112!B:B,A164)</f>
        <v/>
      </c>
      <c r="G164">
        <f>COUNTIF(TVW线测量明细!B:B,A164)</f>
        <v/>
      </c>
      <c r="H164" t="n">
        <v>0.2173913043478261</v>
      </c>
      <c r="I164" t="n">
        <v>247</v>
      </c>
      <c r="J164">
        <f>1024*I164*H164^2/1000000</f>
        <v/>
      </c>
      <c r="K164" t="inlineStr">
        <is>
          <t>同一样品的技术视野；不是独立生物学重复</t>
        </is>
      </c>
      <c r="L164" t="inlineStr">
        <is>
          <t>样品61</t>
        </is>
      </c>
    </row>
    <row r="165">
      <c r="A165" t="inlineStr">
        <is>
          <t>61 (4).tif</t>
        </is>
      </c>
      <c r="B165">
        <f>COUNTIF(导管母表_860!B:B,A165)</f>
        <v/>
      </c>
      <c r="C165">
        <f>COUNTIFS(候选导管审计!B:B,A165,候选导管审计!G:G,"borderline")</f>
        <v/>
      </c>
      <c r="D165">
        <f>COUNTIFS(候选导管审计!B:B,A165,候选导管审计!G:G,"excluded")</f>
        <v/>
      </c>
      <c r="E165">
        <f>COUNTIFS(候选导管审计!B:B,A165,候选导管审计!G:G,"edge_truncated")</f>
        <v/>
      </c>
      <c r="F165">
        <f>COUNTIF(导管对_CWR_112!B:B,A165)</f>
        <v/>
      </c>
      <c r="G165">
        <f>COUNTIF(TVW线测量明细!B:B,A165)</f>
        <v/>
      </c>
      <c r="H165" t="n">
        <v>0.2173913043478261</v>
      </c>
      <c r="I165" t="n">
        <v>239</v>
      </c>
      <c r="J165">
        <f>1024*I165*H165^2/1000000</f>
        <v/>
      </c>
      <c r="K165" t="inlineStr">
        <is>
          <t>同一样品的技术视野；不是独立生物学重复</t>
        </is>
      </c>
      <c r="L165" t="inlineStr">
        <is>
          <t>样品61</t>
        </is>
      </c>
    </row>
    <row r="166">
      <c r="A166" t="inlineStr">
        <is>
          <t>61 (5).tif</t>
        </is>
      </c>
      <c r="B166">
        <f>COUNTIF(导管母表_860!B:B,A166)</f>
        <v/>
      </c>
      <c r="C166">
        <f>COUNTIFS(候选导管审计!B:B,A166,候选导管审计!G:G,"borderline")</f>
        <v/>
      </c>
      <c r="D166">
        <f>COUNTIFS(候选导管审计!B:B,A166,候选导管审计!G:G,"excluded")</f>
        <v/>
      </c>
      <c r="E166">
        <f>COUNTIFS(候选导管审计!B:B,A166,候选导管审计!G:G,"edge_truncated")</f>
        <v/>
      </c>
      <c r="F166">
        <f>COUNTIF(导管对_CWR_112!B:B,A166)</f>
        <v/>
      </c>
      <c r="G166">
        <f>COUNTIF(TVW线测量明细!B:B,A166)</f>
        <v/>
      </c>
      <c r="H166" t="n">
        <v>0.2173913043478261</v>
      </c>
      <c r="I166" t="n">
        <v>270</v>
      </c>
      <c r="J166">
        <f>1024*I166*H166^2/1000000</f>
        <v/>
      </c>
      <c r="K166" t="inlineStr">
        <is>
          <t>同一样品的技术视野；不是独立生物学重复</t>
        </is>
      </c>
      <c r="L166" t="inlineStr">
        <is>
          <t>样品61</t>
        </is>
      </c>
    </row>
    <row r="167">
      <c r="A167" t="inlineStr">
        <is>
          <t>61 (6).tif</t>
        </is>
      </c>
      <c r="B167">
        <f>COUNTIF(导管母表_860!B:B,A167)</f>
        <v/>
      </c>
      <c r="C167">
        <f>COUNTIFS(候选导管审计!B:B,A167,候选导管审计!G:G,"borderline")</f>
        <v/>
      </c>
      <c r="D167">
        <f>COUNTIFS(候选导管审计!B:B,A167,候选导管审计!G:G,"excluded")</f>
        <v/>
      </c>
      <c r="E167">
        <f>COUNTIFS(候选导管审计!B:B,A167,候选导管审计!G:G,"edge_truncated")</f>
        <v/>
      </c>
      <c r="F167">
        <f>COUNTIF(导管对_CWR_112!B:B,A167)</f>
        <v/>
      </c>
      <c r="G167">
        <f>COUNTIF(TVW线测量明细!B:B,A167)</f>
        <v/>
      </c>
      <c r="H167" t="n">
        <v>0.2173913043478261</v>
      </c>
      <c r="I167" t="n">
        <v>286</v>
      </c>
      <c r="J167">
        <f>1024*I167*H167^2/1000000</f>
        <v/>
      </c>
      <c r="K167" t="inlineStr">
        <is>
          <t>同一样品的技术视野；不是独立生物学重复</t>
        </is>
      </c>
      <c r="L167" t="inlineStr">
        <is>
          <t>样品61</t>
        </is>
      </c>
    </row>
    <row r="168">
      <c r="A168" t="inlineStr">
        <is>
          <t>61 (7).tif</t>
        </is>
      </c>
      <c r="B168">
        <f>COUNTIF(导管母表_860!B:B,A168)</f>
        <v/>
      </c>
      <c r="C168">
        <f>COUNTIFS(候选导管审计!B:B,A168,候选导管审计!G:G,"borderline")</f>
        <v/>
      </c>
      <c r="D168">
        <f>COUNTIFS(候选导管审计!B:B,A168,候选导管审计!G:G,"excluded")</f>
        <v/>
      </c>
      <c r="E168">
        <f>COUNTIFS(候选导管审计!B:B,A168,候选导管审计!G:G,"edge_truncated")</f>
        <v/>
      </c>
      <c r="F168">
        <f>COUNTIF(导管对_CWR_112!B:B,A168)</f>
        <v/>
      </c>
      <c r="G168">
        <f>COUNTIF(TVW线测量明细!B:B,A168)</f>
        <v/>
      </c>
      <c r="H168" t="n">
        <v>0.2173913043478261</v>
      </c>
      <c r="I168" t="n">
        <v>247</v>
      </c>
      <c r="J168">
        <f>1024*I168*H168^2/1000000</f>
        <v/>
      </c>
      <c r="K168" t="inlineStr">
        <is>
          <t>同一样品的技术视野；不是独立生物学重复</t>
        </is>
      </c>
      <c r="L168" t="inlineStr">
        <is>
          <t>样品61</t>
        </is>
      </c>
    </row>
    <row r="169">
      <c r="A169" t="inlineStr">
        <is>
          <t>61 (8).tif</t>
        </is>
      </c>
      <c r="B169">
        <f>COUNTIF(导管母表_860!B:B,A169)</f>
        <v/>
      </c>
      <c r="C169">
        <f>COUNTIFS(候选导管审计!B:B,A169,候选导管审计!G:G,"borderline")</f>
        <v/>
      </c>
      <c r="D169">
        <f>COUNTIFS(候选导管审计!B:B,A169,候选导管审计!G:G,"excluded")</f>
        <v/>
      </c>
      <c r="E169">
        <f>COUNTIFS(候选导管审计!B:B,A169,候选导管审计!G:G,"edge_truncated")</f>
        <v/>
      </c>
      <c r="F169">
        <f>COUNTIF(导管对_CWR_112!B:B,A169)</f>
        <v/>
      </c>
      <c r="G169">
        <f>COUNTIF(TVW线测量明细!B:B,A169)</f>
        <v/>
      </c>
      <c r="H169" t="n">
        <v>0.2173913043478261</v>
      </c>
      <c r="I169" t="n">
        <v>169</v>
      </c>
      <c r="J169">
        <f>1024*I169*H169^2/1000000</f>
        <v/>
      </c>
      <c r="K169" t="inlineStr">
        <is>
          <t>同一样品的技术视野；不是独立生物学重复</t>
        </is>
      </c>
      <c r="L169" t="inlineStr">
        <is>
          <t>样品61</t>
        </is>
      </c>
    </row>
    <row r="170">
      <c r="A170" t="inlineStr">
        <is>
          <t>62 (1).tif</t>
        </is>
      </c>
      <c r="B170">
        <f>COUNTIF(导管母表_860!B:B,A170)</f>
        <v/>
      </c>
      <c r="C170">
        <f>COUNTIFS(候选导管审计!B:B,A170,候选导管审计!G:G,"borderline")</f>
        <v/>
      </c>
      <c r="D170">
        <f>COUNTIFS(候选导管审计!B:B,A170,候选导管审计!G:G,"excluded")</f>
        <v/>
      </c>
      <c r="E170">
        <f>COUNTIFS(候选导管审计!B:B,A170,候选导管审计!G:G,"edge_truncated")</f>
        <v/>
      </c>
      <c r="F170">
        <f>COUNTIF(导管对_CWR_112!B:B,A170)</f>
        <v/>
      </c>
      <c r="G170">
        <f>COUNTIF(TVW线测量明细!B:B,A170)</f>
        <v/>
      </c>
      <c r="H170" t="n">
        <v>0.2173913043478261</v>
      </c>
      <c r="I170" t="n">
        <v>211</v>
      </c>
      <c r="J170">
        <f>1024*I170*H170^2/1000000</f>
        <v/>
      </c>
      <c r="K170" t="inlineStr">
        <is>
          <t>同一样品的技术视野；不是独立生物学重复</t>
        </is>
      </c>
      <c r="L170" t="inlineStr">
        <is>
          <t>样品62</t>
        </is>
      </c>
    </row>
    <row r="171">
      <c r="A171" t="inlineStr">
        <is>
          <t>62 (2).tif</t>
        </is>
      </c>
      <c r="B171">
        <f>COUNTIF(导管母表_860!B:B,A171)</f>
        <v/>
      </c>
      <c r="C171">
        <f>COUNTIFS(候选导管审计!B:B,A171,候选导管审计!G:G,"borderline")</f>
        <v/>
      </c>
      <c r="D171">
        <f>COUNTIFS(候选导管审计!B:B,A171,候选导管审计!G:G,"excluded")</f>
        <v/>
      </c>
      <c r="E171">
        <f>COUNTIFS(候选导管审计!B:B,A171,候选导管审计!G:G,"edge_truncated")</f>
        <v/>
      </c>
      <c r="F171">
        <f>COUNTIF(导管对_CWR_112!B:B,A171)</f>
        <v/>
      </c>
      <c r="G171">
        <f>COUNTIF(TVW线测量明细!B:B,A171)</f>
        <v/>
      </c>
      <c r="H171" t="n">
        <v>0.2173913043478261</v>
      </c>
      <c r="I171" t="n">
        <v>252</v>
      </c>
      <c r="J171">
        <f>1024*I171*H171^2/1000000</f>
        <v/>
      </c>
      <c r="K171" t="inlineStr">
        <is>
          <t>同一样品的技术视野；不是独立生物学重复</t>
        </is>
      </c>
      <c r="L171" t="inlineStr">
        <is>
          <t>样品62</t>
        </is>
      </c>
    </row>
    <row r="172">
      <c r="A172" t="inlineStr">
        <is>
          <t>62 (3).tif</t>
        </is>
      </c>
      <c r="B172">
        <f>COUNTIF(导管母表_860!B:B,A172)</f>
        <v/>
      </c>
      <c r="C172">
        <f>COUNTIFS(候选导管审计!B:B,A172,候选导管审计!G:G,"borderline")</f>
        <v/>
      </c>
      <c r="D172">
        <f>COUNTIFS(候选导管审计!B:B,A172,候选导管审计!G:G,"excluded")</f>
        <v/>
      </c>
      <c r="E172">
        <f>COUNTIFS(候选导管审计!B:B,A172,候选导管审计!G:G,"edge_truncated")</f>
        <v/>
      </c>
      <c r="F172">
        <f>COUNTIF(导管对_CWR_112!B:B,A172)</f>
        <v/>
      </c>
      <c r="G172">
        <f>COUNTIF(TVW线测量明细!B:B,A172)</f>
        <v/>
      </c>
      <c r="H172" t="n">
        <v>0.2173913043478261</v>
      </c>
      <c r="I172" t="n">
        <v>269</v>
      </c>
      <c r="J172">
        <f>1024*I172*H172^2/1000000</f>
        <v/>
      </c>
      <c r="K172" t="inlineStr">
        <is>
          <t>同一样品的技术视野；不是独立生物学重复</t>
        </is>
      </c>
      <c r="L172" t="inlineStr">
        <is>
          <t>样品62</t>
        </is>
      </c>
    </row>
    <row r="173">
      <c r="A173" t="inlineStr">
        <is>
          <t>62 (4).tif</t>
        </is>
      </c>
      <c r="B173">
        <f>COUNTIF(导管母表_860!B:B,A173)</f>
        <v/>
      </c>
      <c r="C173">
        <f>COUNTIFS(候选导管审计!B:B,A173,候选导管审计!G:G,"borderline")</f>
        <v/>
      </c>
      <c r="D173">
        <f>COUNTIFS(候选导管审计!B:B,A173,候选导管审计!G:G,"excluded")</f>
        <v/>
      </c>
      <c r="E173">
        <f>COUNTIFS(候选导管审计!B:B,A173,候选导管审计!G:G,"edge_truncated")</f>
        <v/>
      </c>
      <c r="F173">
        <f>COUNTIF(导管对_CWR_112!B:B,A173)</f>
        <v/>
      </c>
      <c r="G173">
        <f>COUNTIF(TVW线测量明细!B:B,A173)</f>
        <v/>
      </c>
      <c r="H173" t="n">
        <v>0.2173913043478261</v>
      </c>
      <c r="I173" t="n">
        <v>222</v>
      </c>
      <c r="J173">
        <f>1024*I173*H173^2/1000000</f>
        <v/>
      </c>
      <c r="K173" t="inlineStr">
        <is>
          <t>同一样品的技术视野；不是独立生物学重复</t>
        </is>
      </c>
      <c r="L173" t="inlineStr">
        <is>
          <t>样品62</t>
        </is>
      </c>
    </row>
    <row r="174">
      <c r="A174" t="inlineStr">
        <is>
          <t>62 (5).tif</t>
        </is>
      </c>
      <c r="B174">
        <f>COUNTIF(导管母表_860!B:B,A174)</f>
        <v/>
      </c>
      <c r="C174">
        <f>COUNTIFS(候选导管审计!B:B,A174,候选导管审计!G:G,"borderline")</f>
        <v/>
      </c>
      <c r="D174">
        <f>COUNTIFS(候选导管审计!B:B,A174,候选导管审计!G:G,"excluded")</f>
        <v/>
      </c>
      <c r="E174">
        <f>COUNTIFS(候选导管审计!B:B,A174,候选导管审计!G:G,"edge_truncated")</f>
        <v/>
      </c>
      <c r="F174">
        <f>COUNTIF(导管对_CWR_112!B:B,A174)</f>
        <v/>
      </c>
      <c r="G174">
        <f>COUNTIF(TVW线测量明细!B:B,A174)</f>
        <v/>
      </c>
      <c r="H174" t="n">
        <v>0.2173913043478261</v>
      </c>
      <c r="I174" t="n">
        <v>214</v>
      </c>
      <c r="J174">
        <f>1024*I174*H174^2/1000000</f>
        <v/>
      </c>
      <c r="K174" t="inlineStr">
        <is>
          <t>同一样品的技术视野；不是独立生物学重复</t>
        </is>
      </c>
      <c r="L174" t="inlineStr">
        <is>
          <t>样品62</t>
        </is>
      </c>
    </row>
    <row r="175">
      <c r="A175" t="inlineStr">
        <is>
          <t>62 (6).tif</t>
        </is>
      </c>
      <c r="B175">
        <f>COUNTIF(导管母表_860!B:B,A175)</f>
        <v/>
      </c>
      <c r="C175">
        <f>COUNTIFS(候选导管审计!B:B,A175,候选导管审计!G:G,"borderline")</f>
        <v/>
      </c>
      <c r="D175">
        <f>COUNTIFS(候选导管审计!B:B,A175,候选导管审计!G:G,"excluded")</f>
        <v/>
      </c>
      <c r="E175">
        <f>COUNTIFS(候选导管审计!B:B,A175,候选导管审计!G:G,"edge_truncated")</f>
        <v/>
      </c>
      <c r="F175">
        <f>COUNTIF(导管对_CWR_112!B:B,A175)</f>
        <v/>
      </c>
      <c r="G175">
        <f>COUNTIF(TVW线测量明细!B:B,A175)</f>
        <v/>
      </c>
      <c r="H175" t="n">
        <v>0.2173913043478261</v>
      </c>
      <c r="I175" t="n">
        <v>202</v>
      </c>
      <c r="J175">
        <f>1024*I175*H175^2/1000000</f>
        <v/>
      </c>
      <c r="K175" t="inlineStr">
        <is>
          <t>同一样品的技术视野；不是独立生物学重复</t>
        </is>
      </c>
      <c r="L175" t="inlineStr">
        <is>
          <t>样品62</t>
        </is>
      </c>
    </row>
    <row r="176">
      <c r="A176" t="inlineStr">
        <is>
          <t>62 (7).tif</t>
        </is>
      </c>
      <c r="B176">
        <f>COUNTIF(导管母表_860!B:B,A176)</f>
        <v/>
      </c>
      <c r="C176">
        <f>COUNTIFS(候选导管审计!B:B,A176,候选导管审计!G:G,"borderline")</f>
        <v/>
      </c>
      <c r="D176">
        <f>COUNTIFS(候选导管审计!B:B,A176,候选导管审计!G:G,"excluded")</f>
        <v/>
      </c>
      <c r="E176">
        <f>COUNTIFS(候选导管审计!B:B,A176,候选导管审计!G:G,"edge_truncated")</f>
        <v/>
      </c>
      <c r="F176">
        <f>COUNTIF(导管对_CWR_112!B:B,A176)</f>
        <v/>
      </c>
      <c r="G176">
        <f>COUNTIF(TVW线测量明细!B:B,A176)</f>
        <v/>
      </c>
      <c r="H176" t="n">
        <v>0.2173913043478261</v>
      </c>
      <c r="I176" t="n">
        <v>268</v>
      </c>
      <c r="J176">
        <f>1024*I176*H176^2/1000000</f>
        <v/>
      </c>
      <c r="K176" t="inlineStr">
        <is>
          <t>同一样品的技术视野；不是独立生物学重复</t>
        </is>
      </c>
      <c r="L176" t="inlineStr">
        <is>
          <t>样品62</t>
        </is>
      </c>
    </row>
    <row r="177">
      <c r="A177" t="inlineStr">
        <is>
          <t>62 (8).tif</t>
        </is>
      </c>
      <c r="B177">
        <f>COUNTIF(导管母表_860!B:B,A177)</f>
        <v/>
      </c>
      <c r="C177">
        <f>COUNTIFS(候选导管审计!B:B,A177,候选导管审计!G:G,"borderline")</f>
        <v/>
      </c>
      <c r="D177">
        <f>COUNTIFS(候选导管审计!B:B,A177,候选导管审计!G:G,"excluded")</f>
        <v/>
      </c>
      <c r="E177">
        <f>COUNTIFS(候选导管审计!B:B,A177,候选导管审计!G:G,"edge_truncated")</f>
        <v/>
      </c>
      <c r="F177">
        <f>COUNTIF(导管对_CWR_112!B:B,A177)</f>
        <v/>
      </c>
      <c r="G177">
        <f>COUNTIF(TVW线测量明细!B:B,A177)</f>
        <v/>
      </c>
      <c r="H177" t="n">
        <v>0.2173913043478261</v>
      </c>
      <c r="I177" t="n">
        <v>207</v>
      </c>
      <c r="J177">
        <f>1024*I177*H177^2/1000000</f>
        <v/>
      </c>
      <c r="K177" t="inlineStr">
        <is>
          <t>同一样品的技术视野；不是独立生物学重复</t>
        </is>
      </c>
      <c r="L177" t="inlineStr">
        <is>
          <t>样品62</t>
        </is>
      </c>
    </row>
    <row r="178">
      <c r="A178" t="inlineStr">
        <is>
          <t>63 (1).tif</t>
        </is>
      </c>
      <c r="B178">
        <f>COUNTIF(导管母表_860!B:B,A178)</f>
        <v/>
      </c>
      <c r="C178">
        <f>COUNTIFS(候选导管审计!B:B,A178,候选导管审计!G:G,"borderline")</f>
        <v/>
      </c>
      <c r="D178">
        <f>COUNTIFS(候选导管审计!B:B,A178,候选导管审计!G:G,"excluded")</f>
        <v/>
      </c>
      <c r="E178">
        <f>COUNTIFS(候选导管审计!B:B,A178,候选导管审计!G:G,"edge_truncated")</f>
        <v/>
      </c>
      <c r="F178">
        <f>COUNTIF(导管对_CWR_112!B:B,A178)</f>
        <v/>
      </c>
      <c r="G178">
        <f>COUNTIF(TVW线测量明细!B:B,A178)</f>
        <v/>
      </c>
      <c r="H178" t="n">
        <v>0.2173913043478261</v>
      </c>
      <c r="I178" t="n">
        <v>691</v>
      </c>
      <c r="J178">
        <f>1024*I178*H178^2/1000000</f>
        <v/>
      </c>
      <c r="K178" t="inlineStr">
        <is>
          <t>同一样品的技术视野；不是独立生物学重复</t>
        </is>
      </c>
      <c r="L178" t="inlineStr">
        <is>
          <t>样品63</t>
        </is>
      </c>
    </row>
    <row r="179">
      <c r="A179" t="inlineStr">
        <is>
          <t>63 (2).tif</t>
        </is>
      </c>
      <c r="B179">
        <f>COUNTIF(导管母表_860!B:B,A179)</f>
        <v/>
      </c>
      <c r="C179">
        <f>COUNTIFS(候选导管审计!B:B,A179,候选导管审计!G:G,"borderline")</f>
        <v/>
      </c>
      <c r="D179">
        <f>COUNTIFS(候选导管审计!B:B,A179,候选导管审计!G:G,"excluded")</f>
        <v/>
      </c>
      <c r="E179">
        <f>COUNTIFS(候选导管审计!B:B,A179,候选导管审计!G:G,"edge_truncated")</f>
        <v/>
      </c>
      <c r="F179">
        <f>COUNTIF(导管对_CWR_112!B:B,A179)</f>
        <v/>
      </c>
      <c r="G179">
        <f>COUNTIF(TVW线测量明细!B:B,A179)</f>
        <v/>
      </c>
      <c r="H179" t="n">
        <v>0.2173913043478261</v>
      </c>
      <c r="I179" t="n">
        <v>691</v>
      </c>
      <c r="J179">
        <f>1024*I179*H179^2/1000000</f>
        <v/>
      </c>
      <c r="K179" t="inlineStr">
        <is>
          <t>同一样品的技术视野；不是独立生物学重复</t>
        </is>
      </c>
      <c r="L179" t="inlineStr">
        <is>
          <t>样品63</t>
        </is>
      </c>
    </row>
    <row r="180">
      <c r="A180" t="inlineStr">
        <is>
          <t>63 (3).tif</t>
        </is>
      </c>
      <c r="B180">
        <f>COUNTIF(导管母表_860!B:B,A180)</f>
        <v/>
      </c>
      <c r="C180">
        <f>COUNTIFS(候选导管审计!B:B,A180,候选导管审计!G:G,"borderline")</f>
        <v/>
      </c>
      <c r="D180">
        <f>COUNTIFS(候选导管审计!B:B,A180,候选导管审计!G:G,"excluded")</f>
        <v/>
      </c>
      <c r="E180">
        <f>COUNTIFS(候选导管审计!B:B,A180,候选导管审计!G:G,"edge_truncated")</f>
        <v/>
      </c>
      <c r="F180">
        <f>COUNTIF(导管对_CWR_112!B:B,A180)</f>
        <v/>
      </c>
      <c r="G180">
        <f>COUNTIF(TVW线测量明细!B:B,A180)</f>
        <v/>
      </c>
      <c r="H180" t="n">
        <v>0.2173913043478261</v>
      </c>
      <c r="I180" t="n">
        <v>691</v>
      </c>
      <c r="J180">
        <f>1024*I180*H180^2/1000000</f>
        <v/>
      </c>
      <c r="K180" t="inlineStr">
        <is>
          <t>同一样品的技术视野；不是独立生物学重复</t>
        </is>
      </c>
      <c r="L180" t="inlineStr">
        <is>
          <t>样品63</t>
        </is>
      </c>
    </row>
    <row r="181">
      <c r="A181" t="inlineStr">
        <is>
          <t>63 (4).tif</t>
        </is>
      </c>
      <c r="B181">
        <f>COUNTIF(导管母表_860!B:B,A181)</f>
        <v/>
      </c>
      <c r="C181">
        <f>COUNTIFS(候选导管审计!B:B,A181,候选导管审计!G:G,"borderline")</f>
        <v/>
      </c>
      <c r="D181">
        <f>COUNTIFS(候选导管审计!B:B,A181,候选导管审计!G:G,"excluded")</f>
        <v/>
      </c>
      <c r="E181">
        <f>COUNTIFS(候选导管审计!B:B,A181,候选导管审计!G:G,"edge_truncated")</f>
        <v/>
      </c>
      <c r="F181">
        <f>COUNTIF(导管对_CWR_112!B:B,A181)</f>
        <v/>
      </c>
      <c r="G181">
        <f>COUNTIF(TVW线测量明细!B:B,A181)</f>
        <v/>
      </c>
      <c r="H181" t="n">
        <v>0.2173913043478261</v>
      </c>
      <c r="I181" t="n">
        <v>258</v>
      </c>
      <c r="J181">
        <f>1024*I181*H181^2/1000000</f>
        <v/>
      </c>
      <c r="K181" t="inlineStr">
        <is>
          <t>同一样品的技术视野；不是独立生物学重复</t>
        </is>
      </c>
      <c r="L181" t="inlineStr">
        <is>
          <t>样品63</t>
        </is>
      </c>
    </row>
    <row r="182">
      <c r="A182" t="inlineStr">
        <is>
          <t>63 (5).tif</t>
        </is>
      </c>
      <c r="B182">
        <f>COUNTIF(导管母表_860!B:B,A182)</f>
        <v/>
      </c>
      <c r="C182">
        <f>COUNTIFS(候选导管审计!B:B,A182,候选导管审计!G:G,"borderline")</f>
        <v/>
      </c>
      <c r="D182">
        <f>COUNTIFS(候选导管审计!B:B,A182,候选导管审计!G:G,"excluded")</f>
        <v/>
      </c>
      <c r="E182">
        <f>COUNTIFS(候选导管审计!B:B,A182,候选导管审计!G:G,"edge_truncated")</f>
        <v/>
      </c>
      <c r="F182">
        <f>COUNTIF(导管对_CWR_112!B:B,A182)</f>
        <v/>
      </c>
      <c r="G182">
        <f>COUNTIF(TVW线测量明细!B:B,A182)</f>
        <v/>
      </c>
      <c r="H182" t="n">
        <v>0.2173913043478261</v>
      </c>
      <c r="I182" t="n">
        <v>286</v>
      </c>
      <c r="J182">
        <f>1024*I182*H182^2/1000000</f>
        <v/>
      </c>
      <c r="K182" t="inlineStr">
        <is>
          <t>同一样品的技术视野；不是独立生物学重复</t>
        </is>
      </c>
      <c r="L182" t="inlineStr">
        <is>
          <t>样品63</t>
        </is>
      </c>
    </row>
    <row r="183">
      <c r="A183" t="inlineStr">
        <is>
          <t>63 (6).tif</t>
        </is>
      </c>
      <c r="B183">
        <f>COUNTIF(导管母表_860!B:B,A183)</f>
        <v/>
      </c>
      <c r="C183">
        <f>COUNTIFS(候选导管审计!B:B,A183,候选导管审计!G:G,"borderline")</f>
        <v/>
      </c>
      <c r="D183">
        <f>COUNTIFS(候选导管审计!B:B,A183,候选导管审计!G:G,"excluded")</f>
        <v/>
      </c>
      <c r="E183">
        <f>COUNTIFS(候选导管审计!B:B,A183,候选导管审计!G:G,"edge_truncated")</f>
        <v/>
      </c>
      <c r="F183">
        <f>COUNTIF(导管对_CWR_112!B:B,A183)</f>
        <v/>
      </c>
      <c r="G183">
        <f>COUNTIF(TVW线测量明细!B:B,A183)</f>
        <v/>
      </c>
      <c r="H183" t="n">
        <v>0.2173913043478261</v>
      </c>
      <c r="I183" t="n">
        <v>691</v>
      </c>
      <c r="J183">
        <f>1024*I183*H183^2/1000000</f>
        <v/>
      </c>
      <c r="K183" t="inlineStr">
        <is>
          <t>同一样品的技术视野；不是独立生物学重复</t>
        </is>
      </c>
      <c r="L183" t="inlineStr">
        <is>
          <t>样品63</t>
        </is>
      </c>
    </row>
    <row r="184">
      <c r="A184" t="inlineStr">
        <is>
          <t>63 (7).tif</t>
        </is>
      </c>
      <c r="B184">
        <f>COUNTIF(导管母表_860!B:B,A184)</f>
        <v/>
      </c>
      <c r="C184">
        <f>COUNTIFS(候选导管审计!B:B,A184,候选导管审计!G:G,"borderline")</f>
        <v/>
      </c>
      <c r="D184">
        <f>COUNTIFS(候选导管审计!B:B,A184,候选导管审计!G:G,"excluded")</f>
        <v/>
      </c>
      <c r="E184">
        <f>COUNTIFS(候选导管审计!B:B,A184,候选导管审计!G:G,"edge_truncated")</f>
        <v/>
      </c>
      <c r="F184">
        <f>COUNTIF(导管对_CWR_112!B:B,A184)</f>
        <v/>
      </c>
      <c r="G184">
        <f>COUNTIF(TVW线测量明细!B:B,A184)</f>
        <v/>
      </c>
      <c r="H184" t="n">
        <v>0.2173913043478261</v>
      </c>
      <c r="I184" t="n">
        <v>691</v>
      </c>
      <c r="J184">
        <f>1024*I184*H184^2/1000000</f>
        <v/>
      </c>
      <c r="K184" t="inlineStr">
        <is>
          <t>同一样品的技术视野；不是独立生物学重复</t>
        </is>
      </c>
      <c r="L184" t="inlineStr">
        <is>
          <t>样品63</t>
        </is>
      </c>
    </row>
    <row r="185">
      <c r="A185" t="inlineStr">
        <is>
          <t>63 (8).tif</t>
        </is>
      </c>
      <c r="B185">
        <f>COUNTIF(导管母表_860!B:B,A185)</f>
        <v/>
      </c>
      <c r="C185">
        <f>COUNTIFS(候选导管审计!B:B,A185,候选导管审计!G:G,"borderline")</f>
        <v/>
      </c>
      <c r="D185">
        <f>COUNTIFS(候选导管审计!B:B,A185,候选导管审计!G:G,"excluded")</f>
        <v/>
      </c>
      <c r="E185">
        <f>COUNTIFS(候选导管审计!B:B,A185,候选导管审计!G:G,"edge_truncated")</f>
        <v/>
      </c>
      <c r="F185">
        <f>COUNTIF(导管对_CWR_112!B:B,A185)</f>
        <v/>
      </c>
      <c r="G185">
        <f>COUNTIF(TVW线测量明细!B:B,A185)</f>
        <v/>
      </c>
      <c r="H185" t="n">
        <v>0.2173913043478261</v>
      </c>
      <c r="I185" t="n">
        <v>691</v>
      </c>
      <c r="J185">
        <f>1024*I185*H185^2/1000000</f>
        <v/>
      </c>
      <c r="K185" t="inlineStr">
        <is>
          <t>同一样品的技术视野；不是独立生物学重复</t>
        </is>
      </c>
      <c r="L185" t="inlineStr">
        <is>
          <t>样品63</t>
        </is>
      </c>
    </row>
    <row r="186">
      <c r="A186" t="inlineStr">
        <is>
          <t>合计</t>
        </is>
      </c>
      <c r="B186">
        <f>SUM(B2:B185)</f>
        <v/>
      </c>
      <c r="C186">
        <f>SUM(C2:C185)</f>
        <v/>
      </c>
      <c r="D186">
        <f>SUM(D2:D185)</f>
        <v/>
      </c>
      <c r="E186">
        <f>SUM(E2:E185)</f>
        <v/>
      </c>
      <c r="F186">
        <f>SUM(F2:F185)</f>
        <v/>
      </c>
      <c r="G186">
        <f>SUM(G2:G185)</f>
        <v/>
      </c>
      <c r="J186">
        <f>SUM(J2:J185)</f>
        <v/>
      </c>
      <c r="K186" t="inlineStr">
        <is>
          <t>184个视野在样品层面按样品合并后写入Sheet1</t>
        </is>
      </c>
      <c r="L1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图像文件</t>
        </is>
      </c>
      <c r="C1" t="inlineStr">
        <is>
          <t>导管1 ROI</t>
        </is>
      </c>
      <c r="D1" t="inlineStr">
        <is>
          <t>Ai1 (μm²)</t>
        </is>
      </c>
      <c r="E1" t="inlineStr">
        <is>
          <t>Di1 (μm)</t>
        </is>
      </c>
      <c r="F1" t="inlineStr">
        <is>
          <t>导管2 ROI</t>
        </is>
      </c>
      <c r="G1" t="inlineStr">
        <is>
          <t>Ai2 (μm²)</t>
        </is>
      </c>
      <c r="H1" t="inlineStr">
        <is>
          <t>Di2 (μm)</t>
        </is>
      </c>
      <c r="I1" t="inlineStr">
        <is>
          <t>TVW线表范围</t>
        </is>
      </c>
      <c r="J1" t="inlineStr">
        <is>
          <t>n_line</t>
        </is>
      </c>
      <c r="K1" t="inlineStr">
        <is>
          <t>TVW均值 (μm，主值)</t>
        </is>
      </c>
      <c r="L1" t="inlineStr">
        <is>
          <t>TVW中位数 (μm)</t>
        </is>
      </c>
      <c r="M1" t="inlineStr">
        <is>
          <t>TVW线内SD (μm)</t>
        </is>
      </c>
      <c r="N1" t="inlineStr">
        <is>
          <t>TVW线内CV (%)</t>
        </is>
      </c>
      <c r="O1" t="inlineStr">
        <is>
          <t>旧单线TVW (μm)</t>
        </is>
      </c>
      <c r="P1" t="inlineStr">
        <is>
          <t>TVW变化 (%)</t>
        </is>
      </c>
      <c r="Q1" t="inlineStr">
        <is>
          <t>CWR1=(TVW/Di1)²</t>
        </is>
      </c>
      <c r="R1" t="inlineStr">
        <is>
          <t>CWR2=(TVW/Di2)²</t>
        </is>
      </c>
      <c r="S1" t="inlineStr">
        <is>
          <t>CWR_pair（主值）</t>
        </is>
      </c>
      <c r="T1" t="inlineStr">
        <is>
          <t>旧单线CWR_pair</t>
        </is>
      </c>
      <c r="U1" t="inlineStr">
        <is>
          <t>CWR变化 (%)</t>
        </is>
      </c>
      <c r="V1" t="inlineStr">
        <is>
          <t>线中位数法CWR_pair（敏感性）</t>
        </is>
      </c>
      <c r="W1" t="inlineStr">
        <is>
          <t>Dtarget（仅敏感性）</t>
        </is>
      </c>
      <c r="X1" t="inlineStr">
        <is>
          <t>Dtarget法CWR（仅敏感性）</t>
        </is>
      </c>
      <c r="Y1" t="inlineStr">
        <is>
          <t>壁级QC</t>
        </is>
      </c>
      <c r="Z1" t="inlineStr">
        <is>
          <t>对应关系质控</t>
        </is>
      </c>
      <c r="AA1" t="inlineStr">
        <is>
          <t>样品</t>
        </is>
      </c>
    </row>
    <row r="2">
      <c r="A2" t="inlineStr">
        <is>
          <t>41(1)-P01</t>
        </is>
      </c>
      <c r="B2" t="inlineStr">
        <is>
          <t>41 (1).tif</t>
        </is>
      </c>
      <c r="C2" t="inlineStr">
        <is>
          <t>41(1)-V01</t>
        </is>
      </c>
      <c r="D2">
        <f>导管母表_860!F2</f>
        <v/>
      </c>
      <c r="E2">
        <f>导管母表_860!G2</f>
        <v/>
      </c>
      <c r="F2" t="inlineStr">
        <is>
          <t>41(1)-V02</t>
        </is>
      </c>
      <c r="G2">
        <f>导管母表_860!F3</f>
        <v/>
      </c>
      <c r="H2">
        <f>导管母表_860!G3</f>
        <v/>
      </c>
      <c r="I2" t="inlineStr">
        <is>
          <t>J2:J4</t>
        </is>
      </c>
      <c r="J2">
        <f>COUNT(TVW线测量明细!J2:J4)</f>
        <v/>
      </c>
      <c r="K2">
        <f>AVERAGE(TVW线测量明细!J2:J4)</f>
        <v/>
      </c>
      <c r="L2">
        <f>MEDIAN(TVW线测量明细!J2:J4)</f>
        <v/>
      </c>
      <c r="M2">
        <f>IF(J2&gt;1,STDEV(TVW线测量明细!J2:J4),0)</f>
        <v/>
      </c>
      <c r="N2">
        <f>IF(K2=0,"",M2/K2*100)</f>
        <v/>
      </c>
      <c r="O2" t="n">
        <v>2.478642228476386</v>
      </c>
      <c r="P2">
        <f>IF(O2=0,"",(K2/O2-1)*100)</f>
        <v/>
      </c>
      <c r="Q2">
        <f>(K2/E2)^2</f>
        <v/>
      </c>
      <c r="R2">
        <f>(K2/H2)^2</f>
        <v/>
      </c>
      <c r="S2">
        <f>AVERAGE(Q2,R2)</f>
        <v/>
      </c>
      <c r="T2">
        <f>AVERAGE((O2/E2)^2,(O2/H2)^2)</f>
        <v/>
      </c>
      <c r="U2">
        <f>IF(T2=0,"",(S2/T2-1)*100)</f>
        <v/>
      </c>
      <c r="V2">
        <f>AVERAGE((L2/E2)^2,(L2/H2)^2)</f>
        <v/>
      </c>
      <c r="W2">
        <f>IF(ABS(E2-汇总!B25)&lt;=ABS(H2-汇总!B25),E2,H2)</f>
        <v/>
      </c>
      <c r="X2">
        <f>(K2/W2)^2</f>
        <v/>
      </c>
      <c r="Y2">
        <f>IF(N2&gt;10,"HIGH_TVW_CV",IF(J2&lt;3,"SHORT_INTERFACE","PASS"))</f>
        <v/>
      </c>
      <c r="Z2" t="inlineStr">
        <is>
          <t>Di1、TVW均值、Di2均来自本Pair_ID；TVW=3–5法线平均</t>
        </is>
      </c>
      <c r="AA2" t="inlineStr">
        <is>
          <t>样品41</t>
        </is>
      </c>
    </row>
    <row r="3">
      <c r="A3" t="inlineStr">
        <is>
          <t>41(4)-P01</t>
        </is>
      </c>
      <c r="B3" t="inlineStr">
        <is>
          <t>41 (4).tif</t>
        </is>
      </c>
      <c r="C3" t="inlineStr">
        <is>
          <t>41(4)-V01</t>
        </is>
      </c>
      <c r="D3">
        <f>导管母表_860!F11</f>
        <v/>
      </c>
      <c r="E3">
        <f>导管母表_860!G11</f>
        <v/>
      </c>
      <c r="F3" t="inlineStr">
        <is>
          <t>41(4)-V02</t>
        </is>
      </c>
      <c r="G3">
        <f>导管母表_860!F12</f>
        <v/>
      </c>
      <c r="H3">
        <f>导管母表_860!G12</f>
        <v/>
      </c>
      <c r="I3" t="inlineStr">
        <is>
          <t>J5:J5</t>
        </is>
      </c>
      <c r="J3">
        <f>COUNT(TVW线测量明细!J5:J5)</f>
        <v/>
      </c>
      <c r="K3">
        <f>AVERAGE(TVW线测量明细!J5:J5)</f>
        <v/>
      </c>
      <c r="L3">
        <f>MEDIAN(TVW线测量明细!J5:J5)</f>
        <v/>
      </c>
      <c r="M3">
        <f>IF(J3&gt;1,STDEV(TVW线测量明细!J5:J5),0)</f>
        <v/>
      </c>
      <c r="N3">
        <f>IF(K3=0,"",M3/K3*100)</f>
        <v/>
      </c>
      <c r="O3" t="n">
        <v>7.71968734981074</v>
      </c>
      <c r="P3">
        <f>IF(O3=0,"",(K3/O3-1)*100)</f>
        <v/>
      </c>
      <c r="Q3">
        <f>(K3/E3)^2</f>
        <v/>
      </c>
      <c r="R3">
        <f>(K3/H3)^2</f>
        <v/>
      </c>
      <c r="S3">
        <f>AVERAGE(Q3,R3)</f>
        <v/>
      </c>
      <c r="T3">
        <f>AVERAGE((O3/E3)^2,(O3/H3)^2)</f>
        <v/>
      </c>
      <c r="U3">
        <f>IF(T3=0,"",(S3/T3-1)*100)</f>
        <v/>
      </c>
      <c r="V3">
        <f>AVERAGE((L3/E3)^2,(L3/H3)^2)</f>
        <v/>
      </c>
      <c r="W3">
        <f>IF(ABS(E3-汇总!B25)&lt;=ABS(H3-汇总!B25),E3,H3)</f>
        <v/>
      </c>
      <c r="X3">
        <f>(K3/W3)^2</f>
        <v/>
      </c>
      <c r="Y3">
        <f>IF(N3&gt;10,"HIGH_TVW_CV",IF(J3&lt;3,"SHORT_INTERFACE","PASS"))</f>
        <v/>
      </c>
      <c r="Z3" t="inlineStr">
        <is>
          <t>Di1、TVW均值、Di2均来自本Pair_ID；TVW=3–5法线平均</t>
        </is>
      </c>
      <c r="AA3" t="inlineStr">
        <is>
          <t>样品41</t>
        </is>
      </c>
    </row>
    <row r="4">
      <c r="A4" t="inlineStr">
        <is>
          <t>41(5)-P01</t>
        </is>
      </c>
      <c r="B4" t="inlineStr">
        <is>
          <t>41 (5).tif</t>
        </is>
      </c>
      <c r="C4" t="inlineStr">
        <is>
          <t>41(5)-V01</t>
        </is>
      </c>
      <c r="D4">
        <f>导管母表_860!F17</f>
        <v/>
      </c>
      <c r="E4">
        <f>导管母表_860!G17</f>
        <v/>
      </c>
      <c r="F4" t="inlineStr">
        <is>
          <t>41(5)-V02</t>
        </is>
      </c>
      <c r="G4">
        <f>导管母表_860!F18</f>
        <v/>
      </c>
      <c r="H4">
        <f>导管母表_860!G18</f>
        <v/>
      </c>
      <c r="I4" t="inlineStr">
        <is>
          <t>J6:J7</t>
        </is>
      </c>
      <c r="J4">
        <f>COUNT(TVW线测量明细!J6:J7)</f>
        <v/>
      </c>
      <c r="K4">
        <f>AVERAGE(TVW线测量明细!J6:J7)</f>
        <v/>
      </c>
      <c r="L4">
        <f>MEDIAN(TVW线测量明细!J6:J7)</f>
        <v/>
      </c>
      <c r="M4">
        <f>IF(J4&gt;1,STDEV(TVW线测量明细!J6:J7),0)</f>
        <v/>
      </c>
      <c r="N4">
        <f>IF(K4=0,"",M4/K4*100)</f>
        <v/>
      </c>
      <c r="O4" t="n">
        <v>1.521739130434782</v>
      </c>
      <c r="P4">
        <f>IF(O4=0,"",(K4/O4-1)*100)</f>
        <v/>
      </c>
      <c r="Q4">
        <f>(K4/E4)^2</f>
        <v/>
      </c>
      <c r="R4">
        <f>(K4/H4)^2</f>
        <v/>
      </c>
      <c r="S4">
        <f>AVERAGE(Q4,R4)</f>
        <v/>
      </c>
      <c r="T4">
        <f>AVERAGE((O4/E4)^2,(O4/H4)^2)</f>
        <v/>
      </c>
      <c r="U4">
        <f>IF(T4=0,"",(S4/T4-1)*100)</f>
        <v/>
      </c>
      <c r="V4">
        <f>AVERAGE((L4/E4)^2,(L4/H4)^2)</f>
        <v/>
      </c>
      <c r="W4">
        <f>IF(ABS(E4-汇总!B25)&lt;=ABS(H4-汇总!B25),E4,H4)</f>
        <v/>
      </c>
      <c r="X4">
        <f>(K4/W4)^2</f>
        <v/>
      </c>
      <c r="Y4">
        <f>IF(N4&gt;10,"HIGH_TVW_CV",IF(J4&lt;3,"SHORT_INTERFACE","PASS"))</f>
        <v/>
      </c>
      <c r="Z4" t="inlineStr">
        <is>
          <t>Di1、TVW均值、Di2均来自本Pair_ID；TVW=3–5法线平均</t>
        </is>
      </c>
      <c r="AA4" t="inlineStr">
        <is>
          <t>样品41</t>
        </is>
      </c>
    </row>
    <row r="5">
      <c r="A5" t="inlineStr">
        <is>
          <t>41(7)-P01</t>
        </is>
      </c>
      <c r="B5" t="inlineStr">
        <is>
          <t>41 (7).tif</t>
        </is>
      </c>
      <c r="C5" t="inlineStr">
        <is>
          <t>41(7)-V02</t>
        </is>
      </c>
      <c r="D5">
        <f>导管母表_860!F28</f>
        <v/>
      </c>
      <c r="E5">
        <f>导管母表_860!G28</f>
        <v/>
      </c>
      <c r="F5" t="inlineStr">
        <is>
          <t>41(7)-V03</t>
        </is>
      </c>
      <c r="G5">
        <f>导管母表_860!F29</f>
        <v/>
      </c>
      <c r="H5">
        <f>导管母表_860!G29</f>
        <v/>
      </c>
      <c r="I5" t="inlineStr">
        <is>
          <t>J8:J8</t>
        </is>
      </c>
      <c r="J5">
        <f>COUNT(TVW线测量明细!J8:J8)</f>
        <v/>
      </c>
      <c r="K5">
        <f>AVERAGE(TVW线测量明细!J8:J8)</f>
        <v/>
      </c>
      <c r="L5">
        <f>MEDIAN(TVW线测量明细!J8:J8)</f>
        <v/>
      </c>
      <c r="M5">
        <f>IF(J5&gt;1,STDEV(TVW线测量明细!J8:J8),0)</f>
        <v/>
      </c>
      <c r="N5">
        <f>IF(K5=0,"",M5/K5*100)</f>
        <v/>
      </c>
      <c r="O5" t="n">
        <v>0</v>
      </c>
      <c r="P5">
        <f>IF(O5=0,"",(K5/O5-1)*100)</f>
        <v/>
      </c>
      <c r="Q5">
        <f>(K5/E5)^2</f>
        <v/>
      </c>
      <c r="R5">
        <f>(K5/H5)^2</f>
        <v/>
      </c>
      <c r="S5">
        <f>AVERAGE(Q5,R5)</f>
        <v/>
      </c>
      <c r="T5">
        <f>AVERAGE((O5/E5)^2,(O5/H5)^2)</f>
        <v/>
      </c>
      <c r="U5">
        <f>IF(T5=0,"",(S5/T5-1)*100)</f>
        <v/>
      </c>
      <c r="V5">
        <f>AVERAGE((L5/E5)^2,(L5/H5)^2)</f>
        <v/>
      </c>
      <c r="W5">
        <f>IF(ABS(E5-汇总!B25)&lt;=ABS(H5-汇总!B25),E5,H5)</f>
        <v/>
      </c>
      <c r="X5">
        <f>(K5/W5)^2</f>
        <v/>
      </c>
      <c r="Y5">
        <f>IF(N5&gt;10,"HIGH_TVW_CV",IF(J5&lt;3,"SHORT_INTERFACE","PASS"))</f>
        <v/>
      </c>
      <c r="Z5" t="inlineStr">
        <is>
          <t>Di1、TVW均值、Di2均来自本Pair_ID；TVW=3–5法线平均</t>
        </is>
      </c>
      <c r="AA5" t="inlineStr">
        <is>
          <t>样品41</t>
        </is>
      </c>
    </row>
    <row r="6">
      <c r="A6" t="inlineStr">
        <is>
          <t>42(1)-P01</t>
        </is>
      </c>
      <c r="B6" t="inlineStr">
        <is>
          <t>42 (1).tif</t>
        </is>
      </c>
      <c r="C6" t="inlineStr">
        <is>
          <t>42(1)-V01</t>
        </is>
      </c>
      <c r="D6">
        <f>导管母表_860!F31</f>
        <v/>
      </c>
      <c r="E6">
        <f>导管母表_860!G31</f>
        <v/>
      </c>
      <c r="F6" t="inlineStr">
        <is>
          <t>42(1)-V02</t>
        </is>
      </c>
      <c r="G6">
        <f>导管母表_860!F32</f>
        <v/>
      </c>
      <c r="H6">
        <f>导管母表_860!G32</f>
        <v/>
      </c>
      <c r="I6" t="inlineStr">
        <is>
          <t>J9:J11</t>
        </is>
      </c>
      <c r="J6">
        <f>COUNT(TVW线测量明细!J9:J11)</f>
        <v/>
      </c>
      <c r="K6">
        <f>AVERAGE(TVW线测量明细!J9:J11)</f>
        <v/>
      </c>
      <c r="L6">
        <f>MEDIAN(TVW线测量明细!J9:J11)</f>
        <v/>
      </c>
      <c r="M6">
        <f>IF(J6&gt;1,STDEV(TVW线测量明细!J9:J11),0)</f>
        <v/>
      </c>
      <c r="N6">
        <f>IF(K6=0,"",M6/K6*100)</f>
        <v/>
      </c>
      <c r="O6" t="n">
        <v>6.919056722973717</v>
      </c>
      <c r="P6">
        <f>IF(O6=0,"",(K6/O6-1)*100)</f>
        <v/>
      </c>
      <c r="Q6">
        <f>(K6/E6)^2</f>
        <v/>
      </c>
      <c r="R6">
        <f>(K6/H6)^2</f>
        <v/>
      </c>
      <c r="S6">
        <f>AVERAGE(Q6,R6)</f>
        <v/>
      </c>
      <c r="T6">
        <f>AVERAGE((O6/E6)^2,(O6/H6)^2)</f>
        <v/>
      </c>
      <c r="U6">
        <f>IF(T6=0,"",(S6/T6-1)*100)</f>
        <v/>
      </c>
      <c r="V6">
        <f>AVERAGE((L6/E6)^2,(L6/H6)^2)</f>
        <v/>
      </c>
      <c r="W6">
        <f>IF(ABS(E6-汇总!B25)&lt;=ABS(H6-汇总!B25),E6,H6)</f>
        <v/>
      </c>
      <c r="X6">
        <f>(K6/W6)^2</f>
        <v/>
      </c>
      <c r="Y6">
        <f>IF(N6&gt;10,"HIGH_TVW_CV",IF(J6&lt;3,"SHORT_INTERFACE","PASS"))</f>
        <v/>
      </c>
      <c r="Z6" t="inlineStr">
        <is>
          <t>Di1、TVW均值、Di2均来自本Pair_ID；TVW=3–5法线平均</t>
        </is>
      </c>
      <c r="AA6" t="inlineStr">
        <is>
          <t>样品42</t>
        </is>
      </c>
    </row>
    <row r="7">
      <c r="A7" t="inlineStr">
        <is>
          <t>42(2)-P01</t>
        </is>
      </c>
      <c r="B7" t="inlineStr">
        <is>
          <t>42 (2).tif</t>
        </is>
      </c>
      <c r="C7" t="inlineStr">
        <is>
          <t>42(2)-V03</t>
        </is>
      </c>
      <c r="D7">
        <f>导管母表_860!F40</f>
        <v/>
      </c>
      <c r="E7">
        <f>导管母表_860!G40</f>
        <v/>
      </c>
      <c r="F7" t="inlineStr">
        <is>
          <t>42(2)-V04</t>
        </is>
      </c>
      <c r="G7">
        <f>导管母表_860!F41</f>
        <v/>
      </c>
      <c r="H7">
        <f>导管母表_860!G41</f>
        <v/>
      </c>
      <c r="I7" t="inlineStr">
        <is>
          <t>J12:J13</t>
        </is>
      </c>
      <c r="J7">
        <f>COUNT(TVW线测量明细!J12:J13)</f>
        <v/>
      </c>
      <c r="K7">
        <f>AVERAGE(TVW线测量明细!J12:J13)</f>
        <v/>
      </c>
      <c r="L7">
        <f>MEDIAN(TVW线测量明细!J12:J13)</f>
        <v/>
      </c>
      <c r="M7">
        <f>IF(J7&gt;1,STDEV(TVW线测量明细!J12:J13),0)</f>
        <v/>
      </c>
      <c r="N7">
        <f>IF(K7=0,"",M7/K7*100)</f>
        <v/>
      </c>
      <c r="O7" t="n">
        <v>4.767763521622023</v>
      </c>
      <c r="P7">
        <f>IF(O7=0,"",(K7/O7-1)*100)</f>
        <v/>
      </c>
      <c r="Q7">
        <f>(K7/E7)^2</f>
        <v/>
      </c>
      <c r="R7">
        <f>(K7/H7)^2</f>
        <v/>
      </c>
      <c r="S7">
        <f>AVERAGE(Q7,R7)</f>
        <v/>
      </c>
      <c r="T7">
        <f>AVERAGE((O7/E7)^2,(O7/H7)^2)</f>
        <v/>
      </c>
      <c r="U7">
        <f>IF(T7=0,"",(S7/T7-1)*100)</f>
        <v/>
      </c>
      <c r="V7">
        <f>AVERAGE((L7/E7)^2,(L7/H7)^2)</f>
        <v/>
      </c>
      <c r="W7">
        <f>IF(ABS(E7-汇总!B25)&lt;=ABS(H7-汇总!B25),E7,H7)</f>
        <v/>
      </c>
      <c r="X7">
        <f>(K7/W7)^2</f>
        <v/>
      </c>
      <c r="Y7">
        <f>IF(N7&gt;10,"HIGH_TVW_CV",IF(J7&lt;3,"SHORT_INTERFACE","PASS"))</f>
        <v/>
      </c>
      <c r="Z7" t="inlineStr">
        <is>
          <t>Di1、TVW均值、Di2均来自本Pair_ID；TVW=3–5法线平均</t>
        </is>
      </c>
      <c r="AA7" t="inlineStr">
        <is>
          <t>样品42</t>
        </is>
      </c>
    </row>
    <row r="8">
      <c r="A8" t="inlineStr">
        <is>
          <t>42(3)-P01</t>
        </is>
      </c>
      <c r="B8" t="inlineStr">
        <is>
          <t>42 (3).tif</t>
        </is>
      </c>
      <c r="C8" t="inlineStr">
        <is>
          <t>42(3)-V01</t>
        </is>
      </c>
      <c r="D8">
        <f>导管母表_860!F43</f>
        <v/>
      </c>
      <c r="E8">
        <f>导管母表_860!G43</f>
        <v/>
      </c>
      <c r="F8" t="inlineStr">
        <is>
          <t>42(3)-V02</t>
        </is>
      </c>
      <c r="G8">
        <f>导管母表_860!F44</f>
        <v/>
      </c>
      <c r="H8">
        <f>导管母表_860!G44</f>
        <v/>
      </c>
      <c r="I8" t="inlineStr">
        <is>
          <t>J14:J15</t>
        </is>
      </c>
      <c r="J8">
        <f>COUNT(TVW线测量明细!J14:J15)</f>
        <v/>
      </c>
      <c r="K8">
        <f>AVERAGE(TVW线测量明细!J14:J15)</f>
        <v/>
      </c>
      <c r="L8">
        <f>MEDIAN(TVW线测量明细!J14:J15)</f>
        <v/>
      </c>
      <c r="M8">
        <f>IF(J8&gt;1,STDEV(TVW线测量明细!J14:J15),0)</f>
        <v/>
      </c>
      <c r="N8">
        <f>IF(K8=0,"",M8/K8*100)</f>
        <v/>
      </c>
      <c r="O8" t="n">
        <v>5.130619009219977</v>
      </c>
      <c r="P8">
        <f>IF(O8=0,"",(K8/O8-1)*100)</f>
        <v/>
      </c>
      <c r="Q8">
        <f>(K8/E8)^2</f>
        <v/>
      </c>
      <c r="R8">
        <f>(K8/H8)^2</f>
        <v/>
      </c>
      <c r="S8">
        <f>AVERAGE(Q8,R8)</f>
        <v/>
      </c>
      <c r="T8">
        <f>AVERAGE((O8/E8)^2,(O8/H8)^2)</f>
        <v/>
      </c>
      <c r="U8">
        <f>IF(T8=0,"",(S8/T8-1)*100)</f>
        <v/>
      </c>
      <c r="V8">
        <f>AVERAGE((L8/E8)^2,(L8/H8)^2)</f>
        <v/>
      </c>
      <c r="W8">
        <f>IF(ABS(E8-汇总!B25)&lt;=ABS(H8-汇总!B25),E8,H8)</f>
        <v/>
      </c>
      <c r="X8">
        <f>(K8/W8)^2</f>
        <v/>
      </c>
      <c r="Y8">
        <f>IF(N8&gt;10,"HIGH_TVW_CV",IF(J8&lt;3,"SHORT_INTERFACE","PASS"))</f>
        <v/>
      </c>
      <c r="Z8" t="inlineStr">
        <is>
          <t>Di1、TVW均值、Di2均来自本Pair_ID；TVW=3–5法线平均</t>
        </is>
      </c>
      <c r="AA8" t="inlineStr">
        <is>
          <t>样品42</t>
        </is>
      </c>
    </row>
    <row r="9">
      <c r="A9" t="inlineStr">
        <is>
          <t>42(5)-P01</t>
        </is>
      </c>
      <c r="B9" t="inlineStr">
        <is>
          <t>42 (5).tif</t>
        </is>
      </c>
      <c r="C9" t="inlineStr">
        <is>
          <t>42(5)-V01</t>
        </is>
      </c>
      <c r="D9">
        <f>导管母表_860!F49</f>
        <v/>
      </c>
      <c r="E9">
        <f>导管母表_860!G49</f>
        <v/>
      </c>
      <c r="F9" t="inlineStr">
        <is>
          <t>42(5)-V03</t>
        </is>
      </c>
      <c r="G9">
        <f>导管母表_860!F51</f>
        <v/>
      </c>
      <c r="H9">
        <f>导管母表_860!G51</f>
        <v/>
      </c>
      <c r="I9" t="inlineStr">
        <is>
          <t>J16:J17</t>
        </is>
      </c>
      <c r="J9">
        <f>COUNT(TVW线测量明细!J16:J17)</f>
        <v/>
      </c>
      <c r="K9">
        <f>AVERAGE(TVW线测量明细!J16:J17)</f>
        <v/>
      </c>
      <c r="L9">
        <f>MEDIAN(TVW线测量明细!J16:J17)</f>
        <v/>
      </c>
      <c r="M9">
        <f>IF(J9&gt;1,STDEV(TVW线测量明细!J16:J17),0)</f>
        <v/>
      </c>
      <c r="N9">
        <f>IF(K9=0,"",M9/K9*100)</f>
        <v/>
      </c>
      <c r="O9" t="n">
        <v>8.168823577415624</v>
      </c>
      <c r="P9">
        <f>IF(O9=0,"",(K9/O9-1)*100)</f>
        <v/>
      </c>
      <c r="Q9">
        <f>(K9/E9)^2</f>
        <v/>
      </c>
      <c r="R9">
        <f>(K9/H9)^2</f>
        <v/>
      </c>
      <c r="S9">
        <f>AVERAGE(Q9,R9)</f>
        <v/>
      </c>
      <c r="T9">
        <f>AVERAGE((O9/E9)^2,(O9/H9)^2)</f>
        <v/>
      </c>
      <c r="U9">
        <f>IF(T9=0,"",(S9/T9-1)*100)</f>
        <v/>
      </c>
      <c r="V9">
        <f>AVERAGE((L9/E9)^2,(L9/H9)^2)</f>
        <v/>
      </c>
      <c r="W9">
        <f>IF(ABS(E9-汇总!B25)&lt;=ABS(H9-汇总!B25),E9,H9)</f>
        <v/>
      </c>
      <c r="X9">
        <f>(K9/W9)^2</f>
        <v/>
      </c>
      <c r="Y9">
        <f>IF(N9&gt;10,"HIGH_TVW_CV",IF(J9&lt;3,"SHORT_INTERFACE","PASS"))</f>
        <v/>
      </c>
      <c r="Z9" t="inlineStr">
        <is>
          <t>Di1、TVW均值、Di2均来自本Pair_ID；TVW=3–5法线平均</t>
        </is>
      </c>
      <c r="AA9" t="inlineStr">
        <is>
          <t>样品42</t>
        </is>
      </c>
    </row>
    <row r="10">
      <c r="A10" t="inlineStr">
        <is>
          <t>42(6)-P01</t>
        </is>
      </c>
      <c r="B10" t="inlineStr">
        <is>
          <t>42 (6).tif</t>
        </is>
      </c>
      <c r="C10" t="inlineStr">
        <is>
          <t>42(6)-V01</t>
        </is>
      </c>
      <c r="D10">
        <f>导管母表_860!F53</f>
        <v/>
      </c>
      <c r="E10">
        <f>导管母表_860!G53</f>
        <v/>
      </c>
      <c r="F10" t="inlineStr">
        <is>
          <t>42(6)-V03</t>
        </is>
      </c>
      <c r="G10">
        <f>导管母表_860!F55</f>
        <v/>
      </c>
      <c r="H10">
        <f>导管母表_860!G55</f>
        <v/>
      </c>
      <c r="I10" t="inlineStr">
        <is>
          <t>J18:J19</t>
        </is>
      </c>
      <c r="J10">
        <f>COUNT(TVW线测量明细!J18:J19)</f>
        <v/>
      </c>
      <c r="K10">
        <f>AVERAGE(TVW线测量明细!J18:J19)</f>
        <v/>
      </c>
      <c r="L10">
        <f>MEDIAN(TVW线测量明细!J18:J19)</f>
        <v/>
      </c>
      <c r="M10">
        <f>IF(J10&gt;1,STDEV(TVW线测量明细!J18:J19),0)</f>
        <v/>
      </c>
      <c r="N10">
        <f>IF(K10=0,"",M10/K10*100)</f>
        <v/>
      </c>
      <c r="O10" t="n">
        <v>5.167332314784658</v>
      </c>
      <c r="P10">
        <f>IF(O10=0,"",(K10/O10-1)*100)</f>
        <v/>
      </c>
      <c r="Q10">
        <f>(K10/E10)^2</f>
        <v/>
      </c>
      <c r="R10">
        <f>(K10/H10)^2</f>
        <v/>
      </c>
      <c r="S10">
        <f>AVERAGE(Q10,R10)</f>
        <v/>
      </c>
      <c r="T10">
        <f>AVERAGE((O10/E10)^2,(O10/H10)^2)</f>
        <v/>
      </c>
      <c r="U10">
        <f>IF(T10=0,"",(S10/T10-1)*100)</f>
        <v/>
      </c>
      <c r="V10">
        <f>AVERAGE((L10/E10)^2,(L10/H10)^2)</f>
        <v/>
      </c>
      <c r="W10">
        <f>IF(ABS(E10-汇总!B25)&lt;=ABS(H10-汇总!B25),E10,H10)</f>
        <v/>
      </c>
      <c r="X10">
        <f>(K10/W10)^2</f>
        <v/>
      </c>
      <c r="Y10">
        <f>IF(N10&gt;10,"HIGH_TVW_CV",IF(J10&lt;3,"SHORT_INTERFACE","PASS"))</f>
        <v/>
      </c>
      <c r="Z10" t="inlineStr">
        <is>
          <t>Di1、TVW均值、Di2均来自本Pair_ID；TVW=3–5法线平均</t>
        </is>
      </c>
      <c r="AA10" t="inlineStr">
        <is>
          <t>样品42</t>
        </is>
      </c>
    </row>
    <row r="11">
      <c r="A11" t="inlineStr">
        <is>
          <t>42(7)-P01</t>
        </is>
      </c>
      <c r="B11" t="inlineStr">
        <is>
          <t>42 (7).tif</t>
        </is>
      </c>
      <c r="C11" t="inlineStr">
        <is>
          <t>42(7)-V01</t>
        </is>
      </c>
      <c r="D11">
        <f>导管母表_860!F58</f>
        <v/>
      </c>
      <c r="E11">
        <f>导管母表_860!G58</f>
        <v/>
      </c>
      <c r="F11" t="inlineStr">
        <is>
          <t>42(7)-V02</t>
        </is>
      </c>
      <c r="G11">
        <f>导管母表_860!F59</f>
        <v/>
      </c>
      <c r="H11">
        <f>导管母表_860!G59</f>
        <v/>
      </c>
      <c r="I11" t="inlineStr">
        <is>
          <t>J20:J20</t>
        </is>
      </c>
      <c r="J11">
        <f>COUNT(TVW线测量明细!J20:J20)</f>
        <v/>
      </c>
      <c r="K11">
        <f>AVERAGE(TVW线测量明细!J20:J20)</f>
        <v/>
      </c>
      <c r="L11">
        <f>MEDIAN(TVW线测量明细!J20:J20)</f>
        <v/>
      </c>
      <c r="M11">
        <f>IF(J11&gt;1,STDEV(TVW线测量明细!J20:J20),0)</f>
        <v/>
      </c>
      <c r="N11">
        <f>IF(K11=0,"",M11/K11*100)</f>
        <v/>
      </c>
      <c r="O11" t="n">
        <v>4.481636549584413</v>
      </c>
      <c r="P11">
        <f>IF(O11=0,"",(K11/O11-1)*100)</f>
        <v/>
      </c>
      <c r="Q11">
        <f>(K11/E11)^2</f>
        <v/>
      </c>
      <c r="R11">
        <f>(K11/H11)^2</f>
        <v/>
      </c>
      <c r="S11">
        <f>AVERAGE(Q11,R11)</f>
        <v/>
      </c>
      <c r="T11">
        <f>AVERAGE((O11/E11)^2,(O11/H11)^2)</f>
        <v/>
      </c>
      <c r="U11">
        <f>IF(T11=0,"",(S11/T11-1)*100)</f>
        <v/>
      </c>
      <c r="V11">
        <f>AVERAGE((L11/E11)^2,(L11/H11)^2)</f>
        <v/>
      </c>
      <c r="W11">
        <f>IF(ABS(E11-汇总!B25)&lt;=ABS(H11-汇总!B25),E11,H11)</f>
        <v/>
      </c>
      <c r="X11">
        <f>(K11/W11)^2</f>
        <v/>
      </c>
      <c r="Y11">
        <f>IF(N11&gt;10,"HIGH_TVW_CV",IF(J11&lt;3,"SHORT_INTERFACE","PASS"))</f>
        <v/>
      </c>
      <c r="Z11" t="inlineStr">
        <is>
          <t>Di1、TVW均值、Di2均来自本Pair_ID；TVW=3–5法线平均</t>
        </is>
      </c>
      <c r="AA11" t="inlineStr">
        <is>
          <t>样品42</t>
        </is>
      </c>
    </row>
    <row r="12">
      <c r="A12" t="inlineStr">
        <is>
          <t>42(8)-P01</t>
        </is>
      </c>
      <c r="B12" t="inlineStr">
        <is>
          <t>42 (8).tif</t>
        </is>
      </c>
      <c r="C12" t="inlineStr">
        <is>
          <t>42(8)-V02</t>
        </is>
      </c>
      <c r="D12">
        <f>导管母表_860!F62</f>
        <v/>
      </c>
      <c r="E12">
        <f>导管母表_860!G62</f>
        <v/>
      </c>
      <c r="F12" t="inlineStr">
        <is>
          <t>42(8)-V03</t>
        </is>
      </c>
      <c r="G12">
        <f>导管母表_860!F63</f>
        <v/>
      </c>
      <c r="H12">
        <f>导管母表_860!G63</f>
        <v/>
      </c>
      <c r="I12" t="inlineStr">
        <is>
          <t>J21:J21</t>
        </is>
      </c>
      <c r="J12">
        <f>COUNT(TVW线测量明细!J21:J21)</f>
        <v/>
      </c>
      <c r="K12">
        <f>AVERAGE(TVW线测量明细!J21:J21)</f>
        <v/>
      </c>
      <c r="L12">
        <f>MEDIAN(TVW线测量明细!J21:J21)</f>
        <v/>
      </c>
      <c r="M12">
        <f>IF(J12&gt;1,STDEV(TVW线测量明细!J21:J21),0)</f>
        <v/>
      </c>
      <c r="N12">
        <f>IF(K12=0,"",M12/K12*100)</f>
        <v/>
      </c>
      <c r="O12" t="n">
        <v>2.644679360999226</v>
      </c>
      <c r="P12">
        <f>IF(O12=0,"",(K12/O12-1)*100)</f>
        <v/>
      </c>
      <c r="Q12">
        <f>(K12/E12)^2</f>
        <v/>
      </c>
      <c r="R12">
        <f>(K12/H12)^2</f>
        <v/>
      </c>
      <c r="S12">
        <f>AVERAGE(Q12,R12)</f>
        <v/>
      </c>
      <c r="T12">
        <f>AVERAGE((O12/E12)^2,(O12/H12)^2)</f>
        <v/>
      </c>
      <c r="U12">
        <f>IF(T12=0,"",(S12/T12-1)*100)</f>
        <v/>
      </c>
      <c r="V12">
        <f>AVERAGE((L12/E12)^2,(L12/H12)^2)</f>
        <v/>
      </c>
      <c r="W12">
        <f>IF(ABS(E12-汇总!B25)&lt;=ABS(H12-汇总!B25),E12,H12)</f>
        <v/>
      </c>
      <c r="X12">
        <f>(K12/W12)^2</f>
        <v/>
      </c>
      <c r="Y12">
        <f>IF(N12&gt;10,"HIGH_TVW_CV",IF(J12&lt;3,"SHORT_INTERFACE","PASS"))</f>
        <v/>
      </c>
      <c r="Z12" t="inlineStr">
        <is>
          <t>Di1、TVW均值、Di2均来自本Pair_ID；TVW=3–5法线平均</t>
        </is>
      </c>
      <c r="AA12" t="inlineStr">
        <is>
          <t>样品42</t>
        </is>
      </c>
    </row>
    <row r="13">
      <c r="A13" t="inlineStr">
        <is>
          <t>43(3)-P01</t>
        </is>
      </c>
      <c r="B13" t="inlineStr">
        <is>
          <t>43 (3).tif</t>
        </is>
      </c>
      <c r="C13" t="inlineStr">
        <is>
          <t>43(3)-V01</t>
        </is>
      </c>
      <c r="D13">
        <f>导管母表_860!F70</f>
        <v/>
      </c>
      <c r="E13">
        <f>导管母表_860!G70</f>
        <v/>
      </c>
      <c r="F13" t="inlineStr">
        <is>
          <t>43(3)-V02</t>
        </is>
      </c>
      <c r="G13">
        <f>导管母表_860!F71</f>
        <v/>
      </c>
      <c r="H13">
        <f>导管母表_860!G71</f>
        <v/>
      </c>
      <c r="I13" t="inlineStr">
        <is>
          <t>J22:J22</t>
        </is>
      </c>
      <c r="J13">
        <f>COUNT(TVW线测量明细!J22:J22)</f>
        <v/>
      </c>
      <c r="K13">
        <f>AVERAGE(TVW线测量明细!J22:J22)</f>
        <v/>
      </c>
      <c r="L13">
        <f>MEDIAN(TVW线测量明细!J22:J22)</f>
        <v/>
      </c>
      <c r="M13">
        <f>IF(J13&gt;1,STDEV(TVW线测量明细!J22:J22),0)</f>
        <v/>
      </c>
      <c r="N13">
        <f>IF(K13=0,"",M13/K13*100)</f>
        <v/>
      </c>
      <c r="O13" t="n">
        <v>5.377963859501296</v>
      </c>
      <c r="P13">
        <f>IF(O13=0,"",(K13/O13-1)*100)</f>
        <v/>
      </c>
      <c r="Q13">
        <f>(K13/E13)^2</f>
        <v/>
      </c>
      <c r="R13">
        <f>(K13/H13)^2</f>
        <v/>
      </c>
      <c r="S13">
        <f>AVERAGE(Q13,R13)</f>
        <v/>
      </c>
      <c r="T13">
        <f>AVERAGE((O13/E13)^2,(O13/H13)^2)</f>
        <v/>
      </c>
      <c r="U13">
        <f>IF(T13=0,"",(S13/T13-1)*100)</f>
        <v/>
      </c>
      <c r="V13">
        <f>AVERAGE((L13/E13)^2,(L13/H13)^2)</f>
        <v/>
      </c>
      <c r="W13">
        <f>IF(ABS(E13-汇总!B25)&lt;=ABS(H13-汇总!B25),E13,H13)</f>
        <v/>
      </c>
      <c r="X13">
        <f>(K13/W13)^2</f>
        <v/>
      </c>
      <c r="Y13">
        <f>IF(N13&gt;10,"HIGH_TVW_CV",IF(J13&lt;3,"SHORT_INTERFACE","PASS"))</f>
        <v/>
      </c>
      <c r="Z13" t="inlineStr">
        <is>
          <t>Di1、TVW均值、Di2均来自本Pair_ID；TVW=3–5法线平均</t>
        </is>
      </c>
      <c r="AA13" t="inlineStr">
        <is>
          <t>样品43</t>
        </is>
      </c>
    </row>
    <row r="14">
      <c r="A14" t="inlineStr">
        <is>
          <t>43(4)-P01</t>
        </is>
      </c>
      <c r="B14" t="inlineStr">
        <is>
          <t>43 (4).tif</t>
        </is>
      </c>
      <c r="C14" t="inlineStr">
        <is>
          <t>43(4)-V02</t>
        </is>
      </c>
      <c r="D14">
        <f>导管母表_860!F75</f>
        <v/>
      </c>
      <c r="E14">
        <f>导管母表_860!G75</f>
        <v/>
      </c>
      <c r="F14" t="inlineStr">
        <is>
          <t>43(4)-V03</t>
        </is>
      </c>
      <c r="G14">
        <f>导管母表_860!F76</f>
        <v/>
      </c>
      <c r="H14">
        <f>导管母表_860!G76</f>
        <v/>
      </c>
      <c r="I14" t="inlineStr">
        <is>
          <t>J23:J24</t>
        </is>
      </c>
      <c r="J14">
        <f>COUNT(TVW线测量明细!J23:J24)</f>
        <v/>
      </c>
      <c r="K14">
        <f>AVERAGE(TVW线测量明细!J23:J24)</f>
        <v/>
      </c>
      <c r="L14">
        <f>MEDIAN(TVW线测量明细!J23:J24)</f>
        <v/>
      </c>
      <c r="M14">
        <f>IF(J14&gt;1,STDEV(TVW线测量明细!J23:J24),0)</f>
        <v/>
      </c>
      <c r="N14">
        <f>IF(K14=0,"",M14/K14*100)</f>
        <v/>
      </c>
      <c r="O14" t="n">
        <v>3.888813873912678</v>
      </c>
      <c r="P14">
        <f>IF(O14=0,"",(K14/O14-1)*100)</f>
        <v/>
      </c>
      <c r="Q14">
        <f>(K14/E14)^2</f>
        <v/>
      </c>
      <c r="R14">
        <f>(K14/H14)^2</f>
        <v/>
      </c>
      <c r="S14">
        <f>AVERAGE(Q14,R14)</f>
        <v/>
      </c>
      <c r="T14">
        <f>AVERAGE((O14/E14)^2,(O14/H14)^2)</f>
        <v/>
      </c>
      <c r="U14">
        <f>IF(T14=0,"",(S14/T14-1)*100)</f>
        <v/>
      </c>
      <c r="V14">
        <f>AVERAGE((L14/E14)^2,(L14/H14)^2)</f>
        <v/>
      </c>
      <c r="W14">
        <f>IF(ABS(E14-汇总!B25)&lt;=ABS(H14-汇总!B25),E14,H14)</f>
        <v/>
      </c>
      <c r="X14">
        <f>(K14/W14)^2</f>
        <v/>
      </c>
      <c r="Y14">
        <f>IF(N14&gt;10,"HIGH_TVW_CV",IF(J14&lt;3,"SHORT_INTERFACE","PASS"))</f>
        <v/>
      </c>
      <c r="Z14" t="inlineStr">
        <is>
          <t>Di1、TVW均值、Di2均来自本Pair_ID；TVW=3–5法线平均</t>
        </is>
      </c>
      <c r="AA14" t="inlineStr">
        <is>
          <t>样品43</t>
        </is>
      </c>
    </row>
    <row r="15">
      <c r="A15" t="inlineStr">
        <is>
          <t>43(5)-P01</t>
        </is>
      </c>
      <c r="B15" t="inlineStr">
        <is>
          <t>43 (5).tif</t>
        </is>
      </c>
      <c r="C15" t="inlineStr">
        <is>
          <t>43(5)-V01</t>
        </is>
      </c>
      <c r="D15">
        <f>导管母表_860!F78</f>
        <v/>
      </c>
      <c r="E15">
        <f>导管母表_860!G78</f>
        <v/>
      </c>
      <c r="F15" t="inlineStr">
        <is>
          <t>43(5)-V02</t>
        </is>
      </c>
      <c r="G15">
        <f>导管母表_860!F79</f>
        <v/>
      </c>
      <c r="H15">
        <f>导管母表_860!G79</f>
        <v/>
      </c>
      <c r="I15" t="inlineStr">
        <is>
          <t>J25:J25</t>
        </is>
      </c>
      <c r="J15">
        <f>COUNT(TVW线测量明细!J25:J25)</f>
        <v/>
      </c>
      <c r="K15">
        <f>AVERAGE(TVW线测量明细!J25:J25)</f>
        <v/>
      </c>
      <c r="L15">
        <f>MEDIAN(TVW线测量明细!J25:J25)</f>
        <v/>
      </c>
      <c r="M15">
        <f>IF(J15&gt;1,STDEV(TVW线测量明细!J25:J25),0)</f>
        <v/>
      </c>
      <c r="N15">
        <f>IF(K15=0,"",M15/K15*100)</f>
        <v/>
      </c>
      <c r="O15" t="n">
        <v>3.796575912298473</v>
      </c>
      <c r="P15">
        <f>IF(O15=0,"",(K15/O15-1)*100)</f>
        <v/>
      </c>
      <c r="Q15">
        <f>(K15/E15)^2</f>
        <v/>
      </c>
      <c r="R15">
        <f>(K15/H15)^2</f>
        <v/>
      </c>
      <c r="S15">
        <f>AVERAGE(Q15,R15)</f>
        <v/>
      </c>
      <c r="T15">
        <f>AVERAGE((O15/E15)^2,(O15/H15)^2)</f>
        <v/>
      </c>
      <c r="U15">
        <f>IF(T15=0,"",(S15/T15-1)*100)</f>
        <v/>
      </c>
      <c r="V15">
        <f>AVERAGE((L15/E15)^2,(L15/H15)^2)</f>
        <v/>
      </c>
      <c r="W15">
        <f>IF(ABS(E15-汇总!B25)&lt;=ABS(H15-汇总!B25),E15,H15)</f>
        <v/>
      </c>
      <c r="X15">
        <f>(K15/W15)^2</f>
        <v/>
      </c>
      <c r="Y15">
        <f>IF(N15&gt;10,"HIGH_TVW_CV",IF(J15&lt;3,"SHORT_INTERFACE","PASS"))</f>
        <v/>
      </c>
      <c r="Z15" t="inlineStr">
        <is>
          <t>Di1、TVW均值、Di2均来自本Pair_ID；TVW=3–5法线平均</t>
        </is>
      </c>
      <c r="AA15" t="inlineStr">
        <is>
          <t>样品43</t>
        </is>
      </c>
    </row>
    <row r="16">
      <c r="A16" t="inlineStr">
        <is>
          <t>44(1)-P01</t>
        </is>
      </c>
      <c r="B16" t="inlineStr">
        <is>
          <t>44 (1).tif</t>
        </is>
      </c>
      <c r="C16" t="inlineStr">
        <is>
          <t>44(1)-V03</t>
        </is>
      </c>
      <c r="D16">
        <f>导管母表_860!F90</f>
        <v/>
      </c>
      <c r="E16">
        <f>导管母表_860!G90</f>
        <v/>
      </c>
      <c r="F16" t="inlineStr">
        <is>
          <t>44(1)-V06</t>
        </is>
      </c>
      <c r="G16">
        <f>导管母表_860!F93</f>
        <v/>
      </c>
      <c r="H16">
        <f>导管母表_860!G93</f>
        <v/>
      </c>
      <c r="I16" t="inlineStr">
        <is>
          <t>J26:J26</t>
        </is>
      </c>
      <c r="J16">
        <f>COUNT(TVW线测量明细!J26:J26)</f>
        <v/>
      </c>
      <c r="K16">
        <f>AVERAGE(TVW线测量明细!J26:J26)</f>
        <v/>
      </c>
      <c r="L16">
        <f>MEDIAN(TVW线测量明细!J26:J26)</f>
        <v/>
      </c>
      <c r="M16">
        <f>IF(J16&gt;1,STDEV(TVW线测量明细!J26:J26),0)</f>
        <v/>
      </c>
      <c r="N16">
        <f>IF(K16=0,"",M16/K16*100)</f>
        <v/>
      </c>
      <c r="O16" t="n">
        <v>1.08695652173913</v>
      </c>
      <c r="P16">
        <f>IF(O16=0,"",(K16/O16-1)*100)</f>
        <v/>
      </c>
      <c r="Q16">
        <f>(K16/E16)^2</f>
        <v/>
      </c>
      <c r="R16">
        <f>(K16/H16)^2</f>
        <v/>
      </c>
      <c r="S16">
        <f>AVERAGE(Q16,R16)</f>
        <v/>
      </c>
      <c r="T16">
        <f>AVERAGE((O16/E16)^2,(O16/H16)^2)</f>
        <v/>
      </c>
      <c r="U16">
        <f>IF(T16=0,"",(S16/T16-1)*100)</f>
        <v/>
      </c>
      <c r="V16">
        <f>AVERAGE((L16/E16)^2,(L16/H16)^2)</f>
        <v/>
      </c>
      <c r="W16">
        <f>IF(ABS(E16-汇总!B25)&lt;=ABS(H16-汇总!B25),E16,H16)</f>
        <v/>
      </c>
      <c r="X16">
        <f>(K16/W16)^2</f>
        <v/>
      </c>
      <c r="Y16">
        <f>IF(N16&gt;10,"HIGH_TVW_CV",IF(J16&lt;3,"SHORT_INTERFACE","PASS"))</f>
        <v/>
      </c>
      <c r="Z16" t="inlineStr">
        <is>
          <t>Di1、TVW均值、Di2均来自本Pair_ID；TVW=3–5法线平均</t>
        </is>
      </c>
      <c r="AA16" t="inlineStr">
        <is>
          <t>样品44</t>
        </is>
      </c>
    </row>
    <row r="17">
      <c r="A17" t="inlineStr">
        <is>
          <t>44(2)-P01</t>
        </is>
      </c>
      <c r="B17" t="inlineStr">
        <is>
          <t>44 (2).tif</t>
        </is>
      </c>
      <c r="C17" t="inlineStr">
        <is>
          <t>44(2)-V01</t>
        </is>
      </c>
      <c r="D17">
        <f>导管母表_860!F94</f>
        <v/>
      </c>
      <c r="E17">
        <f>导管母表_860!G94</f>
        <v/>
      </c>
      <c r="F17" t="inlineStr">
        <is>
          <t>44(2)-V02</t>
        </is>
      </c>
      <c r="G17">
        <f>导管母表_860!F95</f>
        <v/>
      </c>
      <c r="H17">
        <f>导管母表_860!G95</f>
        <v/>
      </c>
      <c r="I17" t="inlineStr">
        <is>
          <t>J27:J28</t>
        </is>
      </c>
      <c r="J17">
        <f>COUNT(TVW线测量明细!J27:J28)</f>
        <v/>
      </c>
      <c r="K17">
        <f>AVERAGE(TVW线测量明细!J27:J28)</f>
        <v/>
      </c>
      <c r="L17">
        <f>MEDIAN(TVW线测量明细!J27:J28)</f>
        <v/>
      </c>
      <c r="M17">
        <f>IF(J17&gt;1,STDEV(TVW线测量明细!J27:J28),0)</f>
        <v/>
      </c>
      <c r="N17">
        <f>IF(K17=0,"",M17/K17*100)</f>
        <v/>
      </c>
      <c r="O17" t="n">
        <v>4.570390443832313</v>
      </c>
      <c r="P17">
        <f>IF(O17=0,"",(K17/O17-1)*100)</f>
        <v/>
      </c>
      <c r="Q17">
        <f>(K17/E17)^2</f>
        <v/>
      </c>
      <c r="R17">
        <f>(K17/H17)^2</f>
        <v/>
      </c>
      <c r="S17">
        <f>AVERAGE(Q17,R17)</f>
        <v/>
      </c>
      <c r="T17">
        <f>AVERAGE((O17/E17)^2,(O17/H17)^2)</f>
        <v/>
      </c>
      <c r="U17">
        <f>IF(T17=0,"",(S17/T17-1)*100)</f>
        <v/>
      </c>
      <c r="V17">
        <f>AVERAGE((L17/E17)^2,(L17/H17)^2)</f>
        <v/>
      </c>
      <c r="W17">
        <f>IF(ABS(E17-汇总!B25)&lt;=ABS(H17-汇总!B25),E17,H17)</f>
        <v/>
      </c>
      <c r="X17">
        <f>(K17/W17)^2</f>
        <v/>
      </c>
      <c r="Y17">
        <f>IF(N17&gt;10,"HIGH_TVW_CV",IF(J17&lt;3,"SHORT_INTERFACE","PASS"))</f>
        <v/>
      </c>
      <c r="Z17" t="inlineStr">
        <is>
          <t>Di1、TVW均值、Di2均来自本Pair_ID；TVW=3–5法线平均</t>
        </is>
      </c>
      <c r="AA17" t="inlineStr">
        <is>
          <t>样品44</t>
        </is>
      </c>
    </row>
    <row r="18">
      <c r="A18" t="inlineStr">
        <is>
          <t>44(3)-P01</t>
        </is>
      </c>
      <c r="B18" t="inlineStr">
        <is>
          <t>44 (3).tif</t>
        </is>
      </c>
      <c r="C18" t="inlineStr">
        <is>
          <t>44(3)-V02</t>
        </is>
      </c>
      <c r="D18">
        <f>导管母表_860!F98</f>
        <v/>
      </c>
      <c r="E18">
        <f>导管母表_860!G98</f>
        <v/>
      </c>
      <c r="F18" t="inlineStr">
        <is>
          <t>44(3)-V03</t>
        </is>
      </c>
      <c r="G18">
        <f>导管母表_860!F99</f>
        <v/>
      </c>
      <c r="H18">
        <f>导管母表_860!G99</f>
        <v/>
      </c>
      <c r="I18" t="inlineStr">
        <is>
          <t>J29:J29</t>
        </is>
      </c>
      <c r="J18">
        <f>COUNT(TVW线测量明细!J29:J29)</f>
        <v/>
      </c>
      <c r="K18">
        <f>AVERAGE(TVW线测量明细!J29:J29)</f>
        <v/>
      </c>
      <c r="L18">
        <f>MEDIAN(TVW线测量明细!J29:J29)</f>
        <v/>
      </c>
      <c r="M18">
        <f>IF(J18&gt;1,STDEV(TVW线测量明细!J29:J29),0)</f>
        <v/>
      </c>
      <c r="N18">
        <f>IF(K18=0,"",M18/K18*100)</f>
        <v/>
      </c>
      <c r="O18" t="n">
        <v>6.539829981083184</v>
      </c>
      <c r="P18">
        <f>IF(O18=0,"",(K18/O18-1)*100)</f>
        <v/>
      </c>
      <c r="Q18">
        <f>(K18/E18)^2</f>
        <v/>
      </c>
      <c r="R18">
        <f>(K18/H18)^2</f>
        <v/>
      </c>
      <c r="S18">
        <f>AVERAGE(Q18,R18)</f>
        <v/>
      </c>
      <c r="T18">
        <f>AVERAGE((O18/E18)^2,(O18/H18)^2)</f>
        <v/>
      </c>
      <c r="U18">
        <f>IF(T18=0,"",(S18/T18-1)*100)</f>
        <v/>
      </c>
      <c r="V18">
        <f>AVERAGE((L18/E18)^2,(L18/H18)^2)</f>
        <v/>
      </c>
      <c r="W18">
        <f>IF(ABS(E18-汇总!B25)&lt;=ABS(H18-汇总!B25),E18,H18)</f>
        <v/>
      </c>
      <c r="X18">
        <f>(K18/W18)^2</f>
        <v/>
      </c>
      <c r="Y18">
        <f>IF(N18&gt;10,"HIGH_TVW_CV",IF(J18&lt;3,"SHORT_INTERFACE","PASS"))</f>
        <v/>
      </c>
      <c r="Z18" t="inlineStr">
        <is>
          <t>Di1、TVW均值、Di2均来自本Pair_ID；TVW=3–5法线平均</t>
        </is>
      </c>
      <c r="AA18" t="inlineStr">
        <is>
          <t>样品44</t>
        </is>
      </c>
    </row>
    <row r="19">
      <c r="A19" t="inlineStr">
        <is>
          <t>44(4)-P01</t>
        </is>
      </c>
      <c r="B19" t="inlineStr">
        <is>
          <t>44 (4).tif</t>
        </is>
      </c>
      <c r="C19" t="inlineStr">
        <is>
          <t>44(4)-V02</t>
        </is>
      </c>
      <c r="D19">
        <f>导管母表_860!F101</f>
        <v/>
      </c>
      <c r="E19">
        <f>导管母表_860!G101</f>
        <v/>
      </c>
      <c r="F19" t="inlineStr">
        <is>
          <t>44(4)-V05</t>
        </is>
      </c>
      <c r="G19">
        <f>导管母表_860!F104</f>
        <v/>
      </c>
      <c r="H19">
        <f>导管母表_860!G104</f>
        <v/>
      </c>
      <c r="I19" t="inlineStr">
        <is>
          <t>J30:J30</t>
        </is>
      </c>
      <c r="J19">
        <f>COUNT(TVW线测量明细!J30:J30)</f>
        <v/>
      </c>
      <c r="K19">
        <f>AVERAGE(TVW线测量明细!J30:J30)</f>
        <v/>
      </c>
      <c r="L19">
        <f>MEDIAN(TVW线测量明细!J30:J30)</f>
        <v/>
      </c>
      <c r="M19">
        <f>IF(J19&gt;1,STDEV(TVW线测量明细!J30:J30),0)</f>
        <v/>
      </c>
      <c r="N19">
        <f>IF(K19=0,"",M19/K19*100)</f>
        <v/>
      </c>
      <c r="O19" t="n">
        <v>0.7838154946660846</v>
      </c>
      <c r="P19">
        <f>IF(O19=0,"",(K19/O19-1)*100)</f>
        <v/>
      </c>
      <c r="Q19">
        <f>(K19/E19)^2</f>
        <v/>
      </c>
      <c r="R19">
        <f>(K19/H19)^2</f>
        <v/>
      </c>
      <c r="S19">
        <f>AVERAGE(Q19,R19)</f>
        <v/>
      </c>
      <c r="T19">
        <f>AVERAGE((O19/E19)^2,(O19/H19)^2)</f>
        <v/>
      </c>
      <c r="U19">
        <f>IF(T19=0,"",(S19/T19-1)*100)</f>
        <v/>
      </c>
      <c r="V19">
        <f>AVERAGE((L19/E19)^2,(L19/H19)^2)</f>
        <v/>
      </c>
      <c r="W19">
        <f>IF(ABS(E19-汇总!B25)&lt;=ABS(H19-汇总!B25),E19,H19)</f>
        <v/>
      </c>
      <c r="X19">
        <f>(K19/W19)^2</f>
        <v/>
      </c>
      <c r="Y19">
        <f>IF(N19&gt;10,"HIGH_TVW_CV",IF(J19&lt;3,"SHORT_INTERFACE","PASS"))</f>
        <v/>
      </c>
      <c r="Z19" t="inlineStr">
        <is>
          <t>Di1、TVW均值、Di2均来自本Pair_ID；TVW=3–5法线平均</t>
        </is>
      </c>
      <c r="AA19" t="inlineStr">
        <is>
          <t>样品44</t>
        </is>
      </c>
    </row>
    <row r="20">
      <c r="A20" t="inlineStr">
        <is>
          <t>44(5)-P01</t>
        </is>
      </c>
      <c r="B20" t="inlineStr">
        <is>
          <t>44 (5).tif</t>
        </is>
      </c>
      <c r="C20" t="inlineStr">
        <is>
          <t>44(5)-V02</t>
        </is>
      </c>
      <c r="D20">
        <f>导管母表_860!F106</f>
        <v/>
      </c>
      <c r="E20">
        <f>导管母表_860!G106</f>
        <v/>
      </c>
      <c r="F20" t="inlineStr">
        <is>
          <t>44(5)-V06</t>
        </is>
      </c>
      <c r="G20">
        <f>导管母表_860!F110</f>
        <v/>
      </c>
      <c r="H20">
        <f>导管母表_860!G110</f>
        <v/>
      </c>
      <c r="I20" t="inlineStr">
        <is>
          <t>J31:J31</t>
        </is>
      </c>
      <c r="J20">
        <f>COUNT(TVW线测量明细!J31:J31)</f>
        <v/>
      </c>
      <c r="K20">
        <f>AVERAGE(TVW线测量明细!J31:J31)</f>
        <v/>
      </c>
      <c r="L20">
        <f>MEDIAN(TVW线测量明细!J31:J31)</f>
        <v/>
      </c>
      <c r="M20">
        <f>IF(J20&gt;1,STDEV(TVW线测量明细!J31:J31),0)</f>
        <v/>
      </c>
      <c r="N20">
        <f>IF(K20=0,"",M20/K20*100)</f>
        <v/>
      </c>
      <c r="O20" t="n">
        <v>1.322339680499613</v>
      </c>
      <c r="P20">
        <f>IF(O20=0,"",(K20/O20-1)*100)</f>
        <v/>
      </c>
      <c r="Q20">
        <f>(K20/E20)^2</f>
        <v/>
      </c>
      <c r="R20">
        <f>(K20/H20)^2</f>
        <v/>
      </c>
      <c r="S20">
        <f>AVERAGE(Q20,R20)</f>
        <v/>
      </c>
      <c r="T20">
        <f>AVERAGE((O20/E20)^2,(O20/H20)^2)</f>
        <v/>
      </c>
      <c r="U20">
        <f>IF(T20=0,"",(S20/T20-1)*100)</f>
        <v/>
      </c>
      <c r="V20">
        <f>AVERAGE((L20/E20)^2,(L20/H20)^2)</f>
        <v/>
      </c>
      <c r="W20">
        <f>IF(ABS(E20-汇总!B25)&lt;=ABS(H20-汇总!B25),E20,H20)</f>
        <v/>
      </c>
      <c r="X20">
        <f>(K20/W20)^2</f>
        <v/>
      </c>
      <c r="Y20">
        <f>IF(N20&gt;10,"HIGH_TVW_CV",IF(J20&lt;3,"SHORT_INTERFACE","PASS"))</f>
        <v/>
      </c>
      <c r="Z20" t="inlineStr">
        <is>
          <t>Di1、TVW均值、Di2均来自本Pair_ID；TVW=3–5法线平均</t>
        </is>
      </c>
      <c r="AA20" t="inlineStr">
        <is>
          <t>样品44</t>
        </is>
      </c>
    </row>
    <row r="21">
      <c r="A21" t="inlineStr">
        <is>
          <t>44(6)-P01</t>
        </is>
      </c>
      <c r="B21" t="inlineStr">
        <is>
          <t>44 (6).tif</t>
        </is>
      </c>
      <c r="C21" t="inlineStr">
        <is>
          <t>44(6)-V02</t>
        </is>
      </c>
      <c r="D21">
        <f>导管母表_860!F112</f>
        <v/>
      </c>
      <c r="E21">
        <f>导管母表_860!G112</f>
        <v/>
      </c>
      <c r="F21" t="inlineStr">
        <is>
          <t>44(6)-V03</t>
        </is>
      </c>
      <c r="G21">
        <f>导管母表_860!F113</f>
        <v/>
      </c>
      <c r="H21">
        <f>导管母表_860!G113</f>
        <v/>
      </c>
      <c r="I21" t="inlineStr">
        <is>
          <t>J32:J34</t>
        </is>
      </c>
      <c r="J21">
        <f>COUNT(TVW线测量明细!J32:J34)</f>
        <v/>
      </c>
      <c r="K21">
        <f>AVERAGE(TVW线测量明细!J32:J34)</f>
        <v/>
      </c>
      <c r="L21">
        <f>MEDIAN(TVW线测量明细!J32:J34)</f>
        <v/>
      </c>
      <c r="M21">
        <f>IF(J21&gt;1,STDEV(TVW线测量明细!J32:J34),0)</f>
        <v/>
      </c>
      <c r="N21">
        <f>IF(K21=0,"",M21/K21*100)</f>
        <v/>
      </c>
      <c r="O21" t="n">
        <v>6.217543324380475</v>
      </c>
      <c r="P21">
        <f>IF(O21=0,"",(K21/O21-1)*100)</f>
        <v/>
      </c>
      <c r="Q21">
        <f>(K21/E21)^2</f>
        <v/>
      </c>
      <c r="R21">
        <f>(K21/H21)^2</f>
        <v/>
      </c>
      <c r="S21">
        <f>AVERAGE(Q21,R21)</f>
        <v/>
      </c>
      <c r="T21">
        <f>AVERAGE((O21/E21)^2,(O21/H21)^2)</f>
        <v/>
      </c>
      <c r="U21">
        <f>IF(T21=0,"",(S21/T21-1)*100)</f>
        <v/>
      </c>
      <c r="V21">
        <f>AVERAGE((L21/E21)^2,(L21/H21)^2)</f>
        <v/>
      </c>
      <c r="W21">
        <f>IF(ABS(E21-汇总!B25)&lt;=ABS(H21-汇总!B25),E21,H21)</f>
        <v/>
      </c>
      <c r="X21">
        <f>(K21/W21)^2</f>
        <v/>
      </c>
      <c r="Y21">
        <f>IF(N21&gt;10,"HIGH_TVW_CV",IF(J21&lt;3,"SHORT_INTERFACE","PASS"))</f>
        <v/>
      </c>
      <c r="Z21" t="inlineStr">
        <is>
          <t>Di1、TVW均值、Di2均来自本Pair_ID；TVW=3–5法线平均</t>
        </is>
      </c>
      <c r="AA21" t="inlineStr">
        <is>
          <t>样品44</t>
        </is>
      </c>
    </row>
    <row r="22">
      <c r="A22" t="inlineStr">
        <is>
          <t>44(7)-P01</t>
        </is>
      </c>
      <c r="B22" t="inlineStr">
        <is>
          <t>44 (7).tif</t>
        </is>
      </c>
      <c r="C22" t="inlineStr">
        <is>
          <t>44(7)-V01</t>
        </is>
      </c>
      <c r="D22">
        <f>导管母表_860!F114</f>
        <v/>
      </c>
      <c r="E22">
        <f>导管母表_860!G114</f>
        <v/>
      </c>
      <c r="F22" t="inlineStr">
        <is>
          <t>44(7)-V02</t>
        </is>
      </c>
      <c r="G22">
        <f>导管母表_860!F115</f>
        <v/>
      </c>
      <c r="H22">
        <f>导管母表_860!G115</f>
        <v/>
      </c>
      <c r="I22" t="inlineStr">
        <is>
          <t>J35:J36</t>
        </is>
      </c>
      <c r="J22">
        <f>COUNT(TVW线测量明细!J35:J36)</f>
        <v/>
      </c>
      <c r="K22">
        <f>AVERAGE(TVW线测量明细!J35:J36)</f>
        <v/>
      </c>
      <c r="L22">
        <f>MEDIAN(TVW线测量明细!J35:J36)</f>
        <v/>
      </c>
      <c r="M22">
        <f>IF(J22&gt;1,STDEV(TVW线测量明细!J35:J36),0)</f>
        <v/>
      </c>
      <c r="N22">
        <f>IF(K22=0,"",M22/K22*100)</f>
        <v/>
      </c>
      <c r="O22" t="n">
        <v>8.774102639395897</v>
      </c>
      <c r="P22">
        <f>IF(O22=0,"",(K22/O22-1)*100)</f>
        <v/>
      </c>
      <c r="Q22">
        <f>(K22/E22)^2</f>
        <v/>
      </c>
      <c r="R22">
        <f>(K22/H22)^2</f>
        <v/>
      </c>
      <c r="S22">
        <f>AVERAGE(Q22,R22)</f>
        <v/>
      </c>
      <c r="T22">
        <f>AVERAGE((O22/E22)^2,(O22/H22)^2)</f>
        <v/>
      </c>
      <c r="U22">
        <f>IF(T22=0,"",(S22/T22-1)*100)</f>
        <v/>
      </c>
      <c r="V22">
        <f>AVERAGE((L22/E22)^2,(L22/H22)^2)</f>
        <v/>
      </c>
      <c r="W22">
        <f>IF(ABS(E22-汇总!B25)&lt;=ABS(H22-汇总!B25),E22,H22)</f>
        <v/>
      </c>
      <c r="X22">
        <f>(K22/W22)^2</f>
        <v/>
      </c>
      <c r="Y22">
        <f>IF(N22&gt;10,"HIGH_TVW_CV",IF(J22&lt;3,"SHORT_INTERFACE","PASS"))</f>
        <v/>
      </c>
      <c r="Z22" t="inlineStr">
        <is>
          <t>Di1、TVW均值、Di2均来自本Pair_ID；TVW=3–5法线平均</t>
        </is>
      </c>
      <c r="AA22" t="inlineStr">
        <is>
          <t>样品44</t>
        </is>
      </c>
    </row>
    <row r="23">
      <c r="A23" t="inlineStr">
        <is>
          <t>44(8)-P01</t>
        </is>
      </c>
      <c r="B23" t="inlineStr">
        <is>
          <t>44 (8).tif</t>
        </is>
      </c>
      <c r="C23" t="inlineStr">
        <is>
          <t>44(8)-V02</t>
        </is>
      </c>
      <c r="D23">
        <f>导管母表_860!F117</f>
        <v/>
      </c>
      <c r="E23">
        <f>导管母表_860!G117</f>
        <v/>
      </c>
      <c r="F23" t="inlineStr">
        <is>
          <t>44(8)-V04</t>
        </is>
      </c>
      <c r="G23">
        <f>导管母表_860!F119</f>
        <v/>
      </c>
      <c r="H23">
        <f>导管母表_860!G119</f>
        <v/>
      </c>
      <c r="I23" t="inlineStr">
        <is>
          <t>J37:J37</t>
        </is>
      </c>
      <c r="J23">
        <f>COUNT(TVW线测量明细!J37:J37)</f>
        <v/>
      </c>
      <c r="K23">
        <f>AVERAGE(TVW线测量明细!J37:J37)</f>
        <v/>
      </c>
      <c r="L23">
        <f>MEDIAN(TVW线测量明细!J37:J37)</f>
        <v/>
      </c>
      <c r="M23">
        <f>IF(J23&gt;1,STDEV(TVW线测量明细!J37:J37),0)</f>
        <v/>
      </c>
      <c r="N23">
        <f>IF(K23=0,"",M23/K23*100)</f>
        <v/>
      </c>
      <c r="O23" t="n">
        <v>7.853213855734105</v>
      </c>
      <c r="P23">
        <f>IF(O23=0,"",(K23/O23-1)*100)</f>
        <v/>
      </c>
      <c r="Q23">
        <f>(K23/E23)^2</f>
        <v/>
      </c>
      <c r="R23">
        <f>(K23/H23)^2</f>
        <v/>
      </c>
      <c r="S23">
        <f>AVERAGE(Q23,R23)</f>
        <v/>
      </c>
      <c r="T23">
        <f>AVERAGE((O23/E23)^2,(O23/H23)^2)</f>
        <v/>
      </c>
      <c r="U23">
        <f>IF(T23=0,"",(S23/T23-1)*100)</f>
        <v/>
      </c>
      <c r="V23">
        <f>AVERAGE((L23/E23)^2,(L23/H23)^2)</f>
        <v/>
      </c>
      <c r="W23">
        <f>IF(ABS(E23-汇总!B25)&lt;=ABS(H23-汇总!B25),E23,H23)</f>
        <v/>
      </c>
      <c r="X23">
        <f>(K23/W23)^2</f>
        <v/>
      </c>
      <c r="Y23">
        <f>IF(N23&gt;10,"HIGH_TVW_CV",IF(J23&lt;3,"SHORT_INTERFACE","PASS"))</f>
        <v/>
      </c>
      <c r="Z23" t="inlineStr">
        <is>
          <t>Di1、TVW均值、Di2均来自本Pair_ID；TVW=3–5法线平均</t>
        </is>
      </c>
      <c r="AA23" t="inlineStr">
        <is>
          <t>样品44</t>
        </is>
      </c>
    </row>
    <row r="24">
      <c r="A24" t="inlineStr">
        <is>
          <t>45(1)-P01</t>
        </is>
      </c>
      <c r="B24" t="inlineStr">
        <is>
          <t>45 (1).tif</t>
        </is>
      </c>
      <c r="C24" t="inlineStr">
        <is>
          <t>45(1)-V02</t>
        </is>
      </c>
      <c r="D24">
        <f>导管母表_860!F123</f>
        <v/>
      </c>
      <c r="E24">
        <f>导管母表_860!G123</f>
        <v/>
      </c>
      <c r="F24" t="inlineStr">
        <is>
          <t>45(1)-V05</t>
        </is>
      </c>
      <c r="G24">
        <f>导管母表_860!F126</f>
        <v/>
      </c>
      <c r="H24">
        <f>导管母表_860!G126</f>
        <v/>
      </c>
      <c r="I24" t="inlineStr">
        <is>
          <t>J38:J38</t>
        </is>
      </c>
      <c r="J24">
        <f>COUNT(TVW线测量明细!J38:J38)</f>
        <v/>
      </c>
      <c r="K24">
        <f>AVERAGE(TVW线测量明细!J38:J38)</f>
        <v/>
      </c>
      <c r="L24">
        <f>MEDIAN(TVW线测量明细!J38:J38)</f>
        <v/>
      </c>
      <c r="M24">
        <f>IF(J24&gt;1,STDEV(TVW线测量明细!J38:J38),0)</f>
        <v/>
      </c>
      <c r="N24">
        <f>IF(K24=0,"",M24/K24*100)</f>
        <v/>
      </c>
      <c r="O24" t="n">
        <v>4.962048787179707</v>
      </c>
      <c r="P24">
        <f>IF(O24=0,"",(K24/O24-1)*100)</f>
        <v/>
      </c>
      <c r="Q24">
        <f>(K24/E24)^2</f>
        <v/>
      </c>
      <c r="R24">
        <f>(K24/H24)^2</f>
        <v/>
      </c>
      <c r="S24">
        <f>AVERAGE(Q24,R24)</f>
        <v/>
      </c>
      <c r="T24">
        <f>AVERAGE((O24/E24)^2,(O24/H24)^2)</f>
        <v/>
      </c>
      <c r="U24">
        <f>IF(T24=0,"",(S24/T24-1)*100)</f>
        <v/>
      </c>
      <c r="V24">
        <f>AVERAGE((L24/E24)^2,(L24/H24)^2)</f>
        <v/>
      </c>
      <c r="W24">
        <f>IF(ABS(E24-汇总!B25)&lt;=ABS(H24-汇总!B25),E24,H24)</f>
        <v/>
      </c>
      <c r="X24">
        <f>(K24/W24)^2</f>
        <v/>
      </c>
      <c r="Y24">
        <f>IF(N24&gt;10,"HIGH_TVW_CV",IF(J24&lt;3,"SHORT_INTERFACE","PASS"))</f>
        <v/>
      </c>
      <c r="Z24" t="inlineStr">
        <is>
          <t>Di1、TVW均值、Di2均来自本Pair_ID；TVW=3–5法线平均</t>
        </is>
      </c>
      <c r="AA24" t="inlineStr">
        <is>
          <t>样品45</t>
        </is>
      </c>
    </row>
    <row r="25">
      <c r="A25" t="inlineStr">
        <is>
          <t>45(1)-P02</t>
        </is>
      </c>
      <c r="B25" t="inlineStr">
        <is>
          <t>45 (1).tif</t>
        </is>
      </c>
      <c r="C25" t="inlineStr">
        <is>
          <t>45(1)-V03</t>
        </is>
      </c>
      <c r="D25">
        <f>导管母表_860!F124</f>
        <v/>
      </c>
      <c r="E25">
        <f>导管母表_860!G124</f>
        <v/>
      </c>
      <c r="F25" t="inlineStr">
        <is>
          <t>45(1)-V08</t>
        </is>
      </c>
      <c r="G25">
        <f>导管母表_860!F129</f>
        <v/>
      </c>
      <c r="H25">
        <f>导管母表_860!G129</f>
        <v/>
      </c>
      <c r="I25" t="inlineStr">
        <is>
          <t>J39:J39</t>
        </is>
      </c>
      <c r="J25">
        <f>COUNT(TVW线测量明细!J39:J39)</f>
        <v/>
      </c>
      <c r="K25">
        <f>AVERAGE(TVW线测量明细!J39:J39)</f>
        <v/>
      </c>
      <c r="L25">
        <f>MEDIAN(TVW线测量明细!J39:J39)</f>
        <v/>
      </c>
      <c r="M25">
        <f>IF(J25&gt;1,STDEV(TVW线测量明细!J39:J39),0)</f>
        <v/>
      </c>
      <c r="N25">
        <f>IF(K25=0,"",M25/K25*100)</f>
        <v/>
      </c>
      <c r="O25" t="n">
        <v>0</v>
      </c>
      <c r="P25">
        <f>IF(O25=0,"",(K25/O25-1)*100)</f>
        <v/>
      </c>
      <c r="Q25">
        <f>(K25/E25)^2</f>
        <v/>
      </c>
      <c r="R25">
        <f>(K25/H25)^2</f>
        <v/>
      </c>
      <c r="S25">
        <f>AVERAGE(Q25,R25)</f>
        <v/>
      </c>
      <c r="T25">
        <f>AVERAGE((O25/E25)^2,(O25/H25)^2)</f>
        <v/>
      </c>
      <c r="U25">
        <f>IF(T25=0,"",(S25/T25-1)*100)</f>
        <v/>
      </c>
      <c r="V25">
        <f>AVERAGE((L25/E25)^2,(L25/H25)^2)</f>
        <v/>
      </c>
      <c r="W25">
        <f>IF(ABS(E25-汇总!B25)&lt;=ABS(H25-汇总!B25),E25,H25)</f>
        <v/>
      </c>
      <c r="X25">
        <f>(K25/W25)^2</f>
        <v/>
      </c>
      <c r="Y25">
        <f>IF(N25&gt;10,"HIGH_TVW_CV",IF(J25&lt;3,"SHORT_INTERFACE","PASS"))</f>
        <v/>
      </c>
      <c r="Z25" t="inlineStr">
        <is>
          <t>Di1、TVW均值、Di2均来自本Pair_ID；TVW=3–5法线平均</t>
        </is>
      </c>
      <c r="AA25" t="inlineStr">
        <is>
          <t>样品45</t>
        </is>
      </c>
    </row>
    <row r="26">
      <c r="A26" t="inlineStr">
        <is>
          <t>45(2)-P01</t>
        </is>
      </c>
      <c r="B26" t="inlineStr">
        <is>
          <t>45 (2).tif</t>
        </is>
      </c>
      <c r="C26" t="inlineStr">
        <is>
          <t>45(2)-V03</t>
        </is>
      </c>
      <c r="D26">
        <f>导管母表_860!F132</f>
        <v/>
      </c>
      <c r="E26">
        <f>导管母表_860!G132</f>
        <v/>
      </c>
      <c r="F26" t="inlineStr">
        <is>
          <t>45(2)-V07</t>
        </is>
      </c>
      <c r="G26">
        <f>导管母表_860!F136</f>
        <v/>
      </c>
      <c r="H26">
        <f>导管母表_860!G136</f>
        <v/>
      </c>
      <c r="I26" t="inlineStr">
        <is>
          <t>J40:J40</t>
        </is>
      </c>
      <c r="J26">
        <f>COUNT(TVW线测量明细!J40:J40)</f>
        <v/>
      </c>
      <c r="K26">
        <f>AVERAGE(TVW线测量明细!J40:J40)</f>
        <v/>
      </c>
      <c r="L26">
        <f>MEDIAN(TVW线测量明细!J40:J40)</f>
        <v/>
      </c>
      <c r="M26">
        <f>IF(J26&gt;1,STDEV(TVW线测量明细!J40:J40),0)</f>
        <v/>
      </c>
      <c r="N26">
        <f>IF(K26=0,"",M26/K26*100)</f>
        <v/>
      </c>
      <c r="O26" t="n">
        <v>0.4347826086956522</v>
      </c>
      <c r="P26">
        <f>IF(O26=0,"",(K26/O26-1)*100)</f>
        <v/>
      </c>
      <c r="Q26">
        <f>(K26/E26)^2</f>
        <v/>
      </c>
      <c r="R26">
        <f>(K26/H26)^2</f>
        <v/>
      </c>
      <c r="S26">
        <f>AVERAGE(Q26,R26)</f>
        <v/>
      </c>
      <c r="T26">
        <f>AVERAGE((O26/E26)^2,(O26/H26)^2)</f>
        <v/>
      </c>
      <c r="U26">
        <f>IF(T26=0,"",(S26/T26-1)*100)</f>
        <v/>
      </c>
      <c r="V26">
        <f>AVERAGE((L26/E26)^2,(L26/H26)^2)</f>
        <v/>
      </c>
      <c r="W26">
        <f>IF(ABS(E26-汇总!B25)&lt;=ABS(H26-汇总!B25),E26,H26)</f>
        <v/>
      </c>
      <c r="X26">
        <f>(K26/W26)^2</f>
        <v/>
      </c>
      <c r="Y26">
        <f>IF(N26&gt;10,"HIGH_TVW_CV",IF(J26&lt;3,"SHORT_INTERFACE","PASS"))</f>
        <v/>
      </c>
      <c r="Z26" t="inlineStr">
        <is>
          <t>Di1、TVW均值、Di2均来自本Pair_ID；TVW=3–5法线平均</t>
        </is>
      </c>
      <c r="AA26" t="inlineStr">
        <is>
          <t>样品45</t>
        </is>
      </c>
    </row>
    <row r="27">
      <c r="A27" t="inlineStr">
        <is>
          <t>45(4)-P01</t>
        </is>
      </c>
      <c r="B27" t="inlineStr">
        <is>
          <t>45 (4).tif</t>
        </is>
      </c>
      <c r="C27" t="inlineStr">
        <is>
          <t>45(4)-V02</t>
        </is>
      </c>
      <c r="D27">
        <f>导管母表_860!F142</f>
        <v/>
      </c>
      <c r="E27">
        <f>导管母表_860!G142</f>
        <v/>
      </c>
      <c r="F27" t="inlineStr">
        <is>
          <t>45(4)-V06</t>
        </is>
      </c>
      <c r="G27">
        <f>导管母表_860!F146</f>
        <v/>
      </c>
      <c r="H27">
        <f>导管母表_860!G146</f>
        <v/>
      </c>
      <c r="I27" t="inlineStr">
        <is>
          <t>J41:J42</t>
        </is>
      </c>
      <c r="J27">
        <f>COUNT(TVW线测量明细!J41:J42)</f>
        <v/>
      </c>
      <c r="K27">
        <f>AVERAGE(TVW线测量明细!J41:J42)</f>
        <v/>
      </c>
      <c r="L27">
        <f>MEDIAN(TVW线测量明细!J41:J42)</f>
        <v/>
      </c>
      <c r="M27">
        <f>IF(J27&gt;1,STDEV(TVW线测量明细!J41:J42),0)</f>
        <v/>
      </c>
      <c r="N27">
        <f>IF(K27=0,"",M27/K27*100)</f>
        <v/>
      </c>
      <c r="O27" t="n">
        <v>2.269631849763163</v>
      </c>
      <c r="P27">
        <f>IF(O27=0,"",(K27/O27-1)*100)</f>
        <v/>
      </c>
      <c r="Q27">
        <f>(K27/E27)^2</f>
        <v/>
      </c>
      <c r="R27">
        <f>(K27/H27)^2</f>
        <v/>
      </c>
      <c r="S27">
        <f>AVERAGE(Q27,R27)</f>
        <v/>
      </c>
      <c r="T27">
        <f>AVERAGE((O27/E27)^2,(O27/H27)^2)</f>
        <v/>
      </c>
      <c r="U27">
        <f>IF(T27=0,"",(S27/T27-1)*100)</f>
        <v/>
      </c>
      <c r="V27">
        <f>AVERAGE((L27/E27)^2,(L27/H27)^2)</f>
        <v/>
      </c>
      <c r="W27">
        <f>IF(ABS(E27-汇总!B25)&lt;=ABS(H27-汇总!B25),E27,H27)</f>
        <v/>
      </c>
      <c r="X27">
        <f>(K27/W27)^2</f>
        <v/>
      </c>
      <c r="Y27">
        <f>IF(N27&gt;10,"HIGH_TVW_CV",IF(J27&lt;3,"SHORT_INTERFACE","PASS"))</f>
        <v/>
      </c>
      <c r="Z27" t="inlineStr">
        <is>
          <t>Di1、TVW均值、Di2均来自本Pair_ID；TVW=3–5法线平均</t>
        </is>
      </c>
      <c r="AA27" t="inlineStr">
        <is>
          <t>样品45</t>
        </is>
      </c>
    </row>
    <row r="28">
      <c r="A28" t="inlineStr">
        <is>
          <t>45(5)-P01</t>
        </is>
      </c>
      <c r="B28" t="inlineStr">
        <is>
          <t>45 (5).tif</t>
        </is>
      </c>
      <c r="C28" t="inlineStr">
        <is>
          <t>45(5)-V01</t>
        </is>
      </c>
      <c r="D28">
        <f>导管母表_860!F149</f>
        <v/>
      </c>
      <c r="E28">
        <f>导管母表_860!G149</f>
        <v/>
      </c>
      <c r="F28" t="inlineStr">
        <is>
          <t>45(5)-V02</t>
        </is>
      </c>
      <c r="G28">
        <f>导管母表_860!F150</f>
        <v/>
      </c>
      <c r="H28">
        <f>导管母表_860!G150</f>
        <v/>
      </c>
      <c r="I28" t="inlineStr">
        <is>
          <t>J43:J43</t>
        </is>
      </c>
      <c r="J28">
        <f>COUNT(TVW线测量明细!J43:J43)</f>
        <v/>
      </c>
      <c r="K28">
        <f>AVERAGE(TVW线测量明细!J43:J43)</f>
        <v/>
      </c>
      <c r="L28">
        <f>MEDIAN(TVW线测量明细!J43:J43)</f>
        <v/>
      </c>
      <c r="M28">
        <f>IF(J28&gt;1,STDEV(TVW线测量明细!J43:J43),0)</f>
        <v/>
      </c>
      <c r="N28">
        <f>IF(K28=0,"",M28/K28*100)</f>
        <v/>
      </c>
      <c r="O28" t="n">
        <v>0</v>
      </c>
      <c r="P28">
        <f>IF(O28=0,"",(K28/O28-1)*100)</f>
        <v/>
      </c>
      <c r="Q28">
        <f>(K28/E28)^2</f>
        <v/>
      </c>
      <c r="R28">
        <f>(K28/H28)^2</f>
        <v/>
      </c>
      <c r="S28">
        <f>AVERAGE(Q28,R28)</f>
        <v/>
      </c>
      <c r="T28">
        <f>AVERAGE((O28/E28)^2,(O28/H28)^2)</f>
        <v/>
      </c>
      <c r="U28">
        <f>IF(T28=0,"",(S28/T28-1)*100)</f>
        <v/>
      </c>
      <c r="V28">
        <f>AVERAGE((L28/E28)^2,(L28/H28)^2)</f>
        <v/>
      </c>
      <c r="W28">
        <f>IF(ABS(E28-汇总!B25)&lt;=ABS(H28-汇总!B25),E28,H28)</f>
        <v/>
      </c>
      <c r="X28">
        <f>(K28/W28)^2</f>
        <v/>
      </c>
      <c r="Y28">
        <f>IF(N28&gt;10,"HIGH_TVW_CV",IF(J28&lt;3,"SHORT_INTERFACE","PASS"))</f>
        <v/>
      </c>
      <c r="Z28" t="inlineStr">
        <is>
          <t>Di1、TVW均值、Di2均来自本Pair_ID；TVW=3–5法线平均</t>
        </is>
      </c>
      <c r="AA28" t="inlineStr">
        <is>
          <t>样品45</t>
        </is>
      </c>
    </row>
    <row r="29">
      <c r="A29" t="inlineStr">
        <is>
          <t>45(6)-P01</t>
        </is>
      </c>
      <c r="B29" t="inlineStr">
        <is>
          <t>45 (6).tif</t>
        </is>
      </c>
      <c r="C29" t="inlineStr">
        <is>
          <t>45(6)-V01</t>
        </is>
      </c>
      <c r="D29">
        <f>导管母表_860!F153</f>
        <v/>
      </c>
      <c r="E29">
        <f>导管母表_860!G153</f>
        <v/>
      </c>
      <c r="F29" t="inlineStr">
        <is>
          <t>45(6)-V02</t>
        </is>
      </c>
      <c r="G29">
        <f>导管母表_860!F154</f>
        <v/>
      </c>
      <c r="H29">
        <f>导管母表_860!G154</f>
        <v/>
      </c>
      <c r="I29" t="inlineStr">
        <is>
          <t>J44:J45</t>
        </is>
      </c>
      <c r="J29">
        <f>COUNT(TVW线测量明细!J44:J45)</f>
        <v/>
      </c>
      <c r="K29">
        <f>AVERAGE(TVW线测量明细!J44:J45)</f>
        <v/>
      </c>
      <c r="L29">
        <f>MEDIAN(TVW线测量明细!J44:J45)</f>
        <v/>
      </c>
      <c r="M29">
        <f>IF(J29&gt;1,STDEV(TVW线测量明细!J44:J45),0)</f>
        <v/>
      </c>
      <c r="N29">
        <f>IF(K29=0,"",M29/K29*100)</f>
        <v/>
      </c>
      <c r="O29" t="n">
        <v>5.434782608695652</v>
      </c>
      <c r="P29">
        <f>IF(O29=0,"",(K29/O29-1)*100)</f>
        <v/>
      </c>
      <c r="Q29">
        <f>(K29/E29)^2</f>
        <v/>
      </c>
      <c r="R29">
        <f>(K29/H29)^2</f>
        <v/>
      </c>
      <c r="S29">
        <f>AVERAGE(Q29,R29)</f>
        <v/>
      </c>
      <c r="T29">
        <f>AVERAGE((O29/E29)^2,(O29/H29)^2)</f>
        <v/>
      </c>
      <c r="U29">
        <f>IF(T29=0,"",(S29/T29-1)*100)</f>
        <v/>
      </c>
      <c r="V29">
        <f>AVERAGE((L29/E29)^2,(L29/H29)^2)</f>
        <v/>
      </c>
      <c r="W29">
        <f>IF(ABS(E29-汇总!B25)&lt;=ABS(H29-汇总!B25),E29,H29)</f>
        <v/>
      </c>
      <c r="X29">
        <f>(K29/W29)^2</f>
        <v/>
      </c>
      <c r="Y29">
        <f>IF(N29&gt;10,"HIGH_TVW_CV",IF(J29&lt;3,"SHORT_INTERFACE","PASS"))</f>
        <v/>
      </c>
      <c r="Z29" t="inlineStr">
        <is>
          <t>Di1、TVW均值、Di2均来自本Pair_ID；TVW=3–5法线平均</t>
        </is>
      </c>
      <c r="AA29" t="inlineStr">
        <is>
          <t>样品45</t>
        </is>
      </c>
    </row>
    <row r="30">
      <c r="A30" t="inlineStr">
        <is>
          <t>45(7)-P01</t>
        </is>
      </c>
      <c r="B30" t="inlineStr">
        <is>
          <t>45 (7).tif</t>
        </is>
      </c>
      <c r="C30" t="inlineStr">
        <is>
          <t>45(7)-V01</t>
        </is>
      </c>
      <c r="D30">
        <f>导管母表_860!F155</f>
        <v/>
      </c>
      <c r="E30">
        <f>导管母表_860!G155</f>
        <v/>
      </c>
      <c r="F30" t="inlineStr">
        <is>
          <t>45(7)-V02</t>
        </is>
      </c>
      <c r="G30">
        <f>导管母表_860!F156</f>
        <v/>
      </c>
      <c r="H30">
        <f>导管母表_860!G156</f>
        <v/>
      </c>
      <c r="I30" t="inlineStr">
        <is>
          <t>J46:J47</t>
        </is>
      </c>
      <c r="J30">
        <f>COUNT(TVW线测量明细!J46:J47)</f>
        <v/>
      </c>
      <c r="K30">
        <f>AVERAGE(TVW线测量明细!J46:J47)</f>
        <v/>
      </c>
      <c r="L30">
        <f>MEDIAN(TVW线测量明细!J46:J47)</f>
        <v/>
      </c>
      <c r="M30">
        <f>IF(J30&gt;1,STDEV(TVW线测量明细!J46:J47),0)</f>
        <v/>
      </c>
      <c r="N30">
        <f>IF(K30=0,"",M30/K30*100)</f>
        <v/>
      </c>
      <c r="O30" t="n">
        <v>7.636594813152302</v>
      </c>
      <c r="P30">
        <f>IF(O30=0,"",(K30/O30-1)*100)</f>
        <v/>
      </c>
      <c r="Q30">
        <f>(K30/E30)^2</f>
        <v/>
      </c>
      <c r="R30">
        <f>(K30/H30)^2</f>
        <v/>
      </c>
      <c r="S30">
        <f>AVERAGE(Q30,R30)</f>
        <v/>
      </c>
      <c r="T30">
        <f>AVERAGE((O30/E30)^2,(O30/H30)^2)</f>
        <v/>
      </c>
      <c r="U30">
        <f>IF(T30=0,"",(S30/T30-1)*100)</f>
        <v/>
      </c>
      <c r="V30">
        <f>AVERAGE((L30/E30)^2,(L30/H30)^2)</f>
        <v/>
      </c>
      <c r="W30">
        <f>IF(ABS(E30-汇总!B25)&lt;=ABS(H30-汇总!B25),E30,H30)</f>
        <v/>
      </c>
      <c r="X30">
        <f>(K30/W30)^2</f>
        <v/>
      </c>
      <c r="Y30">
        <f>IF(N30&gt;10,"HIGH_TVW_CV",IF(J30&lt;3,"SHORT_INTERFACE","PASS"))</f>
        <v/>
      </c>
      <c r="Z30" t="inlineStr">
        <is>
          <t>Di1、TVW均值、Di2均来自本Pair_ID；TVW=3–5法线平均</t>
        </is>
      </c>
      <c r="AA30" t="inlineStr">
        <is>
          <t>样品45</t>
        </is>
      </c>
    </row>
    <row r="31">
      <c r="A31" t="inlineStr">
        <is>
          <t>46(1)-P01</t>
        </is>
      </c>
      <c r="B31" t="inlineStr">
        <is>
          <t>46 (1).tif</t>
        </is>
      </c>
      <c r="C31" t="inlineStr">
        <is>
          <t>46(1)-V02</t>
        </is>
      </c>
      <c r="D31">
        <f>导管母表_860!F162</f>
        <v/>
      </c>
      <c r="E31">
        <f>导管母表_860!G162</f>
        <v/>
      </c>
      <c r="F31" t="inlineStr">
        <is>
          <t>46(1)-V03</t>
        </is>
      </c>
      <c r="G31">
        <f>导管母表_860!F163</f>
        <v/>
      </c>
      <c r="H31">
        <f>导管母表_860!G163</f>
        <v/>
      </c>
      <c r="I31" t="inlineStr">
        <is>
          <t>J48:J48</t>
        </is>
      </c>
      <c r="J31">
        <f>COUNT(TVW线测量明细!J48:J48)</f>
        <v/>
      </c>
      <c r="K31">
        <f>AVERAGE(TVW线测量明细!J48:J48)</f>
        <v/>
      </c>
      <c r="L31">
        <f>MEDIAN(TVW线测量明细!J48:J48)</f>
        <v/>
      </c>
      <c r="M31">
        <f>IF(J31&gt;1,STDEV(TVW线测量明细!J48:J48),0)</f>
        <v/>
      </c>
      <c r="N31">
        <f>IF(K31=0,"",M31/K31*100)</f>
        <v/>
      </c>
      <c r="O31" t="n">
        <v>6.028445488635673</v>
      </c>
      <c r="P31">
        <f>IF(O31=0,"",(K31/O31-1)*100)</f>
        <v/>
      </c>
      <c r="Q31">
        <f>(K31/E31)^2</f>
        <v/>
      </c>
      <c r="R31">
        <f>(K31/H31)^2</f>
        <v/>
      </c>
      <c r="S31">
        <f>AVERAGE(Q31,R31)</f>
        <v/>
      </c>
      <c r="T31">
        <f>AVERAGE((O31/E31)^2,(O31/H31)^2)</f>
        <v/>
      </c>
      <c r="U31">
        <f>IF(T31=0,"",(S31/T31-1)*100)</f>
        <v/>
      </c>
      <c r="V31">
        <f>AVERAGE((L31/E31)^2,(L31/H31)^2)</f>
        <v/>
      </c>
      <c r="W31">
        <f>IF(ABS(E31-汇总!B25)&lt;=ABS(H31-汇总!B25),E31,H31)</f>
        <v/>
      </c>
      <c r="X31">
        <f>(K31/W31)^2</f>
        <v/>
      </c>
      <c r="Y31">
        <f>IF(N31&gt;10,"HIGH_TVW_CV",IF(J31&lt;3,"SHORT_INTERFACE","PASS"))</f>
        <v/>
      </c>
      <c r="Z31" t="inlineStr">
        <is>
          <t>Di1、TVW均值、Di2均来自本Pair_ID；TVW=3–5法线平均</t>
        </is>
      </c>
      <c r="AA31" t="inlineStr">
        <is>
          <t>样品46</t>
        </is>
      </c>
    </row>
    <row r="32">
      <c r="A32" t="inlineStr">
        <is>
          <t>46(3)-P01</t>
        </is>
      </c>
      <c r="B32" t="inlineStr">
        <is>
          <t>46 (3).tif</t>
        </is>
      </c>
      <c r="C32" t="inlineStr">
        <is>
          <t>46(3)-V01</t>
        </is>
      </c>
      <c r="D32">
        <f>导管母表_860!F168</f>
        <v/>
      </c>
      <c r="E32">
        <f>导管母表_860!G168</f>
        <v/>
      </c>
      <c r="F32" t="inlineStr">
        <is>
          <t>46(3)-V02</t>
        </is>
      </c>
      <c r="G32">
        <f>导管母表_860!F169</f>
        <v/>
      </c>
      <c r="H32">
        <f>导管母表_860!G169</f>
        <v/>
      </c>
      <c r="I32" t="inlineStr">
        <is>
          <t>J49:J49</t>
        </is>
      </c>
      <c r="J32">
        <f>COUNT(TVW线测量明细!J49:J49)</f>
        <v/>
      </c>
      <c r="K32">
        <f>AVERAGE(TVW线测量明细!J49:J49)</f>
        <v/>
      </c>
      <c r="L32">
        <f>MEDIAN(TVW线测量明细!J49:J49)</f>
        <v/>
      </c>
      <c r="M32">
        <f>IF(J32&gt;1,STDEV(TVW线测量明细!J49:J49),0)</f>
        <v/>
      </c>
      <c r="N32">
        <f>IF(K32=0,"",M32/K32*100)</f>
        <v/>
      </c>
      <c r="O32" t="n">
        <v>2.341376003101958</v>
      </c>
      <c r="P32">
        <f>IF(O32=0,"",(K32/O32-1)*100)</f>
        <v/>
      </c>
      <c r="Q32">
        <f>(K32/E32)^2</f>
        <v/>
      </c>
      <c r="R32">
        <f>(K32/H32)^2</f>
        <v/>
      </c>
      <c r="S32">
        <f>AVERAGE(Q32,R32)</f>
        <v/>
      </c>
      <c r="T32">
        <f>AVERAGE((O32/E32)^2,(O32/H32)^2)</f>
        <v/>
      </c>
      <c r="U32">
        <f>IF(T32=0,"",(S32/T32-1)*100)</f>
        <v/>
      </c>
      <c r="V32">
        <f>AVERAGE((L32/E32)^2,(L32/H32)^2)</f>
        <v/>
      </c>
      <c r="W32">
        <f>IF(ABS(E32-汇总!B25)&lt;=ABS(H32-汇总!B25),E32,H32)</f>
        <v/>
      </c>
      <c r="X32">
        <f>(K32/W32)^2</f>
        <v/>
      </c>
      <c r="Y32">
        <f>IF(N32&gt;10,"HIGH_TVW_CV",IF(J32&lt;3,"SHORT_INTERFACE","PASS"))</f>
        <v/>
      </c>
      <c r="Z32" t="inlineStr">
        <is>
          <t>Di1、TVW均值、Di2均来自本Pair_ID；TVW=3–5法线平均</t>
        </is>
      </c>
      <c r="AA32" t="inlineStr">
        <is>
          <t>样品46</t>
        </is>
      </c>
    </row>
    <row r="33">
      <c r="A33" t="inlineStr">
        <is>
          <t>46(5)-P01</t>
        </is>
      </c>
      <c r="B33" t="inlineStr">
        <is>
          <t>46 (5).tif</t>
        </is>
      </c>
      <c r="C33" t="inlineStr">
        <is>
          <t>46(5)-V02</t>
        </is>
      </c>
      <c r="D33">
        <f>导管母表_860!F175</f>
        <v/>
      </c>
      <c r="E33">
        <f>导管母表_860!G175</f>
        <v/>
      </c>
      <c r="F33" t="inlineStr">
        <is>
          <t>46(5)-V06</t>
        </is>
      </c>
      <c r="G33">
        <f>导管母表_860!F179</f>
        <v/>
      </c>
      <c r="H33">
        <f>导管母表_860!G179</f>
        <v/>
      </c>
      <c r="I33" t="inlineStr">
        <is>
          <t>J50:J52</t>
        </is>
      </c>
      <c r="J33">
        <f>COUNT(TVW线测量明细!J50:J52)</f>
        <v/>
      </c>
      <c r="K33">
        <f>AVERAGE(TVW线测量明细!J50:J52)</f>
        <v/>
      </c>
      <c r="L33">
        <f>MEDIAN(TVW线测量明细!J50:J52)</f>
        <v/>
      </c>
      <c r="M33">
        <f>IF(J33&gt;1,STDEV(TVW线测量明细!J50:J52),0)</f>
        <v/>
      </c>
      <c r="N33">
        <f>IF(K33=0,"",M33/K33*100)</f>
        <v/>
      </c>
      <c r="O33" t="n">
        <v>5.070392952039392</v>
      </c>
      <c r="P33">
        <f>IF(O33=0,"",(K33/O33-1)*100)</f>
        <v/>
      </c>
      <c r="Q33">
        <f>(K33/E33)^2</f>
        <v/>
      </c>
      <c r="R33">
        <f>(K33/H33)^2</f>
        <v/>
      </c>
      <c r="S33">
        <f>AVERAGE(Q33,R33)</f>
        <v/>
      </c>
      <c r="T33">
        <f>AVERAGE((O33/E33)^2,(O33/H33)^2)</f>
        <v/>
      </c>
      <c r="U33">
        <f>IF(T33=0,"",(S33/T33-1)*100)</f>
        <v/>
      </c>
      <c r="V33">
        <f>AVERAGE((L33/E33)^2,(L33/H33)^2)</f>
        <v/>
      </c>
      <c r="W33">
        <f>IF(ABS(E33-汇总!B25)&lt;=ABS(H33-汇总!B25),E33,H33)</f>
        <v/>
      </c>
      <c r="X33">
        <f>(K33/W33)^2</f>
        <v/>
      </c>
      <c r="Y33">
        <f>IF(N33&gt;10,"HIGH_TVW_CV",IF(J33&lt;3,"SHORT_INTERFACE","PASS"))</f>
        <v/>
      </c>
      <c r="Z33" t="inlineStr">
        <is>
          <t>Di1、TVW均值、Di2均来自本Pair_ID；TVW=3–5法线平均</t>
        </is>
      </c>
      <c r="AA33" t="inlineStr">
        <is>
          <t>样品46</t>
        </is>
      </c>
    </row>
    <row r="34">
      <c r="A34" t="inlineStr">
        <is>
          <t>46(7)-P01</t>
        </is>
      </c>
      <c r="B34" t="inlineStr">
        <is>
          <t>46 (7).tif</t>
        </is>
      </c>
      <c r="C34" t="inlineStr">
        <is>
          <t>46(7)-V01</t>
        </is>
      </c>
      <c r="D34">
        <f>导管母表_860!F183</f>
        <v/>
      </c>
      <c r="E34">
        <f>导管母表_860!G183</f>
        <v/>
      </c>
      <c r="F34" t="inlineStr">
        <is>
          <t>46(7)-V02</t>
        </is>
      </c>
      <c r="G34">
        <f>导管母表_860!F184</f>
        <v/>
      </c>
      <c r="H34">
        <f>导管母表_860!G184</f>
        <v/>
      </c>
      <c r="I34" t="inlineStr">
        <is>
          <t>J53:J56</t>
        </is>
      </c>
      <c r="J34">
        <f>COUNT(TVW线测量明细!J53:J56)</f>
        <v/>
      </c>
      <c r="K34">
        <f>AVERAGE(TVW线测量明细!J53:J56)</f>
        <v/>
      </c>
      <c r="L34">
        <f>MEDIAN(TVW线测量明细!J53:J56)</f>
        <v/>
      </c>
      <c r="M34">
        <f>IF(J34&gt;1,STDEV(TVW线测量明细!J53:J56),0)</f>
        <v/>
      </c>
      <c r="N34">
        <f>IF(K34=0,"",M34/K34*100)</f>
        <v/>
      </c>
      <c r="O34" t="n">
        <v>3.888813873912678</v>
      </c>
      <c r="P34">
        <f>IF(O34=0,"",(K34/O34-1)*100)</f>
        <v/>
      </c>
      <c r="Q34">
        <f>(K34/E34)^2</f>
        <v/>
      </c>
      <c r="R34">
        <f>(K34/H34)^2</f>
        <v/>
      </c>
      <c r="S34">
        <f>AVERAGE(Q34,R34)</f>
        <v/>
      </c>
      <c r="T34">
        <f>AVERAGE((O34/E34)^2,(O34/H34)^2)</f>
        <v/>
      </c>
      <c r="U34">
        <f>IF(T34=0,"",(S34/T34-1)*100)</f>
        <v/>
      </c>
      <c r="V34">
        <f>AVERAGE((L34/E34)^2,(L34/H34)^2)</f>
        <v/>
      </c>
      <c r="W34">
        <f>IF(ABS(E34-汇总!B25)&lt;=ABS(H34-汇总!B25),E34,H34)</f>
        <v/>
      </c>
      <c r="X34">
        <f>(K34/W34)^2</f>
        <v/>
      </c>
      <c r="Y34">
        <f>IF(N34&gt;10,"HIGH_TVW_CV",IF(J34&lt;3,"SHORT_INTERFACE","PASS"))</f>
        <v/>
      </c>
      <c r="Z34" t="inlineStr">
        <is>
          <t>Di1、TVW均值、Di2均来自本Pair_ID；TVW=3–5法线平均</t>
        </is>
      </c>
      <c r="AA34" t="inlineStr">
        <is>
          <t>样品46</t>
        </is>
      </c>
    </row>
    <row r="35">
      <c r="A35" t="inlineStr">
        <is>
          <t>47(1)-P01</t>
        </is>
      </c>
      <c r="B35" t="inlineStr">
        <is>
          <t>47 (1).tif</t>
        </is>
      </c>
      <c r="C35" t="inlineStr">
        <is>
          <t>47(1)-V03</t>
        </is>
      </c>
      <c r="D35">
        <f>导管母表_860!F193</f>
        <v/>
      </c>
      <c r="E35">
        <f>导管母表_860!G193</f>
        <v/>
      </c>
      <c r="F35" t="inlineStr">
        <is>
          <t>47(1)-V05</t>
        </is>
      </c>
      <c r="G35">
        <f>导管母表_860!F195</f>
        <v/>
      </c>
      <c r="H35">
        <f>导管母表_860!G195</f>
        <v/>
      </c>
      <c r="I35" t="inlineStr">
        <is>
          <t>J57:J58</t>
        </is>
      </c>
      <c r="J35">
        <f>COUNT(TVW线测量明细!J57:J58)</f>
        <v/>
      </c>
      <c r="K35">
        <f>AVERAGE(TVW线测量明细!J57:J58)</f>
        <v/>
      </c>
      <c r="L35">
        <f>MEDIAN(TVW线测量明细!J57:J58)</f>
        <v/>
      </c>
      <c r="M35">
        <f>IF(J35&gt;1,STDEV(TVW线测量明细!J57:J58),0)</f>
        <v/>
      </c>
      <c r="N35">
        <f>IF(K35=0,"",M35/K35*100)</f>
        <v/>
      </c>
      <c r="O35" t="n">
        <v>11.27294970649059</v>
      </c>
      <c r="P35">
        <f>IF(O35=0,"",(K35/O35-1)*100)</f>
        <v/>
      </c>
      <c r="Q35">
        <f>(K35/E35)^2</f>
        <v/>
      </c>
      <c r="R35">
        <f>(K35/H35)^2</f>
        <v/>
      </c>
      <c r="S35">
        <f>AVERAGE(Q35,R35)</f>
        <v/>
      </c>
      <c r="T35">
        <f>AVERAGE((O35/E35)^2,(O35/H35)^2)</f>
        <v/>
      </c>
      <c r="U35">
        <f>IF(T35=0,"",(S35/T35-1)*100)</f>
        <v/>
      </c>
      <c r="V35">
        <f>AVERAGE((L35/E35)^2,(L35/H35)^2)</f>
        <v/>
      </c>
      <c r="W35">
        <f>IF(ABS(E35-汇总!B25)&lt;=ABS(H35-汇总!B25),E35,H35)</f>
        <v/>
      </c>
      <c r="X35">
        <f>(K35/W35)^2</f>
        <v/>
      </c>
      <c r="Y35">
        <f>IF(N35&gt;10,"HIGH_TVW_CV",IF(J35&lt;3,"SHORT_INTERFACE","PASS"))</f>
        <v/>
      </c>
      <c r="Z35" t="inlineStr">
        <is>
          <t>Di1、TVW均值、Di2均来自本Pair_ID；TVW=3–5法线平均</t>
        </is>
      </c>
      <c r="AA35" t="inlineStr">
        <is>
          <t>样品47</t>
        </is>
      </c>
    </row>
    <row r="36">
      <c r="A36" t="inlineStr">
        <is>
          <t>47(3)-P01</t>
        </is>
      </c>
      <c r="B36" t="inlineStr">
        <is>
          <t>47 (3).tif</t>
        </is>
      </c>
      <c r="C36" t="inlineStr">
        <is>
          <t>47(3)-V04</t>
        </is>
      </c>
      <c r="D36">
        <f>导管母表_860!F204</f>
        <v/>
      </c>
      <c r="E36">
        <f>导管母表_860!G204</f>
        <v/>
      </c>
      <c r="F36" t="inlineStr">
        <is>
          <t>47(3)-V05</t>
        </is>
      </c>
      <c r="G36">
        <f>导管母表_860!F205</f>
        <v/>
      </c>
      <c r="H36">
        <f>导管母表_860!G205</f>
        <v/>
      </c>
      <c r="I36" t="inlineStr">
        <is>
          <t>J59:J61</t>
        </is>
      </c>
      <c r="J36">
        <f>COUNT(TVW线测量明细!J59:J61)</f>
        <v/>
      </c>
      <c r="K36">
        <f>AVERAGE(TVW线测量明细!J59:J61)</f>
        <v/>
      </c>
      <c r="L36">
        <f>MEDIAN(TVW线测量明细!J59:J61)</f>
        <v/>
      </c>
      <c r="M36">
        <f>IF(J36&gt;1,STDEV(TVW线测量明细!J59:J61),0)</f>
        <v/>
      </c>
      <c r="N36">
        <f>IF(K36=0,"",M36/K36*100)</f>
        <v/>
      </c>
      <c r="O36" t="n">
        <v>5.235475903822737</v>
      </c>
      <c r="P36">
        <f>IF(O36=0,"",(K36/O36-1)*100)</f>
        <v/>
      </c>
      <c r="Q36">
        <f>(K36/E36)^2</f>
        <v/>
      </c>
      <c r="R36">
        <f>(K36/H36)^2</f>
        <v/>
      </c>
      <c r="S36">
        <f>AVERAGE(Q36,R36)</f>
        <v/>
      </c>
      <c r="T36">
        <f>AVERAGE((O36/E36)^2,(O36/H36)^2)</f>
        <v/>
      </c>
      <c r="U36">
        <f>IF(T36=0,"",(S36/T36-1)*100)</f>
        <v/>
      </c>
      <c r="V36">
        <f>AVERAGE((L36/E36)^2,(L36/H36)^2)</f>
        <v/>
      </c>
      <c r="W36">
        <f>IF(ABS(E36-汇总!B25)&lt;=ABS(H36-汇总!B25),E36,H36)</f>
        <v/>
      </c>
      <c r="X36">
        <f>(K36/W36)^2</f>
        <v/>
      </c>
      <c r="Y36">
        <f>IF(N36&gt;10,"HIGH_TVW_CV",IF(J36&lt;3,"SHORT_INTERFACE","PASS"))</f>
        <v/>
      </c>
      <c r="Z36" t="inlineStr">
        <is>
          <t>Di1、TVW均值、Di2均来自本Pair_ID；TVW=3–5法线平均</t>
        </is>
      </c>
      <c r="AA36" t="inlineStr">
        <is>
          <t>样品47</t>
        </is>
      </c>
    </row>
    <row r="37">
      <c r="A37" t="inlineStr">
        <is>
          <t>47(5)-P01</t>
        </is>
      </c>
      <c r="B37" t="inlineStr">
        <is>
          <t>47 (5).tif</t>
        </is>
      </c>
      <c r="C37" t="inlineStr">
        <is>
          <t>47(5)-V03</t>
        </is>
      </c>
      <c r="D37">
        <f>导管母表_860!F213</f>
        <v/>
      </c>
      <c r="E37">
        <f>导管母表_860!G213</f>
        <v/>
      </c>
      <c r="F37" t="inlineStr">
        <is>
          <t>47(5)-V04</t>
        </is>
      </c>
      <c r="G37">
        <f>导管母表_860!F214</f>
        <v/>
      </c>
      <c r="H37">
        <f>导管母表_860!G214</f>
        <v/>
      </c>
      <c r="I37" t="inlineStr">
        <is>
          <t>J62:J62</t>
        </is>
      </c>
      <c r="J37">
        <f>COUNT(TVW线测量明细!J62:J62)</f>
        <v/>
      </c>
      <c r="K37">
        <f>AVERAGE(TVW线测量明细!J62:J62)</f>
        <v/>
      </c>
      <c r="L37">
        <f>MEDIAN(TVW线测量明细!J62:J62)</f>
        <v/>
      </c>
      <c r="M37">
        <f>IF(J37&gt;1,STDEV(TVW线测量明细!J62:J62),0)</f>
        <v/>
      </c>
      <c r="N37">
        <f>IF(K37=0,"",M37/K37*100)</f>
        <v/>
      </c>
      <c r="O37" t="n">
        <v>0</v>
      </c>
      <c r="P37">
        <f>IF(O37=0,"",(K37/O37-1)*100)</f>
        <v/>
      </c>
      <c r="Q37">
        <f>(K37/E37)^2</f>
        <v/>
      </c>
      <c r="R37">
        <f>(K37/H37)^2</f>
        <v/>
      </c>
      <c r="S37">
        <f>AVERAGE(Q37,R37)</f>
        <v/>
      </c>
      <c r="T37">
        <f>AVERAGE((O37/E37)^2,(O37/H37)^2)</f>
        <v/>
      </c>
      <c r="U37">
        <f>IF(T37=0,"",(S37/T37-1)*100)</f>
        <v/>
      </c>
      <c r="V37">
        <f>AVERAGE((L37/E37)^2,(L37/H37)^2)</f>
        <v/>
      </c>
      <c r="W37">
        <f>IF(ABS(E37-汇总!B25)&lt;=ABS(H37-汇总!B25),E37,H37)</f>
        <v/>
      </c>
      <c r="X37">
        <f>(K37/W37)^2</f>
        <v/>
      </c>
      <c r="Y37">
        <f>IF(N37&gt;10,"HIGH_TVW_CV",IF(J37&lt;3,"SHORT_INTERFACE","PASS"))</f>
        <v/>
      </c>
      <c r="Z37" t="inlineStr">
        <is>
          <t>Di1、TVW均值、Di2均来自本Pair_ID；TVW=3–5法线平均</t>
        </is>
      </c>
      <c r="AA37" t="inlineStr">
        <is>
          <t>样品47</t>
        </is>
      </c>
    </row>
    <row r="38">
      <c r="A38" t="inlineStr">
        <is>
          <t>47(6)-P01</t>
        </is>
      </c>
      <c r="B38" t="inlineStr">
        <is>
          <t>47 (6).tif</t>
        </is>
      </c>
      <c r="C38" t="inlineStr">
        <is>
          <t>47(6)-V03</t>
        </is>
      </c>
      <c r="D38">
        <f>导管母表_860!F217</f>
        <v/>
      </c>
      <c r="E38">
        <f>导管母表_860!G217</f>
        <v/>
      </c>
      <c r="F38" t="inlineStr">
        <is>
          <t>47(6)-V04</t>
        </is>
      </c>
      <c r="G38">
        <f>导管母表_860!F218</f>
        <v/>
      </c>
      <c r="H38">
        <f>导管母表_860!G218</f>
        <v/>
      </c>
      <c r="I38" t="inlineStr">
        <is>
          <t>J63:J63</t>
        </is>
      </c>
      <c r="J38">
        <f>COUNT(TVW线测量明细!J63:J63)</f>
        <v/>
      </c>
      <c r="K38">
        <f>AVERAGE(TVW线测量明细!J63:J63)</f>
        <v/>
      </c>
      <c r="L38">
        <f>MEDIAN(TVW线测量明细!J63:J63)</f>
        <v/>
      </c>
      <c r="M38">
        <f>IF(J38&gt;1,STDEV(TVW线测量明细!J63:J63),0)</f>
        <v/>
      </c>
      <c r="N38">
        <f>IF(K38=0,"",M38/K38*100)</f>
        <v/>
      </c>
      <c r="O38" t="n">
        <v>0</v>
      </c>
      <c r="P38">
        <f>IF(O38=0,"",(K38/O38-1)*100)</f>
        <v/>
      </c>
      <c r="Q38">
        <f>(K38/E38)^2</f>
        <v/>
      </c>
      <c r="R38">
        <f>(K38/H38)^2</f>
        <v/>
      </c>
      <c r="S38">
        <f>AVERAGE(Q38,R38)</f>
        <v/>
      </c>
      <c r="T38">
        <f>AVERAGE((O38/E38)^2,(O38/H38)^2)</f>
        <v/>
      </c>
      <c r="U38">
        <f>IF(T38=0,"",(S38/T38-1)*100)</f>
        <v/>
      </c>
      <c r="V38">
        <f>AVERAGE((L38/E38)^2,(L38/H38)^2)</f>
        <v/>
      </c>
      <c r="W38">
        <f>IF(ABS(E38-汇总!B25)&lt;=ABS(H38-汇总!B25),E38,H38)</f>
        <v/>
      </c>
      <c r="X38">
        <f>(K38/W38)^2</f>
        <v/>
      </c>
      <c r="Y38">
        <f>IF(N38&gt;10,"HIGH_TVW_CV",IF(J38&lt;3,"SHORT_INTERFACE","PASS"))</f>
        <v/>
      </c>
      <c r="Z38" t="inlineStr">
        <is>
          <t>Di1、TVW均值、Di2均来自本Pair_ID；TVW=3–5法线平均</t>
        </is>
      </c>
      <c r="AA38" t="inlineStr">
        <is>
          <t>样品47</t>
        </is>
      </c>
    </row>
    <row r="39">
      <c r="A39" t="inlineStr">
        <is>
          <t>47(7)-P01</t>
        </is>
      </c>
      <c r="B39" t="inlineStr">
        <is>
          <t>47 (7).tif</t>
        </is>
      </c>
      <c r="C39" t="inlineStr">
        <is>
          <t>47(7)-V01</t>
        </is>
      </c>
      <c r="D39">
        <f>导管母表_860!F219</f>
        <v/>
      </c>
      <c r="E39">
        <f>导管母表_860!G219</f>
        <v/>
      </c>
      <c r="F39" t="inlineStr">
        <is>
          <t>47(7)-V09</t>
        </is>
      </c>
      <c r="G39">
        <f>导管母表_860!F227</f>
        <v/>
      </c>
      <c r="H39">
        <f>导管母表_860!G227</f>
        <v/>
      </c>
      <c r="I39" t="inlineStr">
        <is>
          <t>J64:J64</t>
        </is>
      </c>
      <c r="J39">
        <f>COUNT(TVW线测量明细!J64:J64)</f>
        <v/>
      </c>
      <c r="K39">
        <f>AVERAGE(TVW线测量明细!J64:J64)</f>
        <v/>
      </c>
      <c r="L39">
        <f>MEDIAN(TVW线测量明细!J64:J64)</f>
        <v/>
      </c>
      <c r="M39">
        <f>IF(J39&gt;1,STDEV(TVW线测量明细!J64:J64),0)</f>
        <v/>
      </c>
      <c r="N39">
        <f>IF(K39=0,"",M39/K39*100)</f>
        <v/>
      </c>
      <c r="O39" t="n">
        <v>0</v>
      </c>
      <c r="P39">
        <f>IF(O39=0,"",(K39/O39-1)*100)</f>
        <v/>
      </c>
      <c r="Q39">
        <f>(K39/E39)^2</f>
        <v/>
      </c>
      <c r="R39">
        <f>(K39/H39)^2</f>
        <v/>
      </c>
      <c r="S39">
        <f>AVERAGE(Q39,R39)</f>
        <v/>
      </c>
      <c r="T39">
        <f>AVERAGE((O39/E39)^2,(O39/H39)^2)</f>
        <v/>
      </c>
      <c r="U39">
        <f>IF(T39=0,"",(S39/T39-1)*100)</f>
        <v/>
      </c>
      <c r="V39">
        <f>AVERAGE((L39/E39)^2,(L39/H39)^2)</f>
        <v/>
      </c>
      <c r="W39">
        <f>IF(ABS(E39-汇总!B25)&lt;=ABS(H39-汇总!B25),E39,H39)</f>
        <v/>
      </c>
      <c r="X39">
        <f>(K39/W39)^2</f>
        <v/>
      </c>
      <c r="Y39">
        <f>IF(N39&gt;10,"HIGH_TVW_CV",IF(J39&lt;3,"SHORT_INTERFACE","PASS"))</f>
        <v/>
      </c>
      <c r="Z39" t="inlineStr">
        <is>
          <t>Di1、TVW均值、Di2均来自本Pair_ID；TVW=3–5法线平均</t>
        </is>
      </c>
      <c r="AA39" t="inlineStr">
        <is>
          <t>样品47</t>
        </is>
      </c>
    </row>
    <row r="40">
      <c r="A40" t="inlineStr">
        <is>
          <t>47(8)-P01</t>
        </is>
      </c>
      <c r="B40" t="inlineStr">
        <is>
          <t>47 (8).tif</t>
        </is>
      </c>
      <c r="C40" t="inlineStr">
        <is>
          <t>47(8)-V03</t>
        </is>
      </c>
      <c r="D40">
        <f>导管母表_860!F230</f>
        <v/>
      </c>
      <c r="E40">
        <f>导管母表_860!G230</f>
        <v/>
      </c>
      <c r="F40" t="inlineStr">
        <is>
          <t>47(8)-V04</t>
        </is>
      </c>
      <c r="G40">
        <f>导管母表_860!F231</f>
        <v/>
      </c>
      <c r="H40">
        <f>导管母表_860!G231</f>
        <v/>
      </c>
      <c r="I40" t="inlineStr">
        <is>
          <t>J65:J66</t>
        </is>
      </c>
      <c r="J40">
        <f>COUNT(TVW线测量明细!J65:J66)</f>
        <v/>
      </c>
      <c r="K40">
        <f>AVERAGE(TVW线测量明细!J65:J66)</f>
        <v/>
      </c>
      <c r="L40">
        <f>MEDIAN(TVW线测量明细!J65:J66)</f>
        <v/>
      </c>
      <c r="M40">
        <f>IF(J40&gt;1,STDEV(TVW线测量明细!J65:J66),0)</f>
        <v/>
      </c>
      <c r="N40">
        <f>IF(K40=0,"",M40/K40*100)</f>
        <v/>
      </c>
      <c r="O40" t="n">
        <v>18.49743250972404</v>
      </c>
      <c r="P40">
        <f>IF(O40=0,"",(K40/O40-1)*100)</f>
        <v/>
      </c>
      <c r="Q40">
        <f>(K40/E40)^2</f>
        <v/>
      </c>
      <c r="R40">
        <f>(K40/H40)^2</f>
        <v/>
      </c>
      <c r="S40">
        <f>AVERAGE(Q40,R40)</f>
        <v/>
      </c>
      <c r="T40">
        <f>AVERAGE((O40/E40)^2,(O40/H40)^2)</f>
        <v/>
      </c>
      <c r="U40">
        <f>IF(T40=0,"",(S40/T40-1)*100)</f>
        <v/>
      </c>
      <c r="V40">
        <f>AVERAGE((L40/E40)^2,(L40/H40)^2)</f>
        <v/>
      </c>
      <c r="W40">
        <f>IF(ABS(E40-汇总!B25)&lt;=ABS(H40-汇总!B25),E40,H40)</f>
        <v/>
      </c>
      <c r="X40">
        <f>(K40/W40)^2</f>
        <v/>
      </c>
      <c r="Y40">
        <f>IF(N40&gt;10,"HIGH_TVW_CV",IF(J40&lt;3,"SHORT_INTERFACE","PASS"))</f>
        <v/>
      </c>
      <c r="Z40" t="inlineStr">
        <is>
          <t>Di1、TVW均值、Di2均来自本Pair_ID；TVW=3–5法线平均</t>
        </is>
      </c>
      <c r="AA40" t="inlineStr">
        <is>
          <t>样品47</t>
        </is>
      </c>
    </row>
    <row r="41">
      <c r="A41" t="inlineStr">
        <is>
          <t>48(1)-P01</t>
        </is>
      </c>
      <c r="B41" t="inlineStr">
        <is>
          <t>48 (1).tif</t>
        </is>
      </c>
      <c r="C41" t="inlineStr">
        <is>
          <t>48(1)-V01</t>
        </is>
      </c>
      <c r="D41">
        <f>导管母表_860!F233</f>
        <v/>
      </c>
      <c r="E41">
        <f>导管母表_860!G233</f>
        <v/>
      </c>
      <c r="F41" t="inlineStr">
        <is>
          <t>48(1)-V05</t>
        </is>
      </c>
      <c r="G41">
        <f>导管母表_860!F237</f>
        <v/>
      </c>
      <c r="H41">
        <f>导管母表_860!G237</f>
        <v/>
      </c>
      <c r="I41" t="inlineStr">
        <is>
          <t>J67:J67</t>
        </is>
      </c>
      <c r="J41">
        <f>COUNT(TVW线测量明细!J67:J67)</f>
        <v/>
      </c>
      <c r="K41">
        <f>AVERAGE(TVW线测量明细!J67:J67)</f>
        <v/>
      </c>
      <c r="L41">
        <f>MEDIAN(TVW线测量明细!J67:J67)</f>
        <v/>
      </c>
      <c r="M41">
        <f>IF(J41&gt;1,STDEV(TVW线测量明细!J67:J67),0)</f>
        <v/>
      </c>
      <c r="N41">
        <f>IF(K41=0,"",M41/K41*100)</f>
        <v/>
      </c>
      <c r="O41" t="n">
        <v>7.01739669198651</v>
      </c>
      <c r="P41">
        <f>IF(O41=0,"",(K41/O41-1)*100)</f>
        <v/>
      </c>
      <c r="Q41">
        <f>(K41/E41)^2</f>
        <v/>
      </c>
      <c r="R41">
        <f>(K41/H41)^2</f>
        <v/>
      </c>
      <c r="S41">
        <f>AVERAGE(Q41,R41)</f>
        <v/>
      </c>
      <c r="T41">
        <f>AVERAGE((O41/E41)^2,(O41/H41)^2)</f>
        <v/>
      </c>
      <c r="U41">
        <f>IF(T41=0,"",(S41/T41-1)*100)</f>
        <v/>
      </c>
      <c r="V41">
        <f>AVERAGE((L41/E41)^2,(L41/H41)^2)</f>
        <v/>
      </c>
      <c r="W41">
        <f>IF(ABS(E41-汇总!B25)&lt;=ABS(H41-汇总!B25),E41,H41)</f>
        <v/>
      </c>
      <c r="X41">
        <f>(K41/W41)^2</f>
        <v/>
      </c>
      <c r="Y41">
        <f>IF(N41&gt;10,"HIGH_TVW_CV",IF(J41&lt;3,"SHORT_INTERFACE","PASS"))</f>
        <v/>
      </c>
      <c r="Z41" t="inlineStr">
        <is>
          <t>Di1、TVW均值、Di2均来自本Pair_ID；TVW=3–5法线平均</t>
        </is>
      </c>
      <c r="AA41" t="inlineStr">
        <is>
          <t>样品48</t>
        </is>
      </c>
    </row>
    <row r="42">
      <c r="A42" t="inlineStr">
        <is>
          <t>48(2)-P01</t>
        </is>
      </c>
      <c r="B42" t="inlineStr">
        <is>
          <t>48 (2).tif</t>
        </is>
      </c>
      <c r="C42" t="inlineStr">
        <is>
          <t>48(2)-V01</t>
        </is>
      </c>
      <c r="D42">
        <f>导管母表_860!F239</f>
        <v/>
      </c>
      <c r="E42">
        <f>导管母表_860!G239</f>
        <v/>
      </c>
      <c r="F42" t="inlineStr">
        <is>
          <t>48(2)-V02</t>
        </is>
      </c>
      <c r="G42">
        <f>导管母表_860!F240</f>
        <v/>
      </c>
      <c r="H42">
        <f>导管母表_860!G240</f>
        <v/>
      </c>
      <c r="I42" t="inlineStr">
        <is>
          <t>J68:J68</t>
        </is>
      </c>
      <c r="J42">
        <f>COUNT(TVW线测量明细!J68:J68)</f>
        <v/>
      </c>
      <c r="K42">
        <f>AVERAGE(TVW线测量明细!J68:J68)</f>
        <v/>
      </c>
      <c r="L42">
        <f>MEDIAN(TVW线测量明细!J68:J68)</f>
        <v/>
      </c>
      <c r="M42">
        <f>IF(J42&gt;1,STDEV(TVW线测量明细!J68:J68),0)</f>
        <v/>
      </c>
      <c r="N42">
        <f>IF(K42=0,"",M42/K42*100)</f>
        <v/>
      </c>
      <c r="O42" t="n">
        <v>6.822762968032702</v>
      </c>
      <c r="P42">
        <f>IF(O42=0,"",(K42/O42-1)*100)</f>
        <v/>
      </c>
      <c r="Q42">
        <f>(K42/E42)^2</f>
        <v/>
      </c>
      <c r="R42">
        <f>(K42/H42)^2</f>
        <v/>
      </c>
      <c r="S42">
        <f>AVERAGE(Q42,R42)</f>
        <v/>
      </c>
      <c r="T42">
        <f>AVERAGE((O42/E42)^2,(O42/H42)^2)</f>
        <v/>
      </c>
      <c r="U42">
        <f>IF(T42=0,"",(S42/T42-1)*100)</f>
        <v/>
      </c>
      <c r="V42">
        <f>AVERAGE((L42/E42)^2,(L42/H42)^2)</f>
        <v/>
      </c>
      <c r="W42">
        <f>IF(ABS(E42-汇总!B25)&lt;=ABS(H42-汇总!B25),E42,H42)</f>
        <v/>
      </c>
      <c r="X42">
        <f>(K42/W42)^2</f>
        <v/>
      </c>
      <c r="Y42">
        <f>IF(N42&gt;10,"HIGH_TVW_CV",IF(J42&lt;3,"SHORT_INTERFACE","PASS"))</f>
        <v/>
      </c>
      <c r="Z42" t="inlineStr">
        <is>
          <t>Di1、TVW均值、Di2均来自本Pair_ID；TVW=3–5法线平均</t>
        </is>
      </c>
      <c r="AA42" t="inlineStr">
        <is>
          <t>样品48</t>
        </is>
      </c>
    </row>
    <row r="43">
      <c r="A43" t="inlineStr">
        <is>
          <t>48(3)-P01</t>
        </is>
      </c>
      <c r="B43" t="inlineStr">
        <is>
          <t>48 (3).tif</t>
        </is>
      </c>
      <c r="C43" t="inlineStr">
        <is>
          <t>48(3)-V02</t>
        </is>
      </c>
      <c r="D43">
        <f>导管母表_860!F243</f>
        <v/>
      </c>
      <c r="E43">
        <f>导管母表_860!G243</f>
        <v/>
      </c>
      <c r="F43" t="inlineStr">
        <is>
          <t>48(3)-V03</t>
        </is>
      </c>
      <c r="G43">
        <f>导管母表_860!F244</f>
        <v/>
      </c>
      <c r="H43">
        <f>导管母表_860!G244</f>
        <v/>
      </c>
      <c r="I43" t="inlineStr">
        <is>
          <t>J69:J69</t>
        </is>
      </c>
      <c r="J43">
        <f>COUNT(TVW线测量明细!J69:J69)</f>
        <v/>
      </c>
      <c r="K43">
        <f>AVERAGE(TVW线测量明细!J69:J69)</f>
        <v/>
      </c>
      <c r="L43">
        <f>MEDIAN(TVW线测量明细!J69:J69)</f>
        <v/>
      </c>
      <c r="M43">
        <f>IF(J43&gt;1,STDEV(TVW线测量明细!J69:J69),0)</f>
        <v/>
      </c>
      <c r="N43">
        <f>IF(K43=0,"",M43/K43*100)</f>
        <v/>
      </c>
      <c r="O43" t="n">
        <v>6.437866476069933</v>
      </c>
      <c r="P43">
        <f>IF(O43=0,"",(K43/O43-1)*100)</f>
        <v/>
      </c>
      <c r="Q43">
        <f>(K43/E43)^2</f>
        <v/>
      </c>
      <c r="R43">
        <f>(K43/H43)^2</f>
        <v/>
      </c>
      <c r="S43">
        <f>AVERAGE(Q43,R43)</f>
        <v/>
      </c>
      <c r="T43">
        <f>AVERAGE((O43/E43)^2,(O43/H43)^2)</f>
        <v/>
      </c>
      <c r="U43">
        <f>IF(T43=0,"",(S43/T43-1)*100)</f>
        <v/>
      </c>
      <c r="V43">
        <f>AVERAGE((L43/E43)^2,(L43/H43)^2)</f>
        <v/>
      </c>
      <c r="W43">
        <f>IF(ABS(E43-汇总!B25)&lt;=ABS(H43-汇总!B25),E43,H43)</f>
        <v/>
      </c>
      <c r="X43">
        <f>(K43/W43)^2</f>
        <v/>
      </c>
      <c r="Y43">
        <f>IF(N43&gt;10,"HIGH_TVW_CV",IF(J43&lt;3,"SHORT_INTERFACE","PASS"))</f>
        <v/>
      </c>
      <c r="Z43" t="inlineStr">
        <is>
          <t>Di1、TVW均值、Di2均来自本Pair_ID；TVW=3–5法线平均</t>
        </is>
      </c>
      <c r="AA43" t="inlineStr">
        <is>
          <t>样品48</t>
        </is>
      </c>
    </row>
    <row r="44">
      <c r="A44" t="inlineStr">
        <is>
          <t>48(5)-P01</t>
        </is>
      </c>
      <c r="B44" t="inlineStr">
        <is>
          <t>48 (5).tif</t>
        </is>
      </c>
      <c r="C44" t="inlineStr">
        <is>
          <t>48(5)-V02</t>
        </is>
      </c>
      <c r="D44">
        <f>导管母表_860!F252</f>
        <v/>
      </c>
      <c r="E44">
        <f>导管母表_860!G252</f>
        <v/>
      </c>
      <c r="F44" t="inlineStr">
        <is>
          <t>48(5)-V04</t>
        </is>
      </c>
      <c r="G44">
        <f>导管母表_860!F254</f>
        <v/>
      </c>
      <c r="H44">
        <f>导管母表_860!G254</f>
        <v/>
      </c>
      <c r="I44" t="inlineStr">
        <is>
          <t>J70:J70</t>
        </is>
      </c>
      <c r="J44">
        <f>COUNT(TVW线测量明细!J70:J70)</f>
        <v/>
      </c>
      <c r="K44">
        <f>AVERAGE(TVW线测量明细!J70:J70)</f>
        <v/>
      </c>
      <c r="L44">
        <f>MEDIAN(TVW线测量明细!J70:J70)</f>
        <v/>
      </c>
      <c r="M44">
        <f>IF(J44&gt;1,STDEV(TVW线测量明细!J70:J70),0)</f>
        <v/>
      </c>
      <c r="N44">
        <f>IF(K44=0,"",M44/K44*100)</f>
        <v/>
      </c>
      <c r="O44" t="n">
        <v>0.4347826086956522</v>
      </c>
      <c r="P44">
        <f>IF(O44=0,"",(K44/O44-1)*100)</f>
        <v/>
      </c>
      <c r="Q44">
        <f>(K44/E44)^2</f>
        <v/>
      </c>
      <c r="R44">
        <f>(K44/H44)^2</f>
        <v/>
      </c>
      <c r="S44">
        <f>AVERAGE(Q44,R44)</f>
        <v/>
      </c>
      <c r="T44">
        <f>AVERAGE((O44/E44)^2,(O44/H44)^2)</f>
        <v/>
      </c>
      <c r="U44">
        <f>IF(T44=0,"",(S44/T44-1)*100)</f>
        <v/>
      </c>
      <c r="V44">
        <f>AVERAGE((L44/E44)^2,(L44/H44)^2)</f>
        <v/>
      </c>
      <c r="W44">
        <f>IF(ABS(E44-汇总!B25)&lt;=ABS(H44-汇总!B25),E44,H44)</f>
        <v/>
      </c>
      <c r="X44">
        <f>(K44/W44)^2</f>
        <v/>
      </c>
      <c r="Y44">
        <f>IF(N44&gt;10,"HIGH_TVW_CV",IF(J44&lt;3,"SHORT_INTERFACE","PASS"))</f>
        <v/>
      </c>
      <c r="Z44" t="inlineStr">
        <is>
          <t>Di1、TVW均值、Di2均来自本Pair_ID；TVW=3–5法线平均</t>
        </is>
      </c>
      <c r="AA44" t="inlineStr">
        <is>
          <t>样品48</t>
        </is>
      </c>
    </row>
    <row r="45">
      <c r="A45" t="inlineStr">
        <is>
          <t>48(6)-P01</t>
        </is>
      </c>
      <c r="B45" t="inlineStr">
        <is>
          <t>48 (6).tif</t>
        </is>
      </c>
      <c r="C45" t="inlineStr">
        <is>
          <t>48(6)-V01</t>
        </is>
      </c>
      <c r="D45">
        <f>导管母表_860!F257</f>
        <v/>
      </c>
      <c r="E45">
        <f>导管母表_860!G257</f>
        <v/>
      </c>
      <c r="F45" t="inlineStr">
        <is>
          <t>48(6)-V02</t>
        </is>
      </c>
      <c r="G45">
        <f>导管母表_860!F258</f>
        <v/>
      </c>
      <c r="H45">
        <f>导管母表_860!G258</f>
        <v/>
      </c>
      <c r="I45" t="inlineStr">
        <is>
          <t>J71:J72</t>
        </is>
      </c>
      <c r="J45">
        <f>COUNT(TVW线测量明细!J71:J72)</f>
        <v/>
      </c>
      <c r="K45">
        <f>AVERAGE(TVW线测量明细!J71:J72)</f>
        <v/>
      </c>
      <c r="L45">
        <f>MEDIAN(TVW线测量明细!J71:J72)</f>
        <v/>
      </c>
      <c r="M45">
        <f>IF(J45&gt;1,STDEV(TVW线测量明细!J71:J72),0)</f>
        <v/>
      </c>
      <c r="N45">
        <f>IF(K45=0,"",M45/K45*100)</f>
        <v/>
      </c>
      <c r="O45" t="n">
        <v>5.610212130679974</v>
      </c>
      <c r="P45">
        <f>IF(O45=0,"",(K45/O45-1)*100)</f>
        <v/>
      </c>
      <c r="Q45">
        <f>(K45/E45)^2</f>
        <v/>
      </c>
      <c r="R45">
        <f>(K45/H45)^2</f>
        <v/>
      </c>
      <c r="S45">
        <f>AVERAGE(Q45,R45)</f>
        <v/>
      </c>
      <c r="T45">
        <f>AVERAGE((O45/E45)^2,(O45/H45)^2)</f>
        <v/>
      </c>
      <c r="U45">
        <f>IF(T45=0,"",(S45/T45-1)*100)</f>
        <v/>
      </c>
      <c r="V45">
        <f>AVERAGE((L45/E45)^2,(L45/H45)^2)</f>
        <v/>
      </c>
      <c r="W45">
        <f>IF(ABS(E45-汇总!B25)&lt;=ABS(H45-汇总!B25),E45,H45)</f>
        <v/>
      </c>
      <c r="X45">
        <f>(K45/W45)^2</f>
        <v/>
      </c>
      <c r="Y45">
        <f>IF(N45&gt;10,"HIGH_TVW_CV",IF(J45&lt;3,"SHORT_INTERFACE","PASS"))</f>
        <v/>
      </c>
      <c r="Z45" t="inlineStr">
        <is>
          <t>Di1、TVW均值、Di2均来自本Pair_ID；TVW=3–5法线平均</t>
        </is>
      </c>
      <c r="AA45" t="inlineStr">
        <is>
          <t>样品48</t>
        </is>
      </c>
    </row>
    <row r="46">
      <c r="A46" t="inlineStr">
        <is>
          <t>48(8)-P01</t>
        </is>
      </c>
      <c r="B46" t="inlineStr">
        <is>
          <t>48 (8).tif</t>
        </is>
      </c>
      <c r="C46" t="inlineStr">
        <is>
          <t>48(8)-V01</t>
        </is>
      </c>
      <c r="D46">
        <f>导管母表_860!F268</f>
        <v/>
      </c>
      <c r="E46">
        <f>导管母表_860!G268</f>
        <v/>
      </c>
      <c r="F46" t="inlineStr">
        <is>
          <t>48(8)-V02</t>
        </is>
      </c>
      <c r="G46">
        <f>导管母表_860!F269</f>
        <v/>
      </c>
      <c r="H46">
        <f>导管母表_860!G269</f>
        <v/>
      </c>
      <c r="I46" t="inlineStr">
        <is>
          <t>J73:J73</t>
        </is>
      </c>
      <c r="J46">
        <f>COUNT(TVW线测量明细!J73:J73)</f>
        <v/>
      </c>
      <c r="K46">
        <f>AVERAGE(TVW线测量明细!J73:J73)</f>
        <v/>
      </c>
      <c r="L46">
        <f>MEDIAN(TVW线测量明细!J73:J73)</f>
        <v/>
      </c>
      <c r="M46">
        <f>IF(J46&gt;1,STDEV(TVW线测量明细!J73:J73),0)</f>
        <v/>
      </c>
      <c r="N46">
        <f>IF(K46=0,"",M46/K46*100)</f>
        <v/>
      </c>
      <c r="O46" t="n">
        <v>5.217391304347826</v>
      </c>
      <c r="P46">
        <f>IF(O46=0,"",(K46/O46-1)*100)</f>
        <v/>
      </c>
      <c r="Q46">
        <f>(K46/E46)^2</f>
        <v/>
      </c>
      <c r="R46">
        <f>(K46/H46)^2</f>
        <v/>
      </c>
      <c r="S46">
        <f>AVERAGE(Q46,R46)</f>
        <v/>
      </c>
      <c r="T46">
        <f>AVERAGE((O46/E46)^2,(O46/H46)^2)</f>
        <v/>
      </c>
      <c r="U46">
        <f>IF(T46=0,"",(S46/T46-1)*100)</f>
        <v/>
      </c>
      <c r="V46">
        <f>AVERAGE((L46/E46)^2,(L46/H46)^2)</f>
        <v/>
      </c>
      <c r="W46">
        <f>IF(ABS(E46-汇总!B25)&lt;=ABS(H46-汇总!B25),E46,H46)</f>
        <v/>
      </c>
      <c r="X46">
        <f>(K46/W46)^2</f>
        <v/>
      </c>
      <c r="Y46">
        <f>IF(N46&gt;10,"HIGH_TVW_CV",IF(J46&lt;3,"SHORT_INTERFACE","PASS"))</f>
        <v/>
      </c>
      <c r="Z46" t="inlineStr">
        <is>
          <t>Di1、TVW均值、Di2均来自本Pair_ID；TVW=3–5法线平均</t>
        </is>
      </c>
      <c r="AA46" t="inlineStr">
        <is>
          <t>样品48</t>
        </is>
      </c>
    </row>
    <row r="47">
      <c r="A47" t="inlineStr">
        <is>
          <t>49(3)-P01</t>
        </is>
      </c>
      <c r="B47" t="inlineStr">
        <is>
          <t>49 (3).tif</t>
        </is>
      </c>
      <c r="C47" t="inlineStr">
        <is>
          <t>49(3)-V01</t>
        </is>
      </c>
      <c r="D47">
        <f>导管母表_860!F279</f>
        <v/>
      </c>
      <c r="E47">
        <f>导管母表_860!G279</f>
        <v/>
      </c>
      <c r="F47" t="inlineStr">
        <is>
          <t>49(3)-V02</t>
        </is>
      </c>
      <c r="G47">
        <f>导管母表_860!F280</f>
        <v/>
      </c>
      <c r="H47">
        <f>导管母表_860!G280</f>
        <v/>
      </c>
      <c r="I47" t="inlineStr">
        <is>
          <t>J74:J75</t>
        </is>
      </c>
      <c r="J47">
        <f>COUNT(TVW线测量明细!J74:J75)</f>
        <v/>
      </c>
      <c r="K47">
        <f>AVERAGE(TVW线测量明细!J74:J75)</f>
        <v/>
      </c>
      <c r="L47">
        <f>MEDIAN(TVW线测量明细!J74:J75)</f>
        <v/>
      </c>
      <c r="M47">
        <f>IF(J47&gt;1,STDEV(TVW线测量明细!J74:J75),0)</f>
        <v/>
      </c>
      <c r="N47">
        <f>IF(K47=0,"",M47/K47*100)</f>
        <v/>
      </c>
      <c r="O47" t="n">
        <v>8.272303300191497</v>
      </c>
      <c r="P47">
        <f>IF(O47=0,"",(K47/O47-1)*100)</f>
        <v/>
      </c>
      <c r="Q47">
        <f>(K47/E47)^2</f>
        <v/>
      </c>
      <c r="R47">
        <f>(K47/H47)^2</f>
        <v/>
      </c>
      <c r="S47">
        <f>AVERAGE(Q47,R47)</f>
        <v/>
      </c>
      <c r="T47">
        <f>AVERAGE((O47/E47)^2,(O47/H47)^2)</f>
        <v/>
      </c>
      <c r="U47">
        <f>IF(T47=0,"",(S47/T47-1)*100)</f>
        <v/>
      </c>
      <c r="V47">
        <f>AVERAGE((L47/E47)^2,(L47/H47)^2)</f>
        <v/>
      </c>
      <c r="W47">
        <f>IF(ABS(E47-汇总!B25)&lt;=ABS(H47-汇总!B25),E47,H47)</f>
        <v/>
      </c>
      <c r="X47">
        <f>(K47/W47)^2</f>
        <v/>
      </c>
      <c r="Y47">
        <f>IF(N47&gt;10,"HIGH_TVW_CV",IF(J47&lt;3,"SHORT_INTERFACE","PASS"))</f>
        <v/>
      </c>
      <c r="Z47" t="inlineStr">
        <is>
          <t>Di1、TVW均值、Di2均来自本Pair_ID；TVW=3–5法线平均</t>
        </is>
      </c>
      <c r="AA47" t="inlineStr">
        <is>
          <t>样品49</t>
        </is>
      </c>
    </row>
    <row r="48">
      <c r="A48" t="inlineStr">
        <is>
          <t>49(8)-P01</t>
        </is>
      </c>
      <c r="B48" t="inlineStr">
        <is>
          <t>49 (8).tif</t>
        </is>
      </c>
      <c r="C48" t="inlineStr">
        <is>
          <t>49(8)-V01</t>
        </is>
      </c>
      <c r="D48">
        <f>导管母表_860!F295</f>
        <v/>
      </c>
      <c r="E48">
        <f>导管母表_860!G295</f>
        <v/>
      </c>
      <c r="F48" t="inlineStr">
        <is>
          <t>49(8)-V02</t>
        </is>
      </c>
      <c r="G48">
        <f>导管母表_860!F296</f>
        <v/>
      </c>
      <c r="H48">
        <f>导管母表_860!G296</f>
        <v/>
      </c>
      <c r="I48" t="inlineStr">
        <is>
          <t>J76:J76</t>
        </is>
      </c>
      <c r="J48">
        <f>COUNT(TVW线测量明细!J76:J76)</f>
        <v/>
      </c>
      <c r="K48">
        <f>AVERAGE(TVW线测量明细!J76:J76)</f>
        <v/>
      </c>
      <c r="L48">
        <f>MEDIAN(TVW线测量明细!J76:J76)</f>
        <v/>
      </c>
      <c r="M48">
        <f>IF(J48&gt;1,STDEV(TVW线测量明细!J76:J76),0)</f>
        <v/>
      </c>
      <c r="N48">
        <f>IF(K48=0,"",M48/K48*100)</f>
        <v/>
      </c>
      <c r="O48" t="n">
        <v>8.489401821637667</v>
      </c>
      <c r="P48">
        <f>IF(O48=0,"",(K48/O48-1)*100)</f>
        <v/>
      </c>
      <c r="Q48">
        <f>(K48/E48)^2</f>
        <v/>
      </c>
      <c r="R48">
        <f>(K48/H48)^2</f>
        <v/>
      </c>
      <c r="S48">
        <f>AVERAGE(Q48,R48)</f>
        <v/>
      </c>
      <c r="T48">
        <f>AVERAGE((O48/E48)^2,(O48/H48)^2)</f>
        <v/>
      </c>
      <c r="U48">
        <f>IF(T48=0,"",(S48/T48-1)*100)</f>
        <v/>
      </c>
      <c r="V48">
        <f>AVERAGE((L48/E48)^2,(L48/H48)^2)</f>
        <v/>
      </c>
      <c r="W48">
        <f>IF(ABS(E48-汇总!B25)&lt;=ABS(H48-汇总!B25),E48,H48)</f>
        <v/>
      </c>
      <c r="X48">
        <f>(K48/W48)^2</f>
        <v/>
      </c>
      <c r="Y48">
        <f>IF(N48&gt;10,"HIGH_TVW_CV",IF(J48&lt;3,"SHORT_INTERFACE","PASS"))</f>
        <v/>
      </c>
      <c r="Z48" t="inlineStr">
        <is>
          <t>Di1、TVW均值、Di2均来自本Pair_ID；TVW=3–5法线平均</t>
        </is>
      </c>
      <c r="AA48" t="inlineStr">
        <is>
          <t>样品49</t>
        </is>
      </c>
    </row>
    <row r="49">
      <c r="A49" t="inlineStr">
        <is>
          <t>50(2)-P01</t>
        </is>
      </c>
      <c r="B49" t="inlineStr">
        <is>
          <t>50 (2).tif</t>
        </is>
      </c>
      <c r="C49" t="inlineStr">
        <is>
          <t>50(2)-V01</t>
        </is>
      </c>
      <c r="D49">
        <f>导管母表_860!F302</f>
        <v/>
      </c>
      <c r="E49">
        <f>导管母表_860!G302</f>
        <v/>
      </c>
      <c r="F49" t="inlineStr">
        <is>
          <t>50(2)-V02</t>
        </is>
      </c>
      <c r="G49">
        <f>导管母表_860!F303</f>
        <v/>
      </c>
      <c r="H49">
        <f>导管母表_860!G303</f>
        <v/>
      </c>
      <c r="I49" t="inlineStr">
        <is>
          <t>J77:J78</t>
        </is>
      </c>
      <c r="J49">
        <f>COUNT(TVW线测量明细!J77:J78)</f>
        <v/>
      </c>
      <c r="K49">
        <f>AVERAGE(TVW线测量明细!J77:J78)</f>
        <v/>
      </c>
      <c r="L49">
        <f>MEDIAN(TVW线测量明细!J77:J78)</f>
        <v/>
      </c>
      <c r="M49">
        <f>IF(J49&gt;1,STDEV(TVW线测量明细!J77:J78),0)</f>
        <v/>
      </c>
      <c r="N49">
        <f>IF(K49=0,"",M49/K49*100)</f>
        <v/>
      </c>
      <c r="O49" t="n">
        <v>6.337991190049239</v>
      </c>
      <c r="P49">
        <f>IF(O49=0,"",(K49/O49-1)*100)</f>
        <v/>
      </c>
      <c r="Q49">
        <f>(K49/E49)^2</f>
        <v/>
      </c>
      <c r="R49">
        <f>(K49/H49)^2</f>
        <v/>
      </c>
      <c r="S49">
        <f>AVERAGE(Q49,R49)</f>
        <v/>
      </c>
      <c r="T49">
        <f>AVERAGE((O49/E49)^2,(O49/H49)^2)</f>
        <v/>
      </c>
      <c r="U49">
        <f>IF(T49=0,"",(S49/T49-1)*100)</f>
        <v/>
      </c>
      <c r="V49">
        <f>AVERAGE((L49/E49)^2,(L49/H49)^2)</f>
        <v/>
      </c>
      <c r="W49">
        <f>IF(ABS(E49-汇总!B25)&lt;=ABS(H49-汇总!B25),E49,H49)</f>
        <v/>
      </c>
      <c r="X49">
        <f>(K49/W49)^2</f>
        <v/>
      </c>
      <c r="Y49">
        <f>IF(N49&gt;10,"HIGH_TVW_CV",IF(J49&lt;3,"SHORT_INTERFACE","PASS"))</f>
        <v/>
      </c>
      <c r="Z49" t="inlineStr">
        <is>
          <t>Di1、TVW均值、Di2均来自本Pair_ID；TVW=3–5法线平均</t>
        </is>
      </c>
      <c r="AA49" t="inlineStr">
        <is>
          <t>样品50</t>
        </is>
      </c>
    </row>
    <row r="50">
      <c r="A50" t="inlineStr">
        <is>
          <t>50(3)-P01</t>
        </is>
      </c>
      <c r="B50" t="inlineStr">
        <is>
          <t>50 (3).tif</t>
        </is>
      </c>
      <c r="C50" t="inlineStr">
        <is>
          <t>50(3)-V01</t>
        </is>
      </c>
      <c r="D50">
        <f>导管母表_860!F309</f>
        <v/>
      </c>
      <c r="E50">
        <f>导管母表_860!G309</f>
        <v/>
      </c>
      <c r="F50" t="inlineStr">
        <is>
          <t>50(3)-V02</t>
        </is>
      </c>
      <c r="G50">
        <f>导管母表_860!F310</f>
        <v/>
      </c>
      <c r="H50">
        <f>导管母表_860!G310</f>
        <v/>
      </c>
      <c r="I50" t="inlineStr">
        <is>
          <t>J79:J81</t>
        </is>
      </c>
      <c r="J50">
        <f>COUNT(TVW线测量明细!J79:J81)</f>
        <v/>
      </c>
      <c r="K50">
        <f>AVERAGE(TVW线测量明细!J79:J81)</f>
        <v/>
      </c>
      <c r="L50">
        <f>MEDIAN(TVW线测量明细!J79:J81)</f>
        <v/>
      </c>
      <c r="M50">
        <f>IF(J50&gt;1,STDEV(TVW线测量明细!J79:J81),0)</f>
        <v/>
      </c>
      <c r="N50">
        <f>IF(K50=0,"",M50/K50*100)</f>
        <v/>
      </c>
      <c r="O50" t="n">
        <v>5.130619009219977</v>
      </c>
      <c r="P50">
        <f>IF(O50=0,"",(K50/O50-1)*100)</f>
        <v/>
      </c>
      <c r="Q50">
        <f>(K50/E50)^2</f>
        <v/>
      </c>
      <c r="R50">
        <f>(K50/H50)^2</f>
        <v/>
      </c>
      <c r="S50">
        <f>AVERAGE(Q50,R50)</f>
        <v/>
      </c>
      <c r="T50">
        <f>AVERAGE((O50/E50)^2,(O50/H50)^2)</f>
        <v/>
      </c>
      <c r="U50">
        <f>IF(T50=0,"",(S50/T50-1)*100)</f>
        <v/>
      </c>
      <c r="V50">
        <f>AVERAGE((L50/E50)^2,(L50/H50)^2)</f>
        <v/>
      </c>
      <c r="W50">
        <f>IF(ABS(E50-汇总!B25)&lt;=ABS(H50-汇总!B25),E50,H50)</f>
        <v/>
      </c>
      <c r="X50">
        <f>(K50/W50)^2</f>
        <v/>
      </c>
      <c r="Y50">
        <f>IF(N50&gt;10,"HIGH_TVW_CV",IF(J50&lt;3,"SHORT_INTERFACE","PASS"))</f>
        <v/>
      </c>
      <c r="Z50" t="inlineStr">
        <is>
          <t>Di1、TVW均值、Di2均来自本Pair_ID；TVW=3–5法线平均</t>
        </is>
      </c>
      <c r="AA50" t="inlineStr">
        <is>
          <t>样品50</t>
        </is>
      </c>
    </row>
    <row r="51">
      <c r="A51" t="inlineStr">
        <is>
          <t>50(6)-P01</t>
        </is>
      </c>
      <c r="B51" t="inlineStr">
        <is>
          <t>50 (6).tif</t>
        </is>
      </c>
      <c r="C51" t="inlineStr">
        <is>
          <t>50(6)-V01</t>
        </is>
      </c>
      <c r="D51">
        <f>导管母表_860!F321</f>
        <v/>
      </c>
      <c r="E51">
        <f>导管母表_860!G321</f>
        <v/>
      </c>
      <c r="F51" t="inlineStr">
        <is>
          <t>50(6)-V02</t>
        </is>
      </c>
      <c r="G51">
        <f>导管母表_860!F322</f>
        <v/>
      </c>
      <c r="H51">
        <f>导管母表_860!G322</f>
        <v/>
      </c>
      <c r="I51" t="inlineStr">
        <is>
          <t>J82:J83</t>
        </is>
      </c>
      <c r="J51">
        <f>COUNT(TVW线测量明细!J82:J83)</f>
        <v/>
      </c>
      <c r="K51">
        <f>AVERAGE(TVW线测量明细!J82:J83)</f>
        <v/>
      </c>
      <c r="L51">
        <f>MEDIAN(TVW线测量明细!J82:J83)</f>
        <v/>
      </c>
      <c r="M51">
        <f>IF(J51&gt;1,STDEV(TVW线测量明细!J82:J83),0)</f>
        <v/>
      </c>
      <c r="N51">
        <f>IF(K51=0,"",M51/K51*100)</f>
        <v/>
      </c>
      <c r="O51" t="n">
        <v>8.069874431856777</v>
      </c>
      <c r="P51">
        <f>IF(O51=0,"",(K51/O51-1)*100)</f>
        <v/>
      </c>
      <c r="Q51">
        <f>(K51/E51)^2</f>
        <v/>
      </c>
      <c r="R51">
        <f>(K51/H51)^2</f>
        <v/>
      </c>
      <c r="S51">
        <f>AVERAGE(Q51,R51)</f>
        <v/>
      </c>
      <c r="T51">
        <f>AVERAGE((O51/E51)^2,(O51/H51)^2)</f>
        <v/>
      </c>
      <c r="U51">
        <f>IF(T51=0,"",(S51/T51-1)*100)</f>
        <v/>
      </c>
      <c r="V51">
        <f>AVERAGE((L51/E51)^2,(L51/H51)^2)</f>
        <v/>
      </c>
      <c r="W51">
        <f>IF(ABS(E51-汇总!B25)&lt;=ABS(H51-汇总!B25),E51,H51)</f>
        <v/>
      </c>
      <c r="X51">
        <f>(K51/W51)^2</f>
        <v/>
      </c>
      <c r="Y51">
        <f>IF(N51&gt;10,"HIGH_TVW_CV",IF(J51&lt;3,"SHORT_INTERFACE","PASS"))</f>
        <v/>
      </c>
      <c r="Z51" t="inlineStr">
        <is>
          <t>Di1、TVW均值、Di2均来自本Pair_ID；TVW=3–5法线平均</t>
        </is>
      </c>
      <c r="AA51" t="inlineStr">
        <is>
          <t>样品50</t>
        </is>
      </c>
    </row>
    <row r="52">
      <c r="A52" t="inlineStr">
        <is>
          <t>50(7)-P01</t>
        </is>
      </c>
      <c r="B52" t="inlineStr">
        <is>
          <t>50 (7).tif</t>
        </is>
      </c>
      <c r="C52" t="inlineStr">
        <is>
          <t>50(7)-V01</t>
        </is>
      </c>
      <c r="D52">
        <f>导管母表_860!F327</f>
        <v/>
      </c>
      <c r="E52">
        <f>导管母表_860!G327</f>
        <v/>
      </c>
      <c r="F52" t="inlineStr">
        <is>
          <t>50(7)-V02</t>
        </is>
      </c>
      <c r="G52">
        <f>导管母表_860!F328</f>
        <v/>
      </c>
      <c r="H52">
        <f>导管母表_860!G328</f>
        <v/>
      </c>
      <c r="I52" t="inlineStr">
        <is>
          <t>J84:J85</t>
        </is>
      </c>
      <c r="J52">
        <f>COUNT(TVW线测量明细!J84:J85)</f>
        <v/>
      </c>
      <c r="K52">
        <f>AVERAGE(TVW线测量明细!J84:J85)</f>
        <v/>
      </c>
      <c r="L52">
        <f>MEDIAN(TVW线测量明细!J84:J85)</f>
        <v/>
      </c>
      <c r="M52">
        <f>IF(J52&gt;1,STDEV(TVW线测量明细!J84:J85),0)</f>
        <v/>
      </c>
      <c r="N52">
        <f>IF(K52=0,"",M52/K52*100)</f>
        <v/>
      </c>
      <c r="O52" t="n">
        <v>18.3910987757038</v>
      </c>
      <c r="P52">
        <f>IF(O52=0,"",(K52/O52-1)*100)</f>
        <v/>
      </c>
      <c r="Q52">
        <f>(K52/E52)^2</f>
        <v/>
      </c>
      <c r="R52">
        <f>(K52/H52)^2</f>
        <v/>
      </c>
      <c r="S52">
        <f>AVERAGE(Q52,R52)</f>
        <v/>
      </c>
      <c r="T52">
        <f>AVERAGE((O52/E52)^2,(O52/H52)^2)</f>
        <v/>
      </c>
      <c r="U52">
        <f>IF(T52=0,"",(S52/T52-1)*100)</f>
        <v/>
      </c>
      <c r="V52">
        <f>AVERAGE((L52/E52)^2,(L52/H52)^2)</f>
        <v/>
      </c>
      <c r="W52">
        <f>IF(ABS(E52-汇总!B25)&lt;=ABS(H52-汇总!B25),E52,H52)</f>
        <v/>
      </c>
      <c r="X52">
        <f>(K52/W52)^2</f>
        <v/>
      </c>
      <c r="Y52">
        <f>IF(N52&gt;10,"HIGH_TVW_CV",IF(J52&lt;3,"SHORT_INTERFACE","PASS"))</f>
        <v/>
      </c>
      <c r="Z52" t="inlineStr">
        <is>
          <t>Di1、TVW均值、Di2均来自本Pair_ID；TVW=3–5法线平均</t>
        </is>
      </c>
      <c r="AA52" t="inlineStr">
        <is>
          <t>样品50</t>
        </is>
      </c>
    </row>
    <row r="53">
      <c r="A53" t="inlineStr">
        <is>
          <t>50(8)-P01</t>
        </is>
      </c>
      <c r="B53" t="inlineStr">
        <is>
          <t>50 (8).tif</t>
        </is>
      </c>
      <c r="C53" t="inlineStr">
        <is>
          <t>50(8)-V01</t>
        </is>
      </c>
      <c r="D53">
        <f>导管母表_860!F331</f>
        <v/>
      </c>
      <c r="E53">
        <f>导管母表_860!G331</f>
        <v/>
      </c>
      <c r="F53" t="inlineStr">
        <is>
          <t>50(8)-V03</t>
        </is>
      </c>
      <c r="G53">
        <f>导管母表_860!F333</f>
        <v/>
      </c>
      <c r="H53">
        <f>导管母表_860!G333</f>
        <v/>
      </c>
      <c r="I53" t="inlineStr">
        <is>
          <t>J86:J86</t>
        </is>
      </c>
      <c r="J53">
        <f>COUNT(TVW线测量明细!J86:J86)</f>
        <v/>
      </c>
      <c r="K53">
        <f>AVERAGE(TVW线测量明细!J86:J86)</f>
        <v/>
      </c>
      <c r="L53">
        <f>MEDIAN(TVW线测量明细!J86:J86)</f>
        <v/>
      </c>
      <c r="M53">
        <f>IF(J53&gt;1,STDEV(TVW线测量明细!J86:J86),0)</f>
        <v/>
      </c>
      <c r="N53">
        <f>IF(K53=0,"",M53/K53*100)</f>
        <v/>
      </c>
      <c r="O53" t="n">
        <v>5.185591496468071</v>
      </c>
      <c r="P53">
        <f>IF(O53=0,"",(K53/O53-1)*100)</f>
        <v/>
      </c>
      <c r="Q53">
        <f>(K53/E53)^2</f>
        <v/>
      </c>
      <c r="R53">
        <f>(K53/H53)^2</f>
        <v/>
      </c>
      <c r="S53">
        <f>AVERAGE(Q53,R53)</f>
        <v/>
      </c>
      <c r="T53">
        <f>AVERAGE((O53/E53)^2,(O53/H53)^2)</f>
        <v/>
      </c>
      <c r="U53">
        <f>IF(T53=0,"",(S53/T53-1)*100)</f>
        <v/>
      </c>
      <c r="V53">
        <f>AVERAGE((L53/E53)^2,(L53/H53)^2)</f>
        <v/>
      </c>
      <c r="W53">
        <f>IF(ABS(E53-汇总!B25)&lt;=ABS(H53-汇总!B25),E53,H53)</f>
        <v/>
      </c>
      <c r="X53">
        <f>(K53/W53)^2</f>
        <v/>
      </c>
      <c r="Y53">
        <f>IF(N53&gt;10,"HIGH_TVW_CV",IF(J53&lt;3,"SHORT_INTERFACE","PASS"))</f>
        <v/>
      </c>
      <c r="Z53" t="inlineStr">
        <is>
          <t>Di1、TVW均值、Di2均来自本Pair_ID；TVW=3–5法线平均</t>
        </is>
      </c>
      <c r="AA53" t="inlineStr">
        <is>
          <t>样品50</t>
        </is>
      </c>
    </row>
    <row r="54">
      <c r="A54" t="inlineStr">
        <is>
          <t>51(5)-P01</t>
        </is>
      </c>
      <c r="B54" t="inlineStr">
        <is>
          <t>51 (5).tif</t>
        </is>
      </c>
      <c r="C54" t="inlineStr">
        <is>
          <t>51(5)-V01</t>
        </is>
      </c>
      <c r="D54">
        <f>导管母表_860!F355</f>
        <v/>
      </c>
      <c r="E54">
        <f>导管母表_860!G355</f>
        <v/>
      </c>
      <c r="F54" t="inlineStr">
        <is>
          <t>51(5)-V03</t>
        </is>
      </c>
      <c r="G54">
        <f>导管母表_860!F357</f>
        <v/>
      </c>
      <c r="H54">
        <f>导管母表_860!G357</f>
        <v/>
      </c>
      <c r="I54" t="inlineStr">
        <is>
          <t>J87:J87</t>
        </is>
      </c>
      <c r="J54">
        <f>COUNT(TVW线测量明细!J87:J87)</f>
        <v/>
      </c>
      <c r="K54">
        <f>AVERAGE(TVW线测量明细!J87:J87)</f>
        <v/>
      </c>
      <c r="L54">
        <f>MEDIAN(TVW线测量明细!J87:J87)</f>
        <v/>
      </c>
      <c r="M54">
        <f>IF(J54&gt;1,STDEV(TVW线测量明细!J87:J87),0)</f>
        <v/>
      </c>
      <c r="N54">
        <f>IF(K54=0,"",M54/K54*100)</f>
        <v/>
      </c>
      <c r="O54" t="n">
        <v>5.070392952039392</v>
      </c>
      <c r="P54">
        <f>IF(O54=0,"",(K54/O54-1)*100)</f>
        <v/>
      </c>
      <c r="Q54">
        <f>(K54/E54)^2</f>
        <v/>
      </c>
      <c r="R54">
        <f>(K54/H54)^2</f>
        <v/>
      </c>
      <c r="S54">
        <f>AVERAGE(Q54,R54)</f>
        <v/>
      </c>
      <c r="T54">
        <f>AVERAGE((O54/E54)^2,(O54/H54)^2)</f>
        <v/>
      </c>
      <c r="U54">
        <f>IF(T54=0,"",(S54/T54-1)*100)</f>
        <v/>
      </c>
      <c r="V54">
        <f>AVERAGE((L54/E54)^2,(L54/H54)^2)</f>
        <v/>
      </c>
      <c r="W54">
        <f>IF(ABS(E54-汇总!B25)&lt;=ABS(H54-汇总!B25),E54,H54)</f>
        <v/>
      </c>
      <c r="X54">
        <f>(K54/W54)^2</f>
        <v/>
      </c>
      <c r="Y54">
        <f>IF(N54&gt;10,"HIGH_TVW_CV",IF(J54&lt;3,"SHORT_INTERFACE","PASS"))</f>
        <v/>
      </c>
      <c r="Z54" t="inlineStr">
        <is>
          <t>Di1、TVW均值、Di2均来自本Pair_ID；TVW=3–5法线平均</t>
        </is>
      </c>
      <c r="AA54" t="inlineStr">
        <is>
          <t>样品51</t>
        </is>
      </c>
    </row>
    <row r="55">
      <c r="A55" t="inlineStr">
        <is>
          <t>51(6)-P01</t>
        </is>
      </c>
      <c r="B55" t="inlineStr">
        <is>
          <t>51 (6).tif</t>
        </is>
      </c>
      <c r="C55" t="inlineStr">
        <is>
          <t>51(6)-V01</t>
        </is>
      </c>
      <c r="D55">
        <f>导管母表_860!F362</f>
        <v/>
      </c>
      <c r="E55">
        <f>导管母表_860!G362</f>
        <v/>
      </c>
      <c r="F55" t="inlineStr">
        <is>
          <t>51(6)-V02</t>
        </is>
      </c>
      <c r="G55">
        <f>导管母表_860!F363</f>
        <v/>
      </c>
      <c r="H55">
        <f>导管母表_860!G363</f>
        <v/>
      </c>
      <c r="I55" t="inlineStr">
        <is>
          <t>J88:J90</t>
        </is>
      </c>
      <c r="J55">
        <f>COUNT(TVW线测量明细!J88:J90)</f>
        <v/>
      </c>
      <c r="K55">
        <f>AVERAGE(TVW线测量明细!J88:J90)</f>
        <v/>
      </c>
      <c r="L55">
        <f>MEDIAN(TVW线测量明细!J88:J90)</f>
        <v/>
      </c>
      <c r="M55">
        <f>IF(J55&gt;1,STDEV(TVW线测量明细!J88:J90),0)</f>
        <v/>
      </c>
      <c r="N55">
        <f>IF(K55=0,"",M55/K55*100)</f>
        <v/>
      </c>
      <c r="O55" t="n">
        <v>5.841316888062784</v>
      </c>
      <c r="P55">
        <f>IF(O55=0,"",(K55/O55-1)*100)</f>
        <v/>
      </c>
      <c r="Q55">
        <f>(K55/E55)^2</f>
        <v/>
      </c>
      <c r="R55">
        <f>(K55/H55)^2</f>
        <v/>
      </c>
      <c r="S55">
        <f>AVERAGE(Q55,R55)</f>
        <v/>
      </c>
      <c r="T55">
        <f>AVERAGE((O55/E55)^2,(O55/H55)^2)</f>
        <v/>
      </c>
      <c r="U55">
        <f>IF(T55=0,"",(S55/T55-1)*100)</f>
        <v/>
      </c>
      <c r="V55">
        <f>AVERAGE((L55/E55)^2,(L55/H55)^2)</f>
        <v/>
      </c>
      <c r="W55">
        <f>IF(ABS(E55-汇总!B25)&lt;=ABS(H55-汇总!B25),E55,H55)</f>
        <v/>
      </c>
      <c r="X55">
        <f>(K55/W55)^2</f>
        <v/>
      </c>
      <c r="Y55">
        <f>IF(N55&gt;10,"HIGH_TVW_CV",IF(J55&lt;3,"SHORT_INTERFACE","PASS"))</f>
        <v/>
      </c>
      <c r="Z55" t="inlineStr">
        <is>
          <t>Di1、TVW均值、Di2均来自本Pair_ID；TVW=3–5法线平均</t>
        </is>
      </c>
      <c r="AA55" t="inlineStr">
        <is>
          <t>样品51</t>
        </is>
      </c>
    </row>
    <row r="56">
      <c r="A56" t="inlineStr">
        <is>
          <t>52(2)-P01</t>
        </is>
      </c>
      <c r="B56" t="inlineStr">
        <is>
          <t>52 (2).tif</t>
        </is>
      </c>
      <c r="C56" t="inlineStr">
        <is>
          <t>52(2)-V02</t>
        </is>
      </c>
      <c r="D56">
        <f>导管母表_860!F386</f>
        <v/>
      </c>
      <c r="E56">
        <f>导管母表_860!G386</f>
        <v/>
      </c>
      <c r="F56" t="inlineStr">
        <is>
          <t>52(2)-V03</t>
        </is>
      </c>
      <c r="G56">
        <f>导管母表_860!F387</f>
        <v/>
      </c>
      <c r="H56">
        <f>导管母表_860!G387</f>
        <v/>
      </c>
      <c r="I56" t="inlineStr">
        <is>
          <t>J91:J93</t>
        </is>
      </c>
      <c r="J56">
        <f>COUNT(TVW线测量明细!J91:J93)</f>
        <v/>
      </c>
      <c r="K56">
        <f>AVERAGE(TVW线测量明细!J91:J93)</f>
        <v/>
      </c>
      <c r="L56">
        <f>MEDIAN(TVW线测量明细!J91:J93)</f>
        <v/>
      </c>
      <c r="M56">
        <f>IF(J56&gt;1,STDEV(TVW线测量明细!J91:J93),0)</f>
        <v/>
      </c>
      <c r="N56">
        <f>IF(K56=0,"",M56/K56*100)</f>
        <v/>
      </c>
      <c r="O56" t="n">
        <v>11.81337232103785</v>
      </c>
      <c r="P56">
        <f>IF(O56=0,"",(K56/O56-1)*100)</f>
        <v/>
      </c>
      <c r="Q56">
        <f>(K56/E56)^2</f>
        <v/>
      </c>
      <c r="R56">
        <f>(K56/H56)^2</f>
        <v/>
      </c>
      <c r="S56">
        <f>AVERAGE(Q56,R56)</f>
        <v/>
      </c>
      <c r="T56">
        <f>AVERAGE((O56/E56)^2,(O56/H56)^2)</f>
        <v/>
      </c>
      <c r="U56">
        <f>IF(T56=0,"",(S56/T56-1)*100)</f>
        <v/>
      </c>
      <c r="V56">
        <f>AVERAGE((L56/E56)^2,(L56/H56)^2)</f>
        <v/>
      </c>
      <c r="W56">
        <f>IF(ABS(E56-汇总!B25)&lt;=ABS(H56-汇总!B25),E56,H56)</f>
        <v/>
      </c>
      <c r="X56">
        <f>(K56/W56)^2</f>
        <v/>
      </c>
      <c r="Y56">
        <f>IF(N56&gt;10,"HIGH_TVW_CV",IF(J56&lt;3,"SHORT_INTERFACE","PASS"))</f>
        <v/>
      </c>
      <c r="Z56" t="inlineStr">
        <is>
          <t>Di1、TVW均值、Di2均来自本Pair_ID；TVW=3–5法线平均</t>
        </is>
      </c>
      <c r="AA56" t="inlineStr">
        <is>
          <t>样品52</t>
        </is>
      </c>
    </row>
    <row r="57">
      <c r="A57" t="inlineStr">
        <is>
          <t>52(3)-P01</t>
        </is>
      </c>
      <c r="B57" t="inlineStr">
        <is>
          <t>52 (3).tif</t>
        </is>
      </c>
      <c r="C57" t="inlineStr">
        <is>
          <t>52(3)-V01</t>
        </is>
      </c>
      <c r="D57">
        <f>导管母表_860!F389</f>
        <v/>
      </c>
      <c r="E57">
        <f>导管母表_860!G389</f>
        <v/>
      </c>
      <c r="F57" t="inlineStr">
        <is>
          <t>52(3)-V02</t>
        </is>
      </c>
      <c r="G57">
        <f>导管母表_860!F390</f>
        <v/>
      </c>
      <c r="H57">
        <f>导管母表_860!G390</f>
        <v/>
      </c>
      <c r="I57" t="inlineStr">
        <is>
          <t>J94:J96</t>
        </is>
      </c>
      <c r="J57">
        <f>COUNT(TVW线测量明细!J94:J96)</f>
        <v/>
      </c>
      <c r="K57">
        <f>AVERAGE(TVW线测量明细!J94:J96)</f>
        <v/>
      </c>
      <c r="L57">
        <f>MEDIAN(TVW线测量明细!J94:J96)</f>
        <v/>
      </c>
      <c r="M57">
        <f>IF(J57&gt;1,STDEV(TVW线测量明细!J94:J96),0)</f>
        <v/>
      </c>
      <c r="N57">
        <f>IF(K57=0,"",M57/K57*100)</f>
        <v/>
      </c>
      <c r="O57" t="n">
        <v>17.2274893531817</v>
      </c>
      <c r="P57">
        <f>IF(O57=0,"",(K57/O57-1)*100)</f>
        <v/>
      </c>
      <c r="Q57">
        <f>(K57/E57)^2</f>
        <v/>
      </c>
      <c r="R57">
        <f>(K57/H57)^2</f>
        <v/>
      </c>
      <c r="S57">
        <f>AVERAGE(Q57,R57)</f>
        <v/>
      </c>
      <c r="T57">
        <f>AVERAGE((O57/E57)^2,(O57/H57)^2)</f>
        <v/>
      </c>
      <c r="U57">
        <f>IF(T57=0,"",(S57/T57-1)*100)</f>
        <v/>
      </c>
      <c r="V57">
        <f>AVERAGE((L57/E57)^2,(L57/H57)^2)</f>
        <v/>
      </c>
      <c r="W57">
        <f>IF(ABS(E57-汇总!B25)&lt;=ABS(H57-汇总!B25),E57,H57)</f>
        <v/>
      </c>
      <c r="X57">
        <f>(K57/W57)^2</f>
        <v/>
      </c>
      <c r="Y57">
        <f>IF(N57&gt;10,"HIGH_TVW_CV",IF(J57&lt;3,"SHORT_INTERFACE","PASS"))</f>
        <v/>
      </c>
      <c r="Z57" t="inlineStr">
        <is>
          <t>Di1、TVW均值、Di2均来自本Pair_ID；TVW=3–5法线平均</t>
        </is>
      </c>
      <c r="AA57" t="inlineStr">
        <is>
          <t>样品52</t>
        </is>
      </c>
    </row>
    <row r="58">
      <c r="A58" t="inlineStr">
        <is>
          <t>52(4)-P01</t>
        </is>
      </c>
      <c r="B58" t="inlineStr">
        <is>
          <t>52 (4).tif</t>
        </is>
      </c>
      <c r="C58" t="inlineStr">
        <is>
          <t>52(4)-V02</t>
        </is>
      </c>
      <c r="D58">
        <f>导管母表_860!F394</f>
        <v/>
      </c>
      <c r="E58">
        <f>导管母表_860!G394</f>
        <v/>
      </c>
      <c r="F58" t="inlineStr">
        <is>
          <t>52(4)-V03</t>
        </is>
      </c>
      <c r="G58">
        <f>导管母表_860!F395</f>
        <v/>
      </c>
      <c r="H58">
        <f>导管母表_860!G395</f>
        <v/>
      </c>
      <c r="I58" t="inlineStr">
        <is>
          <t>J97:J100</t>
        </is>
      </c>
      <c r="J58">
        <f>COUNT(TVW线测量明细!J97:J100)</f>
        <v/>
      </c>
      <c r="K58">
        <f>AVERAGE(TVW线测量明细!J97:J100)</f>
        <v/>
      </c>
      <c r="L58">
        <f>MEDIAN(TVW线测量明细!J97:J100)</f>
        <v/>
      </c>
      <c r="M58">
        <f>IF(J58&gt;1,STDEV(TVW线测量明细!J97:J100),0)</f>
        <v/>
      </c>
      <c r="N58">
        <f>IF(K58=0,"",M58/K58*100)</f>
        <v/>
      </c>
      <c r="O58" t="n">
        <v>6.304347826086956</v>
      </c>
      <c r="P58">
        <f>IF(O58=0,"",(K58/O58-1)*100)</f>
        <v/>
      </c>
      <c r="Q58">
        <f>(K58/E58)^2</f>
        <v/>
      </c>
      <c r="R58">
        <f>(K58/H58)^2</f>
        <v/>
      </c>
      <c r="S58">
        <f>AVERAGE(Q58,R58)</f>
        <v/>
      </c>
      <c r="T58">
        <f>AVERAGE((O58/E58)^2,(O58/H58)^2)</f>
        <v/>
      </c>
      <c r="U58">
        <f>IF(T58=0,"",(S58/T58-1)*100)</f>
        <v/>
      </c>
      <c r="V58">
        <f>AVERAGE((L58/E58)^2,(L58/H58)^2)</f>
        <v/>
      </c>
      <c r="W58">
        <f>IF(ABS(E58-汇总!B25)&lt;=ABS(H58-汇总!B25),E58,H58)</f>
        <v/>
      </c>
      <c r="X58">
        <f>(K58/W58)^2</f>
        <v/>
      </c>
      <c r="Y58">
        <f>IF(N58&gt;10,"HIGH_TVW_CV",IF(J58&lt;3,"SHORT_INTERFACE","PASS"))</f>
        <v/>
      </c>
      <c r="Z58" t="inlineStr">
        <is>
          <t>Di1、TVW均值、Di2均来自本Pair_ID；TVW=3–5法线平均</t>
        </is>
      </c>
      <c r="AA58" t="inlineStr">
        <is>
          <t>样品52</t>
        </is>
      </c>
    </row>
    <row r="59">
      <c r="A59" t="inlineStr">
        <is>
          <t>52(6)-P01</t>
        </is>
      </c>
      <c r="B59" t="inlineStr">
        <is>
          <t>52 (6).tif</t>
        </is>
      </c>
      <c r="C59" t="inlineStr">
        <is>
          <t>52(6)-V01</t>
        </is>
      </c>
      <c r="D59">
        <f>导管母表_860!F402</f>
        <v/>
      </c>
      <c r="E59">
        <f>导管母表_860!G402</f>
        <v/>
      </c>
      <c r="F59" t="inlineStr">
        <is>
          <t>52(6)-V02</t>
        </is>
      </c>
      <c r="G59">
        <f>导管母表_860!F403</f>
        <v/>
      </c>
      <c r="H59">
        <f>导管母表_860!G403</f>
        <v/>
      </c>
      <c r="I59" t="inlineStr">
        <is>
          <t>J101:J102</t>
        </is>
      </c>
      <c r="J59">
        <f>COUNT(TVW线测量明细!J101:J102)</f>
        <v/>
      </c>
      <c r="K59">
        <f>AVERAGE(TVW线测量明细!J101:J102)</f>
        <v/>
      </c>
      <c r="L59">
        <f>MEDIAN(TVW线测量明细!J101:J102)</f>
        <v/>
      </c>
      <c r="M59">
        <f>IF(J59&gt;1,STDEV(TVW线测量明细!J101:J102),0)</f>
        <v/>
      </c>
      <c r="N59">
        <f>IF(K59=0,"",M59/K59*100)</f>
        <v/>
      </c>
      <c r="O59" t="n">
        <v>10.43478260869565</v>
      </c>
      <c r="P59">
        <f>IF(O59=0,"",(K59/O59-1)*100)</f>
        <v/>
      </c>
      <c r="Q59">
        <f>(K59/E59)^2</f>
        <v/>
      </c>
      <c r="R59">
        <f>(K59/H59)^2</f>
        <v/>
      </c>
      <c r="S59">
        <f>AVERAGE(Q59,R59)</f>
        <v/>
      </c>
      <c r="T59">
        <f>AVERAGE((O59/E59)^2,(O59/H59)^2)</f>
        <v/>
      </c>
      <c r="U59">
        <f>IF(T59=0,"",(S59/T59-1)*100)</f>
        <v/>
      </c>
      <c r="V59">
        <f>AVERAGE((L59/E59)^2,(L59/H59)^2)</f>
        <v/>
      </c>
      <c r="W59">
        <f>IF(ABS(E59-汇总!B25)&lt;=ABS(H59-汇总!B25),E59,H59)</f>
        <v/>
      </c>
      <c r="X59">
        <f>(K59/W59)^2</f>
        <v/>
      </c>
      <c r="Y59">
        <f>IF(N59&gt;10,"HIGH_TVW_CV",IF(J59&lt;3,"SHORT_INTERFACE","PASS"))</f>
        <v/>
      </c>
      <c r="Z59" t="inlineStr">
        <is>
          <t>Di1、TVW均值、Di2均来自本Pair_ID；TVW=3–5法线平均</t>
        </is>
      </c>
      <c r="AA59" t="inlineStr">
        <is>
          <t>样品52</t>
        </is>
      </c>
    </row>
    <row r="60">
      <c r="A60" t="inlineStr">
        <is>
          <t>52(8)-P01</t>
        </is>
      </c>
      <c r="B60" t="inlineStr">
        <is>
          <t>52 (8).tif</t>
        </is>
      </c>
      <c r="C60" t="inlineStr">
        <is>
          <t>52(8)-V01</t>
        </is>
      </c>
      <c r="D60">
        <f>导管母表_860!F410</f>
        <v/>
      </c>
      <c r="E60">
        <f>导管母表_860!G410</f>
        <v/>
      </c>
      <c r="F60" t="inlineStr">
        <is>
          <t>52(8)-V02</t>
        </is>
      </c>
      <c r="G60">
        <f>导管母表_860!F411</f>
        <v/>
      </c>
      <c r="H60">
        <f>导管母表_860!G411</f>
        <v/>
      </c>
      <c r="I60" t="inlineStr">
        <is>
          <t>J103:J105</t>
        </is>
      </c>
      <c r="J60">
        <f>COUNT(TVW线测量明细!J103:J105)</f>
        <v/>
      </c>
      <c r="K60">
        <f>AVERAGE(TVW线测量明细!J103:J105)</f>
        <v/>
      </c>
      <c r="L60">
        <f>MEDIAN(TVW线测量明细!J103:J105)</f>
        <v/>
      </c>
      <c r="M60">
        <f>IF(J60&gt;1,STDEV(TVW线测量明细!J103:J105),0)</f>
        <v/>
      </c>
      <c r="N60">
        <f>IF(K60=0,"",M60/K60*100)</f>
        <v/>
      </c>
      <c r="O60" t="n">
        <v>15.78596203446268</v>
      </c>
      <c r="P60">
        <f>IF(O60=0,"",(K60/O60-1)*100)</f>
        <v/>
      </c>
      <c r="Q60">
        <f>(K60/E60)^2</f>
        <v/>
      </c>
      <c r="R60">
        <f>(K60/H60)^2</f>
        <v/>
      </c>
      <c r="S60">
        <f>AVERAGE(Q60,R60)</f>
        <v/>
      </c>
      <c r="T60">
        <f>AVERAGE((O60/E60)^2,(O60/H60)^2)</f>
        <v/>
      </c>
      <c r="U60">
        <f>IF(T60=0,"",(S60/T60-1)*100)</f>
        <v/>
      </c>
      <c r="V60">
        <f>AVERAGE((L60/E60)^2,(L60/H60)^2)</f>
        <v/>
      </c>
      <c r="W60">
        <f>IF(ABS(E60-汇总!B25)&lt;=ABS(H60-汇总!B25),E60,H60)</f>
        <v/>
      </c>
      <c r="X60">
        <f>(K60/W60)^2</f>
        <v/>
      </c>
      <c r="Y60">
        <f>IF(N60&gt;10,"HIGH_TVW_CV",IF(J60&lt;3,"SHORT_INTERFACE","PASS"))</f>
        <v/>
      </c>
      <c r="Z60" t="inlineStr">
        <is>
          <t>Di1、TVW均值、Di2均来自本Pair_ID；TVW=3–5法线平均</t>
        </is>
      </c>
      <c r="AA60" t="inlineStr">
        <is>
          <t>样品52</t>
        </is>
      </c>
    </row>
    <row r="61">
      <c r="A61" t="inlineStr">
        <is>
          <t>53(1)-P01</t>
        </is>
      </c>
      <c r="B61" t="inlineStr">
        <is>
          <t>53 (1).tif</t>
        </is>
      </c>
      <c r="C61" t="inlineStr">
        <is>
          <t>53(1)-V01</t>
        </is>
      </c>
      <c r="D61">
        <f>导管母表_860!F413</f>
        <v/>
      </c>
      <c r="E61">
        <f>导管母表_860!G413</f>
        <v/>
      </c>
      <c r="F61" t="inlineStr">
        <is>
          <t>53(1)-V02</t>
        </is>
      </c>
      <c r="G61">
        <f>导管母表_860!F414</f>
        <v/>
      </c>
      <c r="H61">
        <f>导管母表_860!G414</f>
        <v/>
      </c>
      <c r="I61" t="inlineStr">
        <is>
          <t>J106:J109</t>
        </is>
      </c>
      <c r="J61">
        <f>COUNT(TVW线测量明细!J106:J109)</f>
        <v/>
      </c>
      <c r="K61">
        <f>AVERAGE(TVW线测量明细!J106:J109)</f>
        <v/>
      </c>
      <c r="L61">
        <f>MEDIAN(TVW线测量明细!J106:J109)</f>
        <v/>
      </c>
      <c r="M61">
        <f>IF(J61&gt;1,STDEV(TVW线测量明细!J106:J109),0)</f>
        <v/>
      </c>
      <c r="N61">
        <f>IF(K61=0,"",M61/K61*100)</f>
        <v/>
      </c>
      <c r="O61" t="n">
        <v>6.654446897832159</v>
      </c>
      <c r="P61">
        <f>IF(O61=0,"",(K61/O61-1)*100)</f>
        <v/>
      </c>
      <c r="Q61">
        <f>(K61/E61)^2</f>
        <v/>
      </c>
      <c r="R61">
        <f>(K61/H61)^2</f>
        <v/>
      </c>
      <c r="S61">
        <f>AVERAGE(Q61,R61)</f>
        <v/>
      </c>
      <c r="T61">
        <f>AVERAGE((O61/E61)^2,(O61/H61)^2)</f>
        <v/>
      </c>
      <c r="U61">
        <f>IF(T61=0,"",(S61/T61-1)*100)</f>
        <v/>
      </c>
      <c r="V61">
        <f>AVERAGE((L61/E61)^2,(L61/H61)^2)</f>
        <v/>
      </c>
      <c r="W61">
        <f>IF(ABS(E61-汇总!B25)&lt;=ABS(H61-汇总!B25),E61,H61)</f>
        <v/>
      </c>
      <c r="X61">
        <f>(K61/W61)^2</f>
        <v/>
      </c>
      <c r="Y61">
        <f>IF(N61&gt;10,"HIGH_TVW_CV",IF(J61&lt;3,"SHORT_INTERFACE","PASS"))</f>
        <v/>
      </c>
      <c r="Z61" t="inlineStr">
        <is>
          <t>Di1、TVW均值、Di2均来自本Pair_ID；TVW=3–5法线平均</t>
        </is>
      </c>
      <c r="AA61" t="inlineStr">
        <is>
          <t>样品53</t>
        </is>
      </c>
    </row>
    <row r="62">
      <c r="A62" t="inlineStr">
        <is>
          <t>53(3)-P01</t>
        </is>
      </c>
      <c r="B62" t="inlineStr">
        <is>
          <t>53 (3).tif</t>
        </is>
      </c>
      <c r="C62" t="inlineStr">
        <is>
          <t>53(3)-V01</t>
        </is>
      </c>
      <c r="D62">
        <f>导管母表_860!F423</f>
        <v/>
      </c>
      <c r="E62">
        <f>导管母表_860!G423</f>
        <v/>
      </c>
      <c r="F62" t="inlineStr">
        <is>
          <t>53(3)-V02</t>
        </is>
      </c>
      <c r="G62">
        <f>导管母表_860!F424</f>
        <v/>
      </c>
      <c r="H62">
        <f>导管母表_860!G424</f>
        <v/>
      </c>
      <c r="I62" t="inlineStr">
        <is>
          <t>J110:J112</t>
        </is>
      </c>
      <c r="J62">
        <f>COUNT(TVW线测量明细!J110:J112)</f>
        <v/>
      </c>
      <c r="K62">
        <f>AVERAGE(TVW线测量明细!J110:J112)</f>
        <v/>
      </c>
      <c r="L62">
        <f>MEDIAN(TVW线测量明细!J110:J112)</f>
        <v/>
      </c>
      <c r="M62">
        <f>IF(J62&gt;1,STDEV(TVW线测量明细!J110:J112),0)</f>
        <v/>
      </c>
      <c r="N62">
        <f>IF(K62=0,"",M62/K62*100)</f>
        <v/>
      </c>
      <c r="O62" t="n">
        <v>16.38963202171371</v>
      </c>
      <c r="P62">
        <f>IF(O62=0,"",(K62/O62-1)*100)</f>
        <v/>
      </c>
      <c r="Q62">
        <f>(K62/E62)^2</f>
        <v/>
      </c>
      <c r="R62">
        <f>(K62/H62)^2</f>
        <v/>
      </c>
      <c r="S62">
        <f>AVERAGE(Q62,R62)</f>
        <v/>
      </c>
      <c r="T62">
        <f>AVERAGE((O62/E62)^2,(O62/H62)^2)</f>
        <v/>
      </c>
      <c r="U62">
        <f>IF(T62=0,"",(S62/T62-1)*100)</f>
        <v/>
      </c>
      <c r="V62">
        <f>AVERAGE((L62/E62)^2,(L62/H62)^2)</f>
        <v/>
      </c>
      <c r="W62">
        <f>IF(ABS(E62-汇总!B25)&lt;=ABS(H62-汇总!B25),E62,H62)</f>
        <v/>
      </c>
      <c r="X62">
        <f>(K62/W62)^2</f>
        <v/>
      </c>
      <c r="Y62">
        <f>IF(N62&gt;10,"HIGH_TVW_CV",IF(J62&lt;3,"SHORT_INTERFACE","PASS"))</f>
        <v/>
      </c>
      <c r="Z62" t="inlineStr">
        <is>
          <t>Di1、TVW均值、Di2均来自本Pair_ID；TVW=3–5法线平均</t>
        </is>
      </c>
      <c r="AA62" t="inlineStr">
        <is>
          <t>样品53</t>
        </is>
      </c>
    </row>
    <row r="63">
      <c r="A63" t="inlineStr">
        <is>
          <t>53(6)-P01</t>
        </is>
      </c>
      <c r="B63" t="inlineStr">
        <is>
          <t>53 (6).tif</t>
        </is>
      </c>
      <c r="C63" t="inlineStr">
        <is>
          <t>53(6)-V01</t>
        </is>
      </c>
      <c r="D63">
        <f>导管母表_860!F433</f>
        <v/>
      </c>
      <c r="E63">
        <f>导管母表_860!G433</f>
        <v/>
      </c>
      <c r="F63" t="inlineStr">
        <is>
          <t>53(6)-V05</t>
        </is>
      </c>
      <c r="G63">
        <f>导管母表_860!F437</f>
        <v/>
      </c>
      <c r="H63">
        <f>导管母表_860!G437</f>
        <v/>
      </c>
      <c r="I63" t="inlineStr">
        <is>
          <t>J113:J114</t>
        </is>
      </c>
      <c r="J63">
        <f>COUNT(TVW线测量明细!J113:J114)</f>
        <v/>
      </c>
      <c r="K63">
        <f>AVERAGE(TVW线测量明细!J113:J114)</f>
        <v/>
      </c>
      <c r="L63">
        <f>MEDIAN(TVW线测量明细!J113:J114)</f>
        <v/>
      </c>
      <c r="M63">
        <f>IF(J63&gt;1,STDEV(TVW线测量明细!J113:J114),0)</f>
        <v/>
      </c>
      <c r="N63">
        <f>IF(K63=0,"",M63/K63*100)</f>
        <v/>
      </c>
      <c r="O63" t="n">
        <v>17.19041584649497</v>
      </c>
      <c r="P63">
        <f>IF(O63=0,"",(K63/O63-1)*100)</f>
        <v/>
      </c>
      <c r="Q63">
        <f>(K63/E63)^2</f>
        <v/>
      </c>
      <c r="R63">
        <f>(K63/H63)^2</f>
        <v/>
      </c>
      <c r="S63">
        <f>AVERAGE(Q63,R63)</f>
        <v/>
      </c>
      <c r="T63">
        <f>AVERAGE((O63/E63)^2,(O63/H63)^2)</f>
        <v/>
      </c>
      <c r="U63">
        <f>IF(T63=0,"",(S63/T63-1)*100)</f>
        <v/>
      </c>
      <c r="V63">
        <f>AVERAGE((L63/E63)^2,(L63/H63)^2)</f>
        <v/>
      </c>
      <c r="W63">
        <f>IF(ABS(E63-汇总!B25)&lt;=ABS(H63-汇总!B25),E63,H63)</f>
        <v/>
      </c>
      <c r="X63">
        <f>(K63/W63)^2</f>
        <v/>
      </c>
      <c r="Y63">
        <f>IF(N63&gt;10,"HIGH_TVW_CV",IF(J63&lt;3,"SHORT_INTERFACE","PASS"))</f>
        <v/>
      </c>
      <c r="Z63" t="inlineStr">
        <is>
          <t>Di1、TVW均值、Di2均来自本Pair_ID；TVW=3–5法线平均</t>
        </is>
      </c>
      <c r="AA63" t="inlineStr">
        <is>
          <t>样品53</t>
        </is>
      </c>
    </row>
    <row r="64">
      <c r="A64" t="inlineStr">
        <is>
          <t>53(7)-P01</t>
        </is>
      </c>
      <c r="B64" t="inlineStr">
        <is>
          <t>53 (7).tif</t>
        </is>
      </c>
      <c r="C64" t="inlineStr">
        <is>
          <t>53(7)-V05</t>
        </is>
      </c>
      <c r="D64">
        <f>导管母表_860!F444</f>
        <v/>
      </c>
      <c r="E64">
        <f>导管母表_860!G444</f>
        <v/>
      </c>
      <c r="F64" t="inlineStr">
        <is>
          <t>53(7)-V07</t>
        </is>
      </c>
      <c r="G64">
        <f>导管母表_860!F446</f>
        <v/>
      </c>
      <c r="H64">
        <f>导管母表_860!G446</f>
        <v/>
      </c>
      <c r="I64" t="inlineStr">
        <is>
          <t>J115:J115</t>
        </is>
      </c>
      <c r="J64">
        <f>COUNT(TVW线测量明细!J115:J115)</f>
        <v/>
      </c>
      <c r="K64">
        <f>AVERAGE(TVW线测量明细!J115:J115)</f>
        <v/>
      </c>
      <c r="L64">
        <f>MEDIAN(TVW线测量明细!J115:J115)</f>
        <v/>
      </c>
      <c r="M64">
        <f>IF(J64&gt;1,STDEV(TVW线测量明细!J115:J115),0)</f>
        <v/>
      </c>
      <c r="N64">
        <f>IF(K64=0,"",M64/K64*100)</f>
        <v/>
      </c>
      <c r="O64" t="n">
        <v>1.229750923802691</v>
      </c>
      <c r="P64">
        <f>IF(O64=0,"",(K64/O64-1)*100)</f>
        <v/>
      </c>
      <c r="Q64">
        <f>(K64/E64)^2</f>
        <v/>
      </c>
      <c r="R64">
        <f>(K64/H64)^2</f>
        <v/>
      </c>
      <c r="S64">
        <f>AVERAGE(Q64,R64)</f>
        <v/>
      </c>
      <c r="T64">
        <f>AVERAGE((O64/E64)^2,(O64/H64)^2)</f>
        <v/>
      </c>
      <c r="U64">
        <f>IF(T64=0,"",(S64/T64-1)*100)</f>
        <v/>
      </c>
      <c r="V64">
        <f>AVERAGE((L64/E64)^2,(L64/H64)^2)</f>
        <v/>
      </c>
      <c r="W64">
        <f>IF(ABS(E64-汇总!B25)&lt;=ABS(H64-汇总!B25),E64,H64)</f>
        <v/>
      </c>
      <c r="X64">
        <f>(K64/W64)^2</f>
        <v/>
      </c>
      <c r="Y64">
        <f>IF(N64&gt;10,"HIGH_TVW_CV",IF(J64&lt;3,"SHORT_INTERFACE","PASS"))</f>
        <v/>
      </c>
      <c r="Z64" t="inlineStr">
        <is>
          <t>Di1、TVW均值、Di2均来自本Pair_ID；TVW=3–5法线平均</t>
        </is>
      </c>
      <c r="AA64" t="inlineStr">
        <is>
          <t>样品53</t>
        </is>
      </c>
    </row>
    <row r="65">
      <c r="A65" t="inlineStr">
        <is>
          <t>53(8)-P01</t>
        </is>
      </c>
      <c r="B65" t="inlineStr">
        <is>
          <t>53 (8).tif</t>
        </is>
      </c>
      <c r="C65" t="inlineStr">
        <is>
          <t>53(8)-V01</t>
        </is>
      </c>
      <c r="D65">
        <f>导管母表_860!F447</f>
        <v/>
      </c>
      <c r="E65">
        <f>导管母表_860!G447</f>
        <v/>
      </c>
      <c r="F65" t="inlineStr">
        <is>
          <t>53(8)-V03</t>
        </is>
      </c>
      <c r="G65">
        <f>导管母表_860!F449</f>
        <v/>
      </c>
      <c r="H65">
        <f>导管母表_860!G449</f>
        <v/>
      </c>
      <c r="I65" t="inlineStr">
        <is>
          <t>J116:J118</t>
        </is>
      </c>
      <c r="J65">
        <f>COUNT(TVW线测量明细!J116:J118)</f>
        <v/>
      </c>
      <c r="K65">
        <f>AVERAGE(TVW线测量明细!J116:J118)</f>
        <v/>
      </c>
      <c r="L65">
        <f>MEDIAN(TVW线测量明细!J116:J118)</f>
        <v/>
      </c>
      <c r="M65">
        <f>IF(J65&gt;1,STDEV(TVW线测量明细!J116:J118),0)</f>
        <v/>
      </c>
      <c r="N65">
        <f>IF(K65=0,"",M65/K65*100)</f>
        <v/>
      </c>
      <c r="O65" t="n">
        <v>14.98896884864191</v>
      </c>
      <c r="P65">
        <f>IF(O65=0,"",(K65/O65-1)*100)</f>
        <v/>
      </c>
      <c r="Q65">
        <f>(K65/E65)^2</f>
        <v/>
      </c>
      <c r="R65">
        <f>(K65/H65)^2</f>
        <v/>
      </c>
      <c r="S65">
        <f>AVERAGE(Q65,R65)</f>
        <v/>
      </c>
      <c r="T65">
        <f>AVERAGE((O65/E65)^2,(O65/H65)^2)</f>
        <v/>
      </c>
      <c r="U65">
        <f>IF(T65=0,"",(S65/T65-1)*100)</f>
        <v/>
      </c>
      <c r="V65">
        <f>AVERAGE((L65/E65)^2,(L65/H65)^2)</f>
        <v/>
      </c>
      <c r="W65">
        <f>IF(ABS(E65-汇总!B25)&lt;=ABS(H65-汇总!B25),E65,H65)</f>
        <v/>
      </c>
      <c r="X65">
        <f>(K65/W65)^2</f>
        <v/>
      </c>
      <c r="Y65">
        <f>IF(N65&gt;10,"HIGH_TVW_CV",IF(J65&lt;3,"SHORT_INTERFACE","PASS"))</f>
        <v/>
      </c>
      <c r="Z65" t="inlineStr">
        <is>
          <t>Di1、TVW均值、Di2均来自本Pair_ID；TVW=3–5法线平均</t>
        </is>
      </c>
      <c r="AA65" t="inlineStr">
        <is>
          <t>样品53</t>
        </is>
      </c>
    </row>
    <row r="66">
      <c r="A66" t="inlineStr">
        <is>
          <t>54(1)-P01</t>
        </is>
      </c>
      <c r="B66" t="inlineStr">
        <is>
          <t>54 (1).tif</t>
        </is>
      </c>
      <c r="C66" t="inlineStr">
        <is>
          <t>54(1)-V01</t>
        </is>
      </c>
      <c r="D66">
        <f>导管母表_860!F453</f>
        <v/>
      </c>
      <c r="E66">
        <f>导管母表_860!G453</f>
        <v/>
      </c>
      <c r="F66" t="inlineStr">
        <is>
          <t>54(1)-V03</t>
        </is>
      </c>
      <c r="G66">
        <f>导管母表_860!F455</f>
        <v/>
      </c>
      <c r="H66">
        <f>导管母表_860!G455</f>
        <v/>
      </c>
      <c r="I66" t="inlineStr">
        <is>
          <t>J119:J120</t>
        </is>
      </c>
      <c r="J66">
        <f>COUNT(TVW线测量明细!J119:J120)</f>
        <v/>
      </c>
      <c r="K66">
        <f>AVERAGE(TVW线测量明细!J119:J120)</f>
        <v/>
      </c>
      <c r="L66">
        <f>MEDIAN(TVW线测量明细!J119:J120)</f>
        <v/>
      </c>
      <c r="M66">
        <f>IF(J66&gt;1,STDEV(TVW线测量明细!J119:J120),0)</f>
        <v/>
      </c>
      <c r="N66">
        <f>IF(K66=0,"",M66/K66*100)</f>
        <v/>
      </c>
      <c r="O66" t="n">
        <v>15.73198252293967</v>
      </c>
      <c r="P66">
        <f>IF(O66=0,"",(K66/O66-1)*100)</f>
        <v/>
      </c>
      <c r="Q66">
        <f>(K66/E66)^2</f>
        <v/>
      </c>
      <c r="R66">
        <f>(K66/H66)^2</f>
        <v/>
      </c>
      <c r="S66">
        <f>AVERAGE(Q66,R66)</f>
        <v/>
      </c>
      <c r="T66">
        <f>AVERAGE((O66/E66)^2,(O66/H66)^2)</f>
        <v/>
      </c>
      <c r="U66">
        <f>IF(T66=0,"",(S66/T66-1)*100)</f>
        <v/>
      </c>
      <c r="V66">
        <f>AVERAGE((L66/E66)^2,(L66/H66)^2)</f>
        <v/>
      </c>
      <c r="W66">
        <f>IF(ABS(E66-汇总!B25)&lt;=ABS(H66-汇总!B25),E66,H66)</f>
        <v/>
      </c>
      <c r="X66">
        <f>(K66/W66)^2</f>
        <v/>
      </c>
      <c r="Y66">
        <f>IF(N66&gt;10,"HIGH_TVW_CV",IF(J66&lt;3,"SHORT_INTERFACE","PASS"))</f>
        <v/>
      </c>
      <c r="Z66" t="inlineStr">
        <is>
          <t>Di1、TVW均值、Di2均来自本Pair_ID；TVW=3–5法线平均</t>
        </is>
      </c>
      <c r="AA66" t="inlineStr">
        <is>
          <t>样品54</t>
        </is>
      </c>
    </row>
    <row r="67">
      <c r="A67" t="inlineStr">
        <is>
          <t>54(3)-P01</t>
        </is>
      </c>
      <c r="B67" t="inlineStr">
        <is>
          <t>54 (3).tif</t>
        </is>
      </c>
      <c r="C67" t="inlineStr">
        <is>
          <t>54(3)-V01</t>
        </is>
      </c>
      <c r="D67">
        <f>导管母表_860!F464</f>
        <v/>
      </c>
      <c r="E67">
        <f>导管母表_860!G464</f>
        <v/>
      </c>
      <c r="F67" t="inlineStr">
        <is>
          <t>54(3)-V02</t>
        </is>
      </c>
      <c r="G67">
        <f>导管母表_860!F465</f>
        <v/>
      </c>
      <c r="H67">
        <f>导管母表_860!G465</f>
        <v/>
      </c>
      <c r="I67" t="inlineStr">
        <is>
          <t>J121:J121</t>
        </is>
      </c>
      <c r="J67">
        <f>COUNT(TVW线测量明细!J121:J121)</f>
        <v/>
      </c>
      <c r="K67">
        <f>AVERAGE(TVW线测量明细!J121:J121)</f>
        <v/>
      </c>
      <c r="L67">
        <f>MEDIAN(TVW线测量明细!J121:J121)</f>
        <v/>
      </c>
      <c r="M67">
        <f>IF(J67&gt;1,STDEV(TVW线测量明细!J121:J121),0)</f>
        <v/>
      </c>
      <c r="N67">
        <f>IF(K67=0,"",M67/K67*100)</f>
        <v/>
      </c>
      <c r="O67" t="n">
        <v>2.653599046898631</v>
      </c>
      <c r="P67">
        <f>IF(O67=0,"",(K67/O67-1)*100)</f>
        <v/>
      </c>
      <c r="Q67">
        <f>(K67/E67)^2</f>
        <v/>
      </c>
      <c r="R67">
        <f>(K67/H67)^2</f>
        <v/>
      </c>
      <c r="S67">
        <f>AVERAGE(Q67,R67)</f>
        <v/>
      </c>
      <c r="T67">
        <f>AVERAGE((O67/E67)^2,(O67/H67)^2)</f>
        <v/>
      </c>
      <c r="U67">
        <f>IF(T67=0,"",(S67/T67-1)*100)</f>
        <v/>
      </c>
      <c r="V67">
        <f>AVERAGE((L67/E67)^2,(L67/H67)^2)</f>
        <v/>
      </c>
      <c r="W67">
        <f>IF(ABS(E67-汇总!B25)&lt;=ABS(H67-汇总!B25),E67,H67)</f>
        <v/>
      </c>
      <c r="X67">
        <f>(K67/W67)^2</f>
        <v/>
      </c>
      <c r="Y67">
        <f>IF(N67&gt;10,"HIGH_TVW_CV",IF(J67&lt;3,"SHORT_INTERFACE","PASS"))</f>
        <v/>
      </c>
      <c r="Z67" t="inlineStr">
        <is>
          <t>Di1、TVW均值、Di2均来自本Pair_ID；TVW=3–5法线平均</t>
        </is>
      </c>
      <c r="AA67" t="inlineStr">
        <is>
          <t>样品54</t>
        </is>
      </c>
    </row>
    <row r="68">
      <c r="A68" t="inlineStr">
        <is>
          <t>54(6)-P01</t>
        </is>
      </c>
      <c r="B68" t="inlineStr">
        <is>
          <t>54 (6).tif</t>
        </is>
      </c>
      <c r="C68" t="inlineStr">
        <is>
          <t>54(6)-V03</t>
        </is>
      </c>
      <c r="D68">
        <f>导管母表_860!F482</f>
        <v/>
      </c>
      <c r="E68">
        <f>导管母表_860!G482</f>
        <v/>
      </c>
      <c r="F68" t="inlineStr">
        <is>
          <t>54(6)-V04</t>
        </is>
      </c>
      <c r="G68">
        <f>导管母表_860!F483</f>
        <v/>
      </c>
      <c r="H68">
        <f>导管母表_860!G483</f>
        <v/>
      </c>
      <c r="I68" t="inlineStr">
        <is>
          <t>J122:J125</t>
        </is>
      </c>
      <c r="J68">
        <f>COUNT(TVW线测量明细!J122:J125)</f>
        <v/>
      </c>
      <c r="K68">
        <f>AVERAGE(TVW线测量明细!J122:J125)</f>
        <v/>
      </c>
      <c r="L68">
        <f>MEDIAN(TVW线测量明细!J122:J125)</f>
        <v/>
      </c>
      <c r="M68">
        <f>IF(J68&gt;1,STDEV(TVW线测量明细!J122:J125),0)</f>
        <v/>
      </c>
      <c r="N68">
        <f>IF(K68=0,"",M68/K68*100)</f>
        <v/>
      </c>
      <c r="O68" t="n">
        <v>15.27473667007928</v>
      </c>
      <c r="P68">
        <f>IF(O68=0,"",(K68/O68-1)*100)</f>
        <v/>
      </c>
      <c r="Q68">
        <f>(K68/E68)^2</f>
        <v/>
      </c>
      <c r="R68">
        <f>(K68/H68)^2</f>
        <v/>
      </c>
      <c r="S68">
        <f>AVERAGE(Q68,R68)</f>
        <v/>
      </c>
      <c r="T68">
        <f>AVERAGE((O68/E68)^2,(O68/H68)^2)</f>
        <v/>
      </c>
      <c r="U68">
        <f>IF(T68=0,"",(S68/T68-1)*100)</f>
        <v/>
      </c>
      <c r="V68">
        <f>AVERAGE((L68/E68)^2,(L68/H68)^2)</f>
        <v/>
      </c>
      <c r="W68">
        <f>IF(ABS(E68-汇总!B25)&lt;=ABS(H68-汇总!B25),E68,H68)</f>
        <v/>
      </c>
      <c r="X68">
        <f>(K68/W68)^2</f>
        <v/>
      </c>
      <c r="Y68">
        <f>IF(N68&gt;10,"HIGH_TVW_CV",IF(J68&lt;3,"SHORT_INTERFACE","PASS"))</f>
        <v/>
      </c>
      <c r="Z68" t="inlineStr">
        <is>
          <t>Di1、TVW均值、Di2均来自本Pair_ID；TVW=3–5法线平均</t>
        </is>
      </c>
      <c r="AA68" t="inlineStr">
        <is>
          <t>样品54</t>
        </is>
      </c>
    </row>
    <row r="69">
      <c r="A69" t="inlineStr">
        <is>
          <t>55(1)-P01</t>
        </is>
      </c>
      <c r="B69" t="inlineStr">
        <is>
          <t>55 (1).tif</t>
        </is>
      </c>
      <c r="C69" t="inlineStr">
        <is>
          <t>55(1)-V01</t>
        </is>
      </c>
      <c r="D69">
        <f>导管母表_860!F494</f>
        <v/>
      </c>
      <c r="E69">
        <f>导管母表_860!G494</f>
        <v/>
      </c>
      <c r="F69" t="inlineStr">
        <is>
          <t>55(1)-V05</t>
        </is>
      </c>
      <c r="G69">
        <f>导管母表_860!F498</f>
        <v/>
      </c>
      <c r="H69">
        <f>导管母表_860!G498</f>
        <v/>
      </c>
      <c r="I69" t="inlineStr">
        <is>
          <t>J126:J129</t>
        </is>
      </c>
      <c r="J69">
        <f>COUNT(TVW线测量明细!J126:J129)</f>
        <v/>
      </c>
      <c r="K69">
        <f>AVERAGE(TVW线测量明细!J126:J129)</f>
        <v/>
      </c>
      <c r="L69">
        <f>MEDIAN(TVW线测量明细!J126:J129)</f>
        <v/>
      </c>
      <c r="M69">
        <f>IF(J69&gt;1,STDEV(TVW线测量明细!J126:J129),0)</f>
        <v/>
      </c>
      <c r="N69">
        <f>IF(K69=0,"",M69/K69*100)</f>
        <v/>
      </c>
      <c r="O69" t="n">
        <v>3.919077473330423</v>
      </c>
      <c r="P69">
        <f>IF(O69=0,"",(K69/O69-1)*100)</f>
        <v/>
      </c>
      <c r="Q69">
        <f>(K69/E69)^2</f>
        <v/>
      </c>
      <c r="R69">
        <f>(K69/H69)^2</f>
        <v/>
      </c>
      <c r="S69">
        <f>AVERAGE(Q69,R69)</f>
        <v/>
      </c>
      <c r="T69">
        <f>AVERAGE((O69/E69)^2,(O69/H69)^2)</f>
        <v/>
      </c>
      <c r="U69">
        <f>IF(T69=0,"",(S69/T69-1)*100)</f>
        <v/>
      </c>
      <c r="V69">
        <f>AVERAGE((L69/E69)^2,(L69/H69)^2)</f>
        <v/>
      </c>
      <c r="W69">
        <f>IF(ABS(E69-汇总!B25)&lt;=ABS(H69-汇总!B25),E69,H69)</f>
        <v/>
      </c>
      <c r="X69">
        <f>(K69/W69)^2</f>
        <v/>
      </c>
      <c r="Y69">
        <f>IF(N69&gt;10,"HIGH_TVW_CV",IF(J69&lt;3,"SHORT_INTERFACE","PASS"))</f>
        <v/>
      </c>
      <c r="Z69" t="inlineStr">
        <is>
          <t>Di1、TVW均值、Di2均来自本Pair_ID；TVW=3–5法线平均</t>
        </is>
      </c>
      <c r="AA69" t="inlineStr">
        <is>
          <t>样品55</t>
        </is>
      </c>
    </row>
    <row r="70">
      <c r="A70" t="inlineStr">
        <is>
          <t>55(4)-P01</t>
        </is>
      </c>
      <c r="B70" t="inlineStr">
        <is>
          <t>55 (4).tif</t>
        </is>
      </c>
      <c r="C70" t="inlineStr">
        <is>
          <t>55(4)-V02</t>
        </is>
      </c>
      <c r="D70">
        <f>导管母表_860!F511</f>
        <v/>
      </c>
      <c r="E70">
        <f>导管母表_860!G511</f>
        <v/>
      </c>
      <c r="F70" t="inlineStr">
        <is>
          <t>55(4)-V04</t>
        </is>
      </c>
      <c r="G70">
        <f>导管母表_860!F513</f>
        <v/>
      </c>
      <c r="H70">
        <f>导管母表_860!G513</f>
        <v/>
      </c>
      <c r="I70" t="inlineStr">
        <is>
          <t>J130:J132</t>
        </is>
      </c>
      <c r="J70">
        <f>COUNT(TVW线测量明细!J130:J132)</f>
        <v/>
      </c>
      <c r="K70">
        <f>AVERAGE(TVW线测量明细!J130:J132)</f>
        <v/>
      </c>
      <c r="L70">
        <f>MEDIAN(TVW线测量明细!J130:J132)</f>
        <v/>
      </c>
      <c r="M70">
        <f>IF(J70&gt;1,STDEV(TVW线测量明细!J130:J132),0)</f>
        <v/>
      </c>
      <c r="N70">
        <f>IF(K70=0,"",M70/K70*100)</f>
        <v/>
      </c>
      <c r="O70" t="n">
        <v>5.130619009219977</v>
      </c>
      <c r="P70">
        <f>IF(O70=0,"",(K70/O70-1)*100)</f>
        <v/>
      </c>
      <c r="Q70">
        <f>(K70/E70)^2</f>
        <v/>
      </c>
      <c r="R70">
        <f>(K70/H70)^2</f>
        <v/>
      </c>
      <c r="S70">
        <f>AVERAGE(Q70,R70)</f>
        <v/>
      </c>
      <c r="T70">
        <f>AVERAGE((O70/E70)^2,(O70/H70)^2)</f>
        <v/>
      </c>
      <c r="U70">
        <f>IF(T70=0,"",(S70/T70-1)*100)</f>
        <v/>
      </c>
      <c r="V70">
        <f>AVERAGE((L70/E70)^2,(L70/H70)^2)</f>
        <v/>
      </c>
      <c r="W70">
        <f>IF(ABS(E70-汇总!B25)&lt;=ABS(H70-汇总!B25),E70,H70)</f>
        <v/>
      </c>
      <c r="X70">
        <f>(K70/W70)^2</f>
        <v/>
      </c>
      <c r="Y70">
        <f>IF(N70&gt;10,"HIGH_TVW_CV",IF(J70&lt;3,"SHORT_INTERFACE","PASS"))</f>
        <v/>
      </c>
      <c r="Z70" t="inlineStr">
        <is>
          <t>Di1、TVW均值、Di2均来自本Pair_ID；TVW=3–5法线平均</t>
        </is>
      </c>
      <c r="AA70" t="inlineStr">
        <is>
          <t>样品55</t>
        </is>
      </c>
    </row>
    <row r="71">
      <c r="A71" t="inlineStr">
        <is>
          <t>55(6)-P01</t>
        </is>
      </c>
      <c r="B71" t="inlineStr">
        <is>
          <t>55 (6).tif</t>
        </is>
      </c>
      <c r="C71" t="inlineStr">
        <is>
          <t>55(6)-V01</t>
        </is>
      </c>
      <c r="D71">
        <f>导管母表_860!F520</f>
        <v/>
      </c>
      <c r="E71">
        <f>导管母表_860!G520</f>
        <v/>
      </c>
      <c r="F71" t="inlineStr">
        <is>
          <t>55(6)-V04</t>
        </is>
      </c>
      <c r="G71">
        <f>导管母表_860!F523</f>
        <v/>
      </c>
      <c r="H71">
        <f>导管母表_860!G523</f>
        <v/>
      </c>
      <c r="I71" t="inlineStr">
        <is>
          <t>J133:J133</t>
        </is>
      </c>
      <c r="J71">
        <f>COUNT(TVW线测量明细!J133:J133)</f>
        <v/>
      </c>
      <c r="K71">
        <f>AVERAGE(TVW线测量明细!J133:J133)</f>
        <v/>
      </c>
      <c r="L71">
        <f>MEDIAN(TVW线测量明细!J133:J133)</f>
        <v/>
      </c>
      <c r="M71">
        <f>IF(J71&gt;1,STDEV(TVW线测量明细!J133:J133),0)</f>
        <v/>
      </c>
      <c r="N71">
        <f>IF(K71=0,"",M71/K71*100)</f>
        <v/>
      </c>
      <c r="O71" t="n">
        <v>6.525361312958101</v>
      </c>
      <c r="P71">
        <f>IF(O71=0,"",(K71/O71-1)*100)</f>
        <v/>
      </c>
      <c r="Q71">
        <f>(K71/E71)^2</f>
        <v/>
      </c>
      <c r="R71">
        <f>(K71/H71)^2</f>
        <v/>
      </c>
      <c r="S71">
        <f>AVERAGE(Q71,R71)</f>
        <v/>
      </c>
      <c r="T71">
        <f>AVERAGE((O71/E71)^2,(O71/H71)^2)</f>
        <v/>
      </c>
      <c r="U71">
        <f>IF(T71=0,"",(S71/T71-1)*100)</f>
        <v/>
      </c>
      <c r="V71">
        <f>AVERAGE((L71/E71)^2,(L71/H71)^2)</f>
        <v/>
      </c>
      <c r="W71">
        <f>IF(ABS(E71-汇总!B25)&lt;=ABS(H71-汇总!B25),E71,H71)</f>
        <v/>
      </c>
      <c r="X71">
        <f>(K71/W71)^2</f>
        <v/>
      </c>
      <c r="Y71">
        <f>IF(N71&gt;10,"HIGH_TVW_CV",IF(J71&lt;3,"SHORT_INTERFACE","PASS"))</f>
        <v/>
      </c>
      <c r="Z71" t="inlineStr">
        <is>
          <t>Di1、TVW均值、Di2均来自本Pair_ID；TVW=3–5法线平均</t>
        </is>
      </c>
      <c r="AA71" t="inlineStr">
        <is>
          <t>样品55</t>
        </is>
      </c>
    </row>
    <row r="72">
      <c r="A72" t="inlineStr">
        <is>
          <t>55(8)-P01</t>
        </is>
      </c>
      <c r="B72" t="inlineStr">
        <is>
          <t>55 (8).tif</t>
        </is>
      </c>
      <c r="C72" t="inlineStr">
        <is>
          <t>55(8)-V01</t>
        </is>
      </c>
      <c r="D72">
        <f>导管母表_860!F533</f>
        <v/>
      </c>
      <c r="E72">
        <f>导管母表_860!G533</f>
        <v/>
      </c>
      <c r="F72" t="inlineStr">
        <is>
          <t>55(8)-V02</t>
        </is>
      </c>
      <c r="G72">
        <f>导管母表_860!F534</f>
        <v/>
      </c>
      <c r="H72">
        <f>导管母表_860!G534</f>
        <v/>
      </c>
      <c r="I72" t="inlineStr">
        <is>
          <t>J134:J135</t>
        </is>
      </c>
      <c r="J72">
        <f>COUNT(TVW线测量明细!J134:J135)</f>
        <v/>
      </c>
      <c r="K72">
        <f>AVERAGE(TVW线测量明细!J134:J135)</f>
        <v/>
      </c>
      <c r="L72">
        <f>MEDIAN(TVW线测量明细!J134:J135)</f>
        <v/>
      </c>
      <c r="M72">
        <f>IF(J72&gt;1,STDEV(TVW线测量明细!J134:J135),0)</f>
        <v/>
      </c>
      <c r="N72">
        <f>IF(K72=0,"",M72/K72*100)</f>
        <v/>
      </c>
      <c r="O72" t="n">
        <v>6.905382684464604</v>
      </c>
      <c r="P72">
        <f>IF(O72=0,"",(K72/O72-1)*100)</f>
        <v/>
      </c>
      <c r="Q72">
        <f>(K72/E72)^2</f>
        <v/>
      </c>
      <c r="R72">
        <f>(K72/H72)^2</f>
        <v/>
      </c>
      <c r="S72">
        <f>AVERAGE(Q72,R72)</f>
        <v/>
      </c>
      <c r="T72">
        <f>AVERAGE((O72/E72)^2,(O72/H72)^2)</f>
        <v/>
      </c>
      <c r="U72">
        <f>IF(T72=0,"",(S72/T72-1)*100)</f>
        <v/>
      </c>
      <c r="V72">
        <f>AVERAGE((L72/E72)^2,(L72/H72)^2)</f>
        <v/>
      </c>
      <c r="W72">
        <f>IF(ABS(E72-汇总!B25)&lt;=ABS(H72-汇总!B25),E72,H72)</f>
        <v/>
      </c>
      <c r="X72">
        <f>(K72/W72)^2</f>
        <v/>
      </c>
      <c r="Y72">
        <f>IF(N72&gt;10,"HIGH_TVW_CV",IF(J72&lt;3,"SHORT_INTERFACE","PASS"))</f>
        <v/>
      </c>
      <c r="Z72" t="inlineStr">
        <is>
          <t>Di1、TVW均值、Di2均来自本Pair_ID；TVW=3–5法线平均</t>
        </is>
      </c>
      <c r="AA72" t="inlineStr">
        <is>
          <t>样品55</t>
        </is>
      </c>
    </row>
    <row r="73">
      <c r="A73" t="inlineStr">
        <is>
          <t>56(1)-P01</t>
        </is>
      </c>
      <c r="B73" t="inlineStr">
        <is>
          <t>56 (1).tif</t>
        </is>
      </c>
      <c r="C73" t="inlineStr">
        <is>
          <t>56(1)-V04</t>
        </is>
      </c>
      <c r="D73">
        <f>导管母表_860!F544</f>
        <v/>
      </c>
      <c r="E73">
        <f>导管母表_860!G544</f>
        <v/>
      </c>
      <c r="F73" t="inlineStr">
        <is>
          <t>56(1)-V06</t>
        </is>
      </c>
      <c r="G73">
        <f>导管母表_860!F546</f>
        <v/>
      </c>
      <c r="H73">
        <f>导管母表_860!G546</f>
        <v/>
      </c>
      <c r="I73" t="inlineStr">
        <is>
          <t>J136:J137</t>
        </is>
      </c>
      <c r="J73">
        <f>COUNT(TVW线测量明细!J136:J137)</f>
        <v/>
      </c>
      <c r="K73">
        <f>AVERAGE(TVW线测量明细!J136:J137)</f>
        <v/>
      </c>
      <c r="L73">
        <f>MEDIAN(TVW线测量明细!J136:J137)</f>
        <v/>
      </c>
      <c r="M73">
        <f>IF(J73&gt;1,STDEV(TVW线测量明细!J136:J137),0)</f>
        <v/>
      </c>
      <c r="N73">
        <f>IF(K73=0,"",M73/K73*100)</f>
        <v/>
      </c>
      <c r="O73" t="n">
        <v>1.792654619833765</v>
      </c>
      <c r="P73">
        <f>IF(O73=0,"",(K73/O73-1)*100)</f>
        <v/>
      </c>
      <c r="Q73">
        <f>(K73/E73)^2</f>
        <v/>
      </c>
      <c r="R73">
        <f>(K73/H73)^2</f>
        <v/>
      </c>
      <c r="S73">
        <f>AVERAGE(Q73,R73)</f>
        <v/>
      </c>
      <c r="T73">
        <f>AVERAGE((O73/E73)^2,(O73/H73)^2)</f>
        <v/>
      </c>
      <c r="U73">
        <f>IF(T73=0,"",(S73/T73-1)*100)</f>
        <v/>
      </c>
      <c r="V73">
        <f>AVERAGE((L73/E73)^2,(L73/H73)^2)</f>
        <v/>
      </c>
      <c r="W73">
        <f>IF(ABS(E73-汇总!B25)&lt;=ABS(H73-汇总!B25),E73,H73)</f>
        <v/>
      </c>
      <c r="X73">
        <f>(K73/W73)^2</f>
        <v/>
      </c>
      <c r="Y73">
        <f>IF(N73&gt;10,"HIGH_TVW_CV",IF(J73&lt;3,"SHORT_INTERFACE","PASS"))</f>
        <v/>
      </c>
      <c r="Z73" t="inlineStr">
        <is>
          <t>Di1、TVW均值、Di2均来自本Pair_ID；TVW=3–5法线平均</t>
        </is>
      </c>
      <c r="AA73" t="inlineStr">
        <is>
          <t>样品56</t>
        </is>
      </c>
    </row>
    <row r="74">
      <c r="A74" t="inlineStr">
        <is>
          <t>56(2)-P01</t>
        </is>
      </c>
      <c r="B74" t="inlineStr">
        <is>
          <t>56 (2).tif</t>
        </is>
      </c>
      <c r="C74" t="inlineStr">
        <is>
          <t>56(2)-V02</t>
        </is>
      </c>
      <c r="D74">
        <f>导管母表_860!F550</f>
        <v/>
      </c>
      <c r="E74">
        <f>导管母表_860!G550</f>
        <v/>
      </c>
      <c r="F74" t="inlineStr">
        <is>
          <t>56(2)-V09</t>
        </is>
      </c>
      <c r="G74">
        <f>导管母表_860!F557</f>
        <v/>
      </c>
      <c r="H74">
        <f>导管母表_860!G557</f>
        <v/>
      </c>
      <c r="I74" t="inlineStr">
        <is>
          <t>J138:J140</t>
        </is>
      </c>
      <c r="J74">
        <f>COUNT(TVW线测量明细!J138:J140)</f>
        <v/>
      </c>
      <c r="K74">
        <f>AVERAGE(TVW线测量明细!J138:J140)</f>
        <v/>
      </c>
      <c r="L74">
        <f>MEDIAN(TVW线测量明细!J138:J140)</f>
        <v/>
      </c>
      <c r="M74">
        <f>IF(J74&gt;1,STDEV(TVW线测量明细!J138:J140),0)</f>
        <v/>
      </c>
      <c r="N74">
        <f>IF(K74=0,"",M74/K74*100)</f>
        <v/>
      </c>
      <c r="O74" t="n">
        <v>0.9722034684781694</v>
      </c>
      <c r="P74">
        <f>IF(O74=0,"",(K74/O74-1)*100)</f>
        <v/>
      </c>
      <c r="Q74">
        <f>(K74/E74)^2</f>
        <v/>
      </c>
      <c r="R74">
        <f>(K74/H74)^2</f>
        <v/>
      </c>
      <c r="S74">
        <f>AVERAGE(Q74,R74)</f>
        <v/>
      </c>
      <c r="T74">
        <f>AVERAGE((O74/E74)^2,(O74/H74)^2)</f>
        <v/>
      </c>
      <c r="U74">
        <f>IF(T74=0,"",(S74/T74-1)*100)</f>
        <v/>
      </c>
      <c r="V74">
        <f>AVERAGE((L74/E74)^2,(L74/H74)^2)</f>
        <v/>
      </c>
      <c r="W74">
        <f>IF(ABS(E74-汇总!B25)&lt;=ABS(H74-汇总!B25),E74,H74)</f>
        <v/>
      </c>
      <c r="X74">
        <f>(K74/W74)^2</f>
        <v/>
      </c>
      <c r="Y74">
        <f>IF(N74&gt;10,"HIGH_TVW_CV",IF(J74&lt;3,"SHORT_INTERFACE","PASS"))</f>
        <v/>
      </c>
      <c r="Z74" t="inlineStr">
        <is>
          <t>Di1、TVW均值、Di2均来自本Pair_ID；TVW=3–5法线平均</t>
        </is>
      </c>
      <c r="AA74" t="inlineStr">
        <is>
          <t>样品56</t>
        </is>
      </c>
    </row>
    <row r="75">
      <c r="A75" t="inlineStr">
        <is>
          <t>56(4)-P01</t>
        </is>
      </c>
      <c r="B75" t="inlineStr">
        <is>
          <t>56 (4).tif</t>
        </is>
      </c>
      <c r="C75" t="inlineStr">
        <is>
          <t>56(4)-V01</t>
        </is>
      </c>
      <c r="D75">
        <f>导管母表_860!F562</f>
        <v/>
      </c>
      <c r="E75">
        <f>导管母表_860!G562</f>
        <v/>
      </c>
      <c r="F75" t="inlineStr">
        <is>
          <t>56(4)-V02</t>
        </is>
      </c>
      <c r="G75">
        <f>导管母表_860!F563</f>
        <v/>
      </c>
      <c r="H75">
        <f>导管母表_860!G563</f>
        <v/>
      </c>
      <c r="I75" t="inlineStr">
        <is>
          <t>J141:J141</t>
        </is>
      </c>
      <c r="J75">
        <f>COUNT(TVW线测量明细!J141:J141)</f>
        <v/>
      </c>
      <c r="K75">
        <f>AVERAGE(TVW线测量明细!J141:J141)</f>
        <v/>
      </c>
      <c r="L75">
        <f>MEDIAN(TVW线测量明细!J141:J141)</f>
        <v/>
      </c>
      <c r="M75">
        <f>IF(J75&gt;1,STDEV(TVW线测量明细!J141:J141),0)</f>
        <v/>
      </c>
      <c r="N75">
        <f>IF(K75=0,"",M75/K75*100)</f>
        <v/>
      </c>
      <c r="O75" t="n">
        <v>6.22513959272885</v>
      </c>
      <c r="P75">
        <f>IF(O75=0,"",(K75/O75-1)*100)</f>
        <v/>
      </c>
      <c r="Q75">
        <f>(K75/E75)^2</f>
        <v/>
      </c>
      <c r="R75">
        <f>(K75/H75)^2</f>
        <v/>
      </c>
      <c r="S75">
        <f>AVERAGE(Q75,R75)</f>
        <v/>
      </c>
      <c r="T75">
        <f>AVERAGE((O75/E75)^2,(O75/H75)^2)</f>
        <v/>
      </c>
      <c r="U75">
        <f>IF(T75=0,"",(S75/T75-1)*100)</f>
        <v/>
      </c>
      <c r="V75">
        <f>AVERAGE((L75/E75)^2,(L75/H75)^2)</f>
        <v/>
      </c>
      <c r="W75">
        <f>IF(ABS(E75-汇总!B25)&lt;=ABS(H75-汇总!B25),E75,H75)</f>
        <v/>
      </c>
      <c r="X75">
        <f>(K75/W75)^2</f>
        <v/>
      </c>
      <c r="Y75">
        <f>IF(N75&gt;10,"HIGH_TVW_CV",IF(J75&lt;3,"SHORT_INTERFACE","PASS"))</f>
        <v/>
      </c>
      <c r="Z75" t="inlineStr">
        <is>
          <t>Di1、TVW均值、Di2均来自本Pair_ID；TVW=3–5法线平均</t>
        </is>
      </c>
      <c r="AA75" t="inlineStr">
        <is>
          <t>样品56</t>
        </is>
      </c>
    </row>
    <row r="76">
      <c r="A76" t="inlineStr">
        <is>
          <t>56(8)-P01</t>
        </is>
      </c>
      <c r="B76" t="inlineStr">
        <is>
          <t>56 (8).tif</t>
        </is>
      </c>
      <c r="C76" t="inlineStr">
        <is>
          <t>56(8)-V01</t>
        </is>
      </c>
      <c r="D76">
        <f>导管母表_860!F582</f>
        <v/>
      </c>
      <c r="E76">
        <f>导管母表_860!G582</f>
        <v/>
      </c>
      <c r="F76" t="inlineStr">
        <is>
          <t>56(8)-V02</t>
        </is>
      </c>
      <c r="G76">
        <f>导管母表_860!F583</f>
        <v/>
      </c>
      <c r="H76">
        <f>导管母表_860!G583</f>
        <v/>
      </c>
      <c r="I76" t="inlineStr">
        <is>
          <t>J142:J142</t>
        </is>
      </c>
      <c r="J76">
        <f>COUNT(TVW线测量明细!J142:J142)</f>
        <v/>
      </c>
      <c r="K76">
        <f>AVERAGE(TVW线测量明细!J142:J142)</f>
        <v/>
      </c>
      <c r="L76">
        <f>MEDIAN(TVW线测量明细!J142:J142)</f>
        <v/>
      </c>
      <c r="M76">
        <f>IF(J76&gt;1,STDEV(TVW线测量明细!J142:J142),0)</f>
        <v/>
      </c>
      <c r="N76">
        <f>IF(K76=0,"",M76/K76*100)</f>
        <v/>
      </c>
      <c r="O76" t="n">
        <v>3.485047726495956</v>
      </c>
      <c r="P76">
        <f>IF(O76=0,"",(K76/O76-1)*100)</f>
        <v/>
      </c>
      <c r="Q76">
        <f>(K76/E76)^2</f>
        <v/>
      </c>
      <c r="R76">
        <f>(K76/H76)^2</f>
        <v/>
      </c>
      <c r="S76">
        <f>AVERAGE(Q76,R76)</f>
        <v/>
      </c>
      <c r="T76">
        <f>AVERAGE((O76/E76)^2,(O76/H76)^2)</f>
        <v/>
      </c>
      <c r="U76">
        <f>IF(T76=0,"",(S76/T76-1)*100)</f>
        <v/>
      </c>
      <c r="V76">
        <f>AVERAGE((L76/E76)^2,(L76/H76)^2)</f>
        <v/>
      </c>
      <c r="W76">
        <f>IF(ABS(E76-汇总!B25)&lt;=ABS(H76-汇总!B25),E76,H76)</f>
        <v/>
      </c>
      <c r="X76">
        <f>(K76/W76)^2</f>
        <v/>
      </c>
      <c r="Y76">
        <f>IF(N76&gt;10,"HIGH_TVW_CV",IF(J76&lt;3,"SHORT_INTERFACE","PASS"))</f>
        <v/>
      </c>
      <c r="Z76" t="inlineStr">
        <is>
          <t>Di1、TVW均值、Di2均来自本Pair_ID；TVW=3–5法线平均</t>
        </is>
      </c>
      <c r="AA76" t="inlineStr">
        <is>
          <t>样品56</t>
        </is>
      </c>
    </row>
    <row r="77">
      <c r="A77" t="inlineStr">
        <is>
          <t>57(6)-P01</t>
        </is>
      </c>
      <c r="B77" t="inlineStr">
        <is>
          <t>57 (6).tif</t>
        </is>
      </c>
      <c r="C77" t="inlineStr">
        <is>
          <t>57(6)-V02</t>
        </is>
      </c>
      <c r="D77">
        <f>导管母表_860!F612</f>
        <v/>
      </c>
      <c r="E77">
        <f>导管母表_860!G612</f>
        <v/>
      </c>
      <c r="F77" t="inlineStr">
        <is>
          <t>57(6)-V03</t>
        </is>
      </c>
      <c r="G77">
        <f>导管母表_860!F613</f>
        <v/>
      </c>
      <c r="H77">
        <f>导管母表_860!G613</f>
        <v/>
      </c>
      <c r="I77" t="inlineStr">
        <is>
          <t>J143:J146</t>
        </is>
      </c>
      <c r="J77">
        <f>COUNT(TVW线测量明细!J143:J146)</f>
        <v/>
      </c>
      <c r="K77">
        <f>AVERAGE(TVW线测量明细!J143:J146)</f>
        <v/>
      </c>
      <c r="L77">
        <f>MEDIAN(TVW线测量明细!J143:J146)</f>
        <v/>
      </c>
      <c r="M77">
        <f>IF(J77&gt;1,STDEV(TVW线测量明细!J143:J146),0)</f>
        <v/>
      </c>
      <c r="N77">
        <f>IF(K77=0,"",M77/K77*100)</f>
        <v/>
      </c>
      <c r="O77" t="n">
        <v>4.667589250779106</v>
      </c>
      <c r="P77">
        <f>IF(O77=0,"",(K77/O77-1)*100)</f>
        <v/>
      </c>
      <c r="Q77">
        <f>(K77/E77)^2</f>
        <v/>
      </c>
      <c r="R77">
        <f>(K77/H77)^2</f>
        <v/>
      </c>
      <c r="S77">
        <f>AVERAGE(Q77,R77)</f>
        <v/>
      </c>
      <c r="T77">
        <f>AVERAGE((O77/E77)^2,(O77/H77)^2)</f>
        <v/>
      </c>
      <c r="U77">
        <f>IF(T77=0,"",(S77/T77-1)*100)</f>
        <v/>
      </c>
      <c r="V77">
        <f>AVERAGE((L77/E77)^2,(L77/H77)^2)</f>
        <v/>
      </c>
      <c r="W77">
        <f>IF(ABS(E77-汇总!B25)&lt;=ABS(H77-汇总!B25),E77,H77)</f>
        <v/>
      </c>
      <c r="X77">
        <f>(K77/W77)^2</f>
        <v/>
      </c>
      <c r="Y77">
        <f>IF(N77&gt;10,"HIGH_TVW_CV",IF(J77&lt;3,"SHORT_INTERFACE","PASS"))</f>
        <v/>
      </c>
      <c r="Z77" t="inlineStr">
        <is>
          <t>Di1、TVW均值、Di2均来自本Pair_ID；TVW=3–5法线平均</t>
        </is>
      </c>
      <c r="AA77" t="inlineStr">
        <is>
          <t>样品57</t>
        </is>
      </c>
    </row>
    <row r="78">
      <c r="A78" t="inlineStr">
        <is>
          <t>58(2)-P01</t>
        </is>
      </c>
      <c r="B78" t="inlineStr">
        <is>
          <t>58 (2).tif</t>
        </is>
      </c>
      <c r="C78" t="inlineStr">
        <is>
          <t>58(2)-V01</t>
        </is>
      </c>
      <c r="D78">
        <f>导管母表_860!F632</f>
        <v/>
      </c>
      <c r="E78">
        <f>导管母表_860!G632</f>
        <v/>
      </c>
      <c r="F78" t="inlineStr">
        <is>
          <t>58(2)-V04</t>
        </is>
      </c>
      <c r="G78">
        <f>导管母表_860!F635</f>
        <v/>
      </c>
      <c r="H78">
        <f>导管母表_860!G635</f>
        <v/>
      </c>
      <c r="I78" t="inlineStr">
        <is>
          <t>J147:J148</t>
        </is>
      </c>
      <c r="J78">
        <f>COUNT(TVW线测量明细!J147:J148)</f>
        <v/>
      </c>
      <c r="K78">
        <f>AVERAGE(TVW线测量明细!J147:J148)</f>
        <v/>
      </c>
      <c r="L78">
        <f>MEDIAN(TVW线测量明细!J147:J148)</f>
        <v/>
      </c>
      <c r="M78">
        <f>IF(J78&gt;1,STDEV(TVW线测量明细!J147:J148),0)</f>
        <v/>
      </c>
      <c r="N78">
        <f>IF(K78=0,"",M78/K78*100)</f>
        <v/>
      </c>
      <c r="O78" t="n">
        <v>1.521739130434782</v>
      </c>
      <c r="P78">
        <f>IF(O78=0,"",(K78/O78-1)*100)</f>
        <v/>
      </c>
      <c r="Q78">
        <f>(K78/E78)^2</f>
        <v/>
      </c>
      <c r="R78">
        <f>(K78/H78)^2</f>
        <v/>
      </c>
      <c r="S78">
        <f>AVERAGE(Q78,R78)</f>
        <v/>
      </c>
      <c r="T78">
        <f>AVERAGE((O78/E78)^2,(O78/H78)^2)</f>
        <v/>
      </c>
      <c r="U78">
        <f>IF(T78=0,"",(S78/T78-1)*100)</f>
        <v/>
      </c>
      <c r="V78">
        <f>AVERAGE((L78/E78)^2,(L78/H78)^2)</f>
        <v/>
      </c>
      <c r="W78">
        <f>IF(ABS(E78-汇总!B25)&lt;=ABS(H78-汇总!B25),E78,H78)</f>
        <v/>
      </c>
      <c r="X78">
        <f>(K78/W78)^2</f>
        <v/>
      </c>
      <c r="Y78">
        <f>IF(N78&gt;10,"HIGH_TVW_CV",IF(J78&lt;3,"SHORT_INTERFACE","PASS"))</f>
        <v/>
      </c>
      <c r="Z78" t="inlineStr">
        <is>
          <t>Di1、TVW均值、Di2均来自本Pair_ID；TVW=3–5法线平均</t>
        </is>
      </c>
      <c r="AA78" t="inlineStr">
        <is>
          <t>样品58</t>
        </is>
      </c>
    </row>
    <row r="79">
      <c r="A79" t="inlineStr">
        <is>
          <t>58(4)-P01</t>
        </is>
      </c>
      <c r="B79" t="inlineStr">
        <is>
          <t>58 (4).tif</t>
        </is>
      </c>
      <c r="C79" t="inlineStr">
        <is>
          <t>58(4)-V01</t>
        </is>
      </c>
      <c r="D79">
        <f>导管母表_860!F643</f>
        <v/>
      </c>
      <c r="E79">
        <f>导管母表_860!G643</f>
        <v/>
      </c>
      <c r="F79" t="inlineStr">
        <is>
          <t>58(4)-V03</t>
        </is>
      </c>
      <c r="G79">
        <f>导管母表_860!F645</f>
        <v/>
      </c>
      <c r="H79">
        <f>导管母表_860!G645</f>
        <v/>
      </c>
      <c r="I79" t="inlineStr">
        <is>
          <t>J149:J149</t>
        </is>
      </c>
      <c r="J79">
        <f>COUNT(TVW线测量明细!J149:J149)</f>
        <v/>
      </c>
      <c r="K79">
        <f>AVERAGE(TVW线测量明细!J149:J149)</f>
        <v/>
      </c>
      <c r="L79">
        <f>MEDIAN(TVW线测量明细!J149:J149)</f>
        <v/>
      </c>
      <c r="M79">
        <f>IF(J79&gt;1,STDEV(TVW线测量明细!J149:J149),0)</f>
        <v/>
      </c>
      <c r="N79">
        <f>IF(K79=0,"",M79/K79*100)</f>
        <v/>
      </c>
      <c r="O79" t="n">
        <v>7.378505542816147</v>
      </c>
      <c r="P79">
        <f>IF(O79=0,"",(K79/O79-1)*100)</f>
        <v/>
      </c>
      <c r="Q79">
        <f>(K79/E79)^2</f>
        <v/>
      </c>
      <c r="R79">
        <f>(K79/H79)^2</f>
        <v/>
      </c>
      <c r="S79">
        <f>AVERAGE(Q79,R79)</f>
        <v/>
      </c>
      <c r="T79">
        <f>AVERAGE((O79/E79)^2,(O79/H79)^2)</f>
        <v/>
      </c>
      <c r="U79">
        <f>IF(T79=0,"",(S79/T79-1)*100)</f>
        <v/>
      </c>
      <c r="V79">
        <f>AVERAGE((L79/E79)^2,(L79/H79)^2)</f>
        <v/>
      </c>
      <c r="W79">
        <f>IF(ABS(E79-汇总!B25)&lt;=ABS(H79-汇总!B25),E79,H79)</f>
        <v/>
      </c>
      <c r="X79">
        <f>(K79/W79)^2</f>
        <v/>
      </c>
      <c r="Y79">
        <f>IF(N79&gt;10,"HIGH_TVW_CV",IF(J79&lt;3,"SHORT_INTERFACE","PASS"))</f>
        <v/>
      </c>
      <c r="Z79" t="inlineStr">
        <is>
          <t>Di1、TVW均值、Di2均来自本Pair_ID；TVW=3–5法线平均</t>
        </is>
      </c>
      <c r="AA79" t="inlineStr">
        <is>
          <t>样品58</t>
        </is>
      </c>
    </row>
    <row r="80">
      <c r="A80" t="inlineStr">
        <is>
          <t>58(6)-P01</t>
        </is>
      </c>
      <c r="B80" t="inlineStr">
        <is>
          <t>58 (6).tif</t>
        </is>
      </c>
      <c r="C80" t="inlineStr">
        <is>
          <t>58(6)-V01</t>
        </is>
      </c>
      <c r="D80">
        <f>导管母表_860!F651</f>
        <v/>
      </c>
      <c r="E80">
        <f>导管母表_860!G651</f>
        <v/>
      </c>
      <c r="F80" t="inlineStr">
        <is>
          <t>58(6)-V03</t>
        </is>
      </c>
      <c r="G80">
        <f>导管母表_860!F653</f>
        <v/>
      </c>
      <c r="H80">
        <f>导管母表_860!G653</f>
        <v/>
      </c>
      <c r="I80" t="inlineStr">
        <is>
          <t>J150:J152</t>
        </is>
      </c>
      <c r="J80">
        <f>COUNT(TVW线测量明细!J150:J152)</f>
        <v/>
      </c>
      <c r="K80">
        <f>AVERAGE(TVW线测量明细!J150:J152)</f>
        <v/>
      </c>
      <c r="L80">
        <f>MEDIAN(TVW线测量明细!J150:J152)</f>
        <v/>
      </c>
      <c r="M80">
        <f>IF(J80&gt;1,STDEV(TVW线测量明细!J150:J152),0)</f>
        <v/>
      </c>
      <c r="N80">
        <f>IF(K80=0,"",M80/K80*100)</f>
        <v/>
      </c>
      <c r="O80" t="n">
        <v>5.841316888062784</v>
      </c>
      <c r="P80">
        <f>IF(O80=0,"",(K80/O80-1)*100)</f>
        <v/>
      </c>
      <c r="Q80">
        <f>(K80/E80)^2</f>
        <v/>
      </c>
      <c r="R80">
        <f>(K80/H80)^2</f>
        <v/>
      </c>
      <c r="S80">
        <f>AVERAGE(Q80,R80)</f>
        <v/>
      </c>
      <c r="T80">
        <f>AVERAGE((O80/E80)^2,(O80/H80)^2)</f>
        <v/>
      </c>
      <c r="U80">
        <f>IF(T80=0,"",(S80/T80-1)*100)</f>
        <v/>
      </c>
      <c r="V80">
        <f>AVERAGE((L80/E80)^2,(L80/H80)^2)</f>
        <v/>
      </c>
      <c r="W80">
        <f>IF(ABS(E80-汇总!B25)&lt;=ABS(H80-汇总!B25),E80,H80)</f>
        <v/>
      </c>
      <c r="X80">
        <f>(K80/W80)^2</f>
        <v/>
      </c>
      <c r="Y80">
        <f>IF(N80&gt;10,"HIGH_TVW_CV",IF(J80&lt;3,"SHORT_INTERFACE","PASS"))</f>
        <v/>
      </c>
      <c r="Z80" t="inlineStr">
        <is>
          <t>Di1、TVW均值、Di2均来自本Pair_ID；TVW=3–5法线平均</t>
        </is>
      </c>
      <c r="AA80" t="inlineStr">
        <is>
          <t>样品58</t>
        </is>
      </c>
    </row>
    <row r="81">
      <c r="A81" t="inlineStr">
        <is>
          <t>58(7)-P01</t>
        </is>
      </c>
      <c r="B81" t="inlineStr">
        <is>
          <t>58 (7).tif</t>
        </is>
      </c>
      <c r="C81" t="inlineStr">
        <is>
          <t>58(7)-V02</t>
        </is>
      </c>
      <c r="D81">
        <f>导管母表_860!F660</f>
        <v/>
      </c>
      <c r="E81">
        <f>导管母表_860!G660</f>
        <v/>
      </c>
      <c r="F81" t="inlineStr">
        <is>
          <t>58(7)-V03</t>
        </is>
      </c>
      <c r="G81">
        <f>导管母表_860!F661</f>
        <v/>
      </c>
      <c r="H81">
        <f>导管母表_860!G661</f>
        <v/>
      </c>
      <c r="I81" t="inlineStr">
        <is>
          <t>J153:J155</t>
        </is>
      </c>
      <c r="J81">
        <f>COUNT(TVW线测量明细!J153:J155)</f>
        <v/>
      </c>
      <c r="K81">
        <f>AVERAGE(TVW线测量明细!J153:J155)</f>
        <v/>
      </c>
      <c r="L81">
        <f>MEDIAN(TVW线测量明细!J153:J155)</f>
        <v/>
      </c>
      <c r="M81">
        <f>IF(J81&gt;1,STDEV(TVW线测量明细!J153:J155),0)</f>
        <v/>
      </c>
      <c r="N81">
        <f>IF(K81=0,"",M81/K81*100)</f>
        <v/>
      </c>
      <c r="O81" t="n">
        <v>6.228934252997566</v>
      </c>
      <c r="P81">
        <f>IF(O81=0,"",(K81/O81-1)*100)</f>
        <v/>
      </c>
      <c r="Q81">
        <f>(K81/E81)^2</f>
        <v/>
      </c>
      <c r="R81">
        <f>(K81/H81)^2</f>
        <v/>
      </c>
      <c r="S81">
        <f>AVERAGE(Q81,R81)</f>
        <v/>
      </c>
      <c r="T81">
        <f>AVERAGE((O81/E81)^2,(O81/H81)^2)</f>
        <v/>
      </c>
      <c r="U81">
        <f>IF(T81=0,"",(S81/T81-1)*100)</f>
        <v/>
      </c>
      <c r="V81">
        <f>AVERAGE((L81/E81)^2,(L81/H81)^2)</f>
        <v/>
      </c>
      <c r="W81">
        <f>IF(ABS(E81-汇总!B25)&lt;=ABS(H81-汇总!B25),E81,H81)</f>
        <v/>
      </c>
      <c r="X81">
        <f>(K81/W81)^2</f>
        <v/>
      </c>
      <c r="Y81">
        <f>IF(N81&gt;10,"HIGH_TVW_CV",IF(J81&lt;3,"SHORT_INTERFACE","PASS"))</f>
        <v/>
      </c>
      <c r="Z81" t="inlineStr">
        <is>
          <t>Di1、TVW均值、Di2均来自本Pair_ID；TVW=3–5法线平均</t>
        </is>
      </c>
      <c r="AA81" t="inlineStr">
        <is>
          <t>样品58</t>
        </is>
      </c>
    </row>
    <row r="82">
      <c r="A82" t="inlineStr">
        <is>
          <t>58(8)-P01</t>
        </is>
      </c>
      <c r="B82" t="inlineStr">
        <is>
          <t>58 (8).tif</t>
        </is>
      </c>
      <c r="C82" t="inlineStr">
        <is>
          <t>58(8)-V01</t>
        </is>
      </c>
      <c r="D82">
        <f>导管母表_860!F664</f>
        <v/>
      </c>
      <c r="E82">
        <f>导管母表_860!G664</f>
        <v/>
      </c>
      <c r="F82" t="inlineStr">
        <is>
          <t>58(8)-V02</t>
        </is>
      </c>
      <c r="G82">
        <f>导管母表_860!F665</f>
        <v/>
      </c>
      <c r="H82">
        <f>导管母表_860!G665</f>
        <v/>
      </c>
      <c r="I82" t="inlineStr">
        <is>
          <t>J156:J158</t>
        </is>
      </c>
      <c r="J82">
        <f>COUNT(TVW线测量明细!J156:J158)</f>
        <v/>
      </c>
      <c r="K82">
        <f>AVERAGE(TVW线测量明细!J156:J158)</f>
        <v/>
      </c>
      <c r="L82">
        <f>MEDIAN(TVW线测量明细!J156:J158)</f>
        <v/>
      </c>
      <c r="M82">
        <f>IF(J82&gt;1,STDEV(TVW线测量明细!J156:J158),0)</f>
        <v/>
      </c>
      <c r="N82">
        <f>IF(K82=0,"",M82/K82*100)</f>
        <v/>
      </c>
      <c r="O82" t="n">
        <v>6.259208716907812</v>
      </c>
      <c r="P82">
        <f>IF(O82=0,"",(K82/O82-1)*100)</f>
        <v/>
      </c>
      <c r="Q82">
        <f>(K82/E82)^2</f>
        <v/>
      </c>
      <c r="R82">
        <f>(K82/H82)^2</f>
        <v/>
      </c>
      <c r="S82">
        <f>AVERAGE(Q82,R82)</f>
        <v/>
      </c>
      <c r="T82">
        <f>AVERAGE((O82/E82)^2,(O82/H82)^2)</f>
        <v/>
      </c>
      <c r="U82">
        <f>IF(T82=0,"",(S82/T82-1)*100)</f>
        <v/>
      </c>
      <c r="V82">
        <f>AVERAGE((L82/E82)^2,(L82/H82)^2)</f>
        <v/>
      </c>
      <c r="W82">
        <f>IF(ABS(E82-汇总!B25)&lt;=ABS(H82-汇总!B25),E82,H82)</f>
        <v/>
      </c>
      <c r="X82">
        <f>(K82/W82)^2</f>
        <v/>
      </c>
      <c r="Y82">
        <f>IF(N82&gt;10,"HIGH_TVW_CV",IF(J82&lt;3,"SHORT_INTERFACE","PASS"))</f>
        <v/>
      </c>
      <c r="Z82" t="inlineStr">
        <is>
          <t>Di1、TVW均值、Di2均来自本Pair_ID；TVW=3–5法线平均</t>
        </is>
      </c>
      <c r="AA82" t="inlineStr">
        <is>
          <t>样品58</t>
        </is>
      </c>
    </row>
    <row r="83">
      <c r="A83" t="inlineStr">
        <is>
          <t>59(3)-P01</t>
        </is>
      </c>
      <c r="B83" t="inlineStr">
        <is>
          <t>59 (3).tif</t>
        </is>
      </c>
      <c r="C83" t="inlineStr">
        <is>
          <t>59(3)-V04</t>
        </is>
      </c>
      <c r="D83">
        <f>导管母表_860!F682</f>
        <v/>
      </c>
      <c r="E83">
        <f>导管母表_860!G682</f>
        <v/>
      </c>
      <c r="F83" t="inlineStr">
        <is>
          <t>59(3)-V05</t>
        </is>
      </c>
      <c r="G83">
        <f>导管母表_860!F683</f>
        <v/>
      </c>
      <c r="H83">
        <f>导管母表_860!G683</f>
        <v/>
      </c>
      <c r="I83" t="inlineStr">
        <is>
          <t>J159:J160</t>
        </is>
      </c>
      <c r="J83">
        <f>COUNT(TVW线测量明细!J159:J160)</f>
        <v/>
      </c>
      <c r="K83">
        <f>AVERAGE(TVW线测量明细!J159:J160)</f>
        <v/>
      </c>
      <c r="L83">
        <f>MEDIAN(TVW线测量明细!J159:J160)</f>
        <v/>
      </c>
      <c r="M83">
        <f>IF(J83&gt;1,STDEV(TVW线测量明细!J159:J160),0)</f>
        <v/>
      </c>
      <c r="N83">
        <f>IF(K83=0,"",M83/K83*100)</f>
        <v/>
      </c>
      <c r="O83" t="n">
        <v>4.787546857727226</v>
      </c>
      <c r="P83">
        <f>IF(O83=0,"",(K83/O83-1)*100)</f>
        <v/>
      </c>
      <c r="Q83">
        <f>(K83/E83)^2</f>
        <v/>
      </c>
      <c r="R83">
        <f>(K83/H83)^2</f>
        <v/>
      </c>
      <c r="S83">
        <f>AVERAGE(Q83,R83)</f>
        <v/>
      </c>
      <c r="T83">
        <f>AVERAGE((O83/E83)^2,(O83/H83)^2)</f>
        <v/>
      </c>
      <c r="U83">
        <f>IF(T83=0,"",(S83/T83-1)*100)</f>
        <v/>
      </c>
      <c r="V83">
        <f>AVERAGE((L83/E83)^2,(L83/H83)^2)</f>
        <v/>
      </c>
      <c r="W83">
        <f>IF(ABS(E83-汇总!B25)&lt;=ABS(H83-汇总!B25),E83,H83)</f>
        <v/>
      </c>
      <c r="X83">
        <f>(K83/W83)^2</f>
        <v/>
      </c>
      <c r="Y83">
        <f>IF(N83&gt;10,"HIGH_TVW_CV",IF(J83&lt;3,"SHORT_INTERFACE","PASS"))</f>
        <v/>
      </c>
      <c r="Z83" t="inlineStr">
        <is>
          <t>Di1、TVW均值、Di2均来自本Pair_ID；TVW=3–5法线平均</t>
        </is>
      </c>
      <c r="AA83" t="inlineStr">
        <is>
          <t>样品59</t>
        </is>
      </c>
    </row>
    <row r="84">
      <c r="A84" t="inlineStr">
        <is>
          <t>59(4)-P01</t>
        </is>
      </c>
      <c r="B84" t="inlineStr">
        <is>
          <t>59 (4).tif</t>
        </is>
      </c>
      <c r="C84" t="inlineStr">
        <is>
          <t>59(4)-V01</t>
        </is>
      </c>
      <c r="D84">
        <f>导管母表_860!F686</f>
        <v/>
      </c>
      <c r="E84">
        <f>导管母表_860!G686</f>
        <v/>
      </c>
      <c r="F84" t="inlineStr">
        <is>
          <t>59(4)-V02</t>
        </is>
      </c>
      <c r="G84">
        <f>导管母表_860!F687</f>
        <v/>
      </c>
      <c r="H84">
        <f>导管母表_860!G687</f>
        <v/>
      </c>
      <c r="I84" t="inlineStr">
        <is>
          <t>J161:J161</t>
        </is>
      </c>
      <c r="J84">
        <f>COUNT(TVW线测量明细!J161:J161)</f>
        <v/>
      </c>
      <c r="K84">
        <f>AVERAGE(TVW线测量明细!J161:J161)</f>
        <v/>
      </c>
      <c r="L84">
        <f>MEDIAN(TVW线测量明细!J161:J161)</f>
        <v/>
      </c>
      <c r="M84">
        <f>IF(J84&gt;1,STDEV(TVW线测量明细!J161:J161),0)</f>
        <v/>
      </c>
      <c r="N84">
        <f>IF(K84=0,"",M84/K84*100)</f>
        <v/>
      </c>
      <c r="O84" t="n">
        <v>4.282112087737437</v>
      </c>
      <c r="P84">
        <f>IF(O84=0,"",(K84/O84-1)*100)</f>
        <v/>
      </c>
      <c r="Q84">
        <f>(K84/E84)^2</f>
        <v/>
      </c>
      <c r="R84">
        <f>(K84/H84)^2</f>
        <v/>
      </c>
      <c r="S84">
        <f>AVERAGE(Q84,R84)</f>
        <v/>
      </c>
      <c r="T84">
        <f>AVERAGE((O84/E84)^2,(O84/H84)^2)</f>
        <v/>
      </c>
      <c r="U84">
        <f>IF(T84=0,"",(S84/T84-1)*100)</f>
        <v/>
      </c>
      <c r="V84">
        <f>AVERAGE((L84/E84)^2,(L84/H84)^2)</f>
        <v/>
      </c>
      <c r="W84">
        <f>IF(ABS(E84-汇总!B25)&lt;=ABS(H84-汇总!B25),E84,H84)</f>
        <v/>
      </c>
      <c r="X84">
        <f>(K84/W84)^2</f>
        <v/>
      </c>
      <c r="Y84">
        <f>IF(N84&gt;10,"HIGH_TVW_CV",IF(J84&lt;3,"SHORT_INTERFACE","PASS"))</f>
        <v/>
      </c>
      <c r="Z84" t="inlineStr">
        <is>
          <t>Di1、TVW均值、Di2均来自本Pair_ID；TVW=3–5法线平均</t>
        </is>
      </c>
      <c r="AA84" t="inlineStr">
        <is>
          <t>样品59</t>
        </is>
      </c>
    </row>
    <row r="85">
      <c r="A85" t="inlineStr">
        <is>
          <t>59(5)-P01</t>
        </is>
      </c>
      <c r="B85" t="inlineStr">
        <is>
          <t>59 (5).tif</t>
        </is>
      </c>
      <c r="C85" t="inlineStr">
        <is>
          <t>59(5)-V01</t>
        </is>
      </c>
      <c r="D85">
        <f>导管母表_860!F689</f>
        <v/>
      </c>
      <c r="E85">
        <f>导管母表_860!G689</f>
        <v/>
      </c>
      <c r="F85" t="inlineStr">
        <is>
          <t>59(5)-V03</t>
        </is>
      </c>
      <c r="G85">
        <f>导管母表_860!F691</f>
        <v/>
      </c>
      <c r="H85">
        <f>导管母表_860!G691</f>
        <v/>
      </c>
      <c r="I85" t="inlineStr">
        <is>
          <t>J162:J164</t>
        </is>
      </c>
      <c r="J85">
        <f>COUNT(TVW线测量明细!J162:J164)</f>
        <v/>
      </c>
      <c r="K85">
        <f>AVERAGE(TVW线测量明细!J162:J164)</f>
        <v/>
      </c>
      <c r="L85">
        <f>MEDIAN(TVW线测量明细!J162:J164)</f>
        <v/>
      </c>
      <c r="M85">
        <f>IF(J85&gt;1,STDEV(TVW线测量明细!J162:J164),0)</f>
        <v/>
      </c>
      <c r="N85">
        <f>IF(K85=0,"",M85/K85*100)</f>
        <v/>
      </c>
      <c r="O85" t="n">
        <v>2.924700879798633</v>
      </c>
      <c r="P85">
        <f>IF(O85=0,"",(K85/O85-1)*100)</f>
        <v/>
      </c>
      <c r="Q85">
        <f>(K85/E85)^2</f>
        <v/>
      </c>
      <c r="R85">
        <f>(K85/H85)^2</f>
        <v/>
      </c>
      <c r="S85">
        <f>AVERAGE(Q85,R85)</f>
        <v/>
      </c>
      <c r="T85">
        <f>AVERAGE((O85/E85)^2,(O85/H85)^2)</f>
        <v/>
      </c>
      <c r="U85">
        <f>IF(T85=0,"",(S85/T85-1)*100)</f>
        <v/>
      </c>
      <c r="V85">
        <f>AVERAGE((L85/E85)^2,(L85/H85)^2)</f>
        <v/>
      </c>
      <c r="W85">
        <f>IF(ABS(E85-汇总!B25)&lt;=ABS(H85-汇总!B25),E85,H85)</f>
        <v/>
      </c>
      <c r="X85">
        <f>(K85/W85)^2</f>
        <v/>
      </c>
      <c r="Y85">
        <f>IF(N85&gt;10,"HIGH_TVW_CV",IF(J85&lt;3,"SHORT_INTERFACE","PASS"))</f>
        <v/>
      </c>
      <c r="Z85" t="inlineStr">
        <is>
          <t>Di1、TVW均值、Di2均来自本Pair_ID；TVW=3–5法线平均</t>
        </is>
      </c>
      <c r="AA85" t="inlineStr">
        <is>
          <t>样品59</t>
        </is>
      </c>
    </row>
    <row r="86">
      <c r="A86" t="inlineStr">
        <is>
          <t>59(5)-P02</t>
        </is>
      </c>
      <c r="B86" t="inlineStr">
        <is>
          <t>59 (5).tif</t>
        </is>
      </c>
      <c r="C86" t="inlineStr">
        <is>
          <t>59(5)-V04</t>
        </is>
      </c>
      <c r="D86">
        <f>导管母表_860!F692</f>
        <v/>
      </c>
      <c r="E86">
        <f>导管母表_860!G692</f>
        <v/>
      </c>
      <c r="F86" t="inlineStr">
        <is>
          <t>59(5)-V05</t>
        </is>
      </c>
      <c r="G86">
        <f>导管母表_860!F693</f>
        <v/>
      </c>
      <c r="H86">
        <f>导管母表_860!G693</f>
        <v/>
      </c>
      <c r="I86" t="inlineStr">
        <is>
          <t>J165:J166</t>
        </is>
      </c>
      <c r="J86">
        <f>COUNT(TVW线测量明细!J165:J166)</f>
        <v/>
      </c>
      <c r="K86">
        <f>AVERAGE(TVW线测量明细!J165:J166)</f>
        <v/>
      </c>
      <c r="L86">
        <f>MEDIAN(TVW线测量明细!J165:J166)</f>
        <v/>
      </c>
      <c r="M86">
        <f>IF(J86&gt;1,STDEV(TVW线测量明细!J165:J166),0)</f>
        <v/>
      </c>
      <c r="N86">
        <f>IF(K86=0,"",M86/K86*100)</f>
        <v/>
      </c>
      <c r="O86" t="n">
        <v>4.331491053298103</v>
      </c>
      <c r="P86">
        <f>IF(O86=0,"",(K86/O86-1)*100)</f>
        <v/>
      </c>
      <c r="Q86">
        <f>(K86/E86)^2</f>
        <v/>
      </c>
      <c r="R86">
        <f>(K86/H86)^2</f>
        <v/>
      </c>
      <c r="S86">
        <f>AVERAGE(Q86,R86)</f>
        <v/>
      </c>
      <c r="T86">
        <f>AVERAGE((O86/E86)^2,(O86/H86)^2)</f>
        <v/>
      </c>
      <c r="U86">
        <f>IF(T86=0,"",(S86/T86-1)*100)</f>
        <v/>
      </c>
      <c r="V86">
        <f>AVERAGE((L86/E86)^2,(L86/H86)^2)</f>
        <v/>
      </c>
      <c r="W86">
        <f>IF(ABS(E86-汇总!B25)&lt;=ABS(H86-汇总!B25),E86,H86)</f>
        <v/>
      </c>
      <c r="X86">
        <f>(K86/W86)^2</f>
        <v/>
      </c>
      <c r="Y86">
        <f>IF(N86&gt;10,"HIGH_TVW_CV",IF(J86&lt;3,"SHORT_INTERFACE","PASS"))</f>
        <v/>
      </c>
      <c r="Z86" t="inlineStr">
        <is>
          <t>Di1、TVW均值、Di2均来自本Pair_ID；TVW=3–5法线平均</t>
        </is>
      </c>
      <c r="AA86" t="inlineStr">
        <is>
          <t>样品59</t>
        </is>
      </c>
    </row>
    <row r="87">
      <c r="A87" t="inlineStr">
        <is>
          <t>59(6)-P01</t>
        </is>
      </c>
      <c r="B87" t="inlineStr">
        <is>
          <t>59 (6).tif</t>
        </is>
      </c>
      <c r="C87" t="inlineStr">
        <is>
          <t>59(6)-V01</t>
        </is>
      </c>
      <c r="D87">
        <f>导管母表_860!F695</f>
        <v/>
      </c>
      <c r="E87">
        <f>导管母表_860!G695</f>
        <v/>
      </c>
      <c r="F87" t="inlineStr">
        <is>
          <t>59(6)-V02</t>
        </is>
      </c>
      <c r="G87">
        <f>导管母表_860!F696</f>
        <v/>
      </c>
      <c r="H87">
        <f>导管母表_860!G696</f>
        <v/>
      </c>
      <c r="I87" t="inlineStr">
        <is>
          <t>J167:J170</t>
        </is>
      </c>
      <c r="J87">
        <f>COUNT(TVW线测量明细!J167:J170)</f>
        <v/>
      </c>
      <c r="K87">
        <f>AVERAGE(TVW线测量明细!J167:J170)</f>
        <v/>
      </c>
      <c r="L87">
        <f>MEDIAN(TVW线测量明细!J167:J170)</f>
        <v/>
      </c>
      <c r="M87">
        <f>IF(J87&gt;1,STDEV(TVW线测量明细!J167:J170),0)</f>
        <v/>
      </c>
      <c r="N87">
        <f>IF(K87=0,"",M87/K87*100)</f>
        <v/>
      </c>
      <c r="O87" t="n">
        <v>4.523620010148872</v>
      </c>
      <c r="P87">
        <f>IF(O87=0,"",(K87/O87-1)*100)</f>
        <v/>
      </c>
      <c r="Q87">
        <f>(K87/E87)^2</f>
        <v/>
      </c>
      <c r="R87">
        <f>(K87/H87)^2</f>
        <v/>
      </c>
      <c r="S87">
        <f>AVERAGE(Q87,R87)</f>
        <v/>
      </c>
      <c r="T87">
        <f>AVERAGE((O87/E87)^2,(O87/H87)^2)</f>
        <v/>
      </c>
      <c r="U87">
        <f>IF(T87=0,"",(S87/T87-1)*100)</f>
        <v/>
      </c>
      <c r="V87">
        <f>AVERAGE((L87/E87)^2,(L87/H87)^2)</f>
        <v/>
      </c>
      <c r="W87">
        <f>IF(ABS(E87-汇总!B25)&lt;=ABS(H87-汇总!B25),E87,H87)</f>
        <v/>
      </c>
      <c r="X87">
        <f>(K87/W87)^2</f>
        <v/>
      </c>
      <c r="Y87">
        <f>IF(N87&gt;10,"HIGH_TVW_CV",IF(J87&lt;3,"SHORT_INTERFACE","PASS"))</f>
        <v/>
      </c>
      <c r="Z87" t="inlineStr">
        <is>
          <t>Di1、TVW均值、Di2均来自本Pair_ID；TVW=3–5法线平均</t>
        </is>
      </c>
      <c r="AA87" t="inlineStr">
        <is>
          <t>样品59</t>
        </is>
      </c>
    </row>
    <row r="88">
      <c r="A88" t="inlineStr">
        <is>
          <t>59(8)-P01</t>
        </is>
      </c>
      <c r="B88" t="inlineStr">
        <is>
          <t>59 (8).tif</t>
        </is>
      </c>
      <c r="C88" t="inlineStr">
        <is>
          <t>59(8)-V01</t>
        </is>
      </c>
      <c r="D88">
        <f>导管母表_860!F703</f>
        <v/>
      </c>
      <c r="E88">
        <f>导管母表_860!G703</f>
        <v/>
      </c>
      <c r="F88" t="inlineStr">
        <is>
          <t>59(8)-V02</t>
        </is>
      </c>
      <c r="G88">
        <f>导管母表_860!F704</f>
        <v/>
      </c>
      <c r="H88">
        <f>导管母表_860!G704</f>
        <v/>
      </c>
      <c r="I88" t="inlineStr">
        <is>
          <t>J171:J172</t>
        </is>
      </c>
      <c r="J88">
        <f>COUNT(TVW线测量明细!J171:J172)</f>
        <v/>
      </c>
      <c r="K88">
        <f>AVERAGE(TVW线测量明细!J171:J172)</f>
        <v/>
      </c>
      <c r="L88">
        <f>MEDIAN(TVW线测量明细!J171:J172)</f>
        <v/>
      </c>
      <c r="M88">
        <f>IF(J88&gt;1,STDEV(TVW线测量明细!J171:J172),0)</f>
        <v/>
      </c>
      <c r="N88">
        <f>IF(K88=0,"",M88/K88*100)</f>
        <v/>
      </c>
      <c r="O88" t="n">
        <v>5.004723666617973</v>
      </c>
      <c r="P88">
        <f>IF(O88=0,"",(K88/O88-1)*100)</f>
        <v/>
      </c>
      <c r="Q88">
        <f>(K88/E88)^2</f>
        <v/>
      </c>
      <c r="R88">
        <f>(K88/H88)^2</f>
        <v/>
      </c>
      <c r="S88">
        <f>AVERAGE(Q88,R88)</f>
        <v/>
      </c>
      <c r="T88">
        <f>AVERAGE((O88/E88)^2,(O88/H88)^2)</f>
        <v/>
      </c>
      <c r="U88">
        <f>IF(T88=0,"",(S88/T88-1)*100)</f>
        <v/>
      </c>
      <c r="V88">
        <f>AVERAGE((L88/E88)^2,(L88/H88)^2)</f>
        <v/>
      </c>
      <c r="W88">
        <f>IF(ABS(E88-汇总!B25)&lt;=ABS(H88-汇总!B25),E88,H88)</f>
        <v/>
      </c>
      <c r="X88">
        <f>(K88/W88)^2</f>
        <v/>
      </c>
      <c r="Y88">
        <f>IF(N88&gt;10,"HIGH_TVW_CV",IF(J88&lt;3,"SHORT_INTERFACE","PASS"))</f>
        <v/>
      </c>
      <c r="Z88" t="inlineStr">
        <is>
          <t>Di1、TVW均值、Di2均来自本Pair_ID；TVW=3–5法线平均</t>
        </is>
      </c>
      <c r="AA88" t="inlineStr">
        <is>
          <t>样品59</t>
        </is>
      </c>
    </row>
    <row r="89">
      <c r="A89" t="inlineStr">
        <is>
          <t>60(1)-P01</t>
        </is>
      </c>
      <c r="B89" t="inlineStr">
        <is>
          <t>60 (1).tif</t>
        </is>
      </c>
      <c r="C89" t="inlineStr">
        <is>
          <t>60(1)-V01</t>
        </is>
      </c>
      <c r="D89">
        <f>导管母表_860!F711</f>
        <v/>
      </c>
      <c r="E89">
        <f>导管母表_860!G711</f>
        <v/>
      </c>
      <c r="F89" t="inlineStr">
        <is>
          <t>60(1)-V02</t>
        </is>
      </c>
      <c r="G89">
        <f>导管母表_860!F712</f>
        <v/>
      </c>
      <c r="H89">
        <f>导管母表_860!G712</f>
        <v/>
      </c>
      <c r="I89" t="inlineStr">
        <is>
          <t>J173:J173</t>
        </is>
      </c>
      <c r="J89">
        <f>COUNT(TVW线测量明细!J173:J173)</f>
        <v/>
      </c>
      <c r="K89">
        <f>AVERAGE(TVW线测量明细!J173:J173)</f>
        <v/>
      </c>
      <c r="L89">
        <f>MEDIAN(TVW线测量明细!J173:J173)</f>
        <v/>
      </c>
      <c r="M89">
        <f>IF(J89&gt;1,STDEV(TVW线测量明细!J173:J173),0)</f>
        <v/>
      </c>
      <c r="N89">
        <f>IF(K89=0,"",M89/K89*100)</f>
        <v/>
      </c>
      <c r="O89" t="n">
        <v>2.956841414942488</v>
      </c>
      <c r="P89">
        <f>IF(O89=0,"",(K89/O89-1)*100)</f>
        <v/>
      </c>
      <c r="Q89">
        <f>(K89/E89)^2</f>
        <v/>
      </c>
      <c r="R89">
        <f>(K89/H89)^2</f>
        <v/>
      </c>
      <c r="S89">
        <f>AVERAGE(Q89,R89)</f>
        <v/>
      </c>
      <c r="T89">
        <f>AVERAGE((O89/E89)^2,(O89/H89)^2)</f>
        <v/>
      </c>
      <c r="U89">
        <f>IF(T89=0,"",(S89/T89-1)*100)</f>
        <v/>
      </c>
      <c r="V89">
        <f>AVERAGE((L89/E89)^2,(L89/H89)^2)</f>
        <v/>
      </c>
      <c r="W89">
        <f>IF(ABS(E89-汇总!B25)&lt;=ABS(H89-汇总!B25),E89,H89)</f>
        <v/>
      </c>
      <c r="X89">
        <f>(K89/W89)^2</f>
        <v/>
      </c>
      <c r="Y89">
        <f>IF(N89&gt;10,"HIGH_TVW_CV",IF(J89&lt;3,"SHORT_INTERFACE","PASS"))</f>
        <v/>
      </c>
      <c r="Z89" t="inlineStr">
        <is>
          <t>Di1、TVW均值、Di2均来自本Pair_ID；TVW=3–5法线平均</t>
        </is>
      </c>
      <c r="AA89" t="inlineStr">
        <is>
          <t>样品60</t>
        </is>
      </c>
    </row>
    <row r="90">
      <c r="A90" t="inlineStr">
        <is>
          <t>60(2)-P01</t>
        </is>
      </c>
      <c r="B90" t="inlineStr">
        <is>
          <t>60 (2).tif</t>
        </is>
      </c>
      <c r="C90" t="inlineStr">
        <is>
          <t>60(2)-V01</t>
        </is>
      </c>
      <c r="D90">
        <f>导管母表_860!F719</f>
        <v/>
      </c>
      <c r="E90">
        <f>导管母表_860!G719</f>
        <v/>
      </c>
      <c r="F90" t="inlineStr">
        <is>
          <t>60(2)-V02</t>
        </is>
      </c>
      <c r="G90">
        <f>导管母表_860!F720</f>
        <v/>
      </c>
      <c r="H90">
        <f>导管母表_860!G720</f>
        <v/>
      </c>
      <c r="I90" t="inlineStr">
        <is>
          <t>J174:J175</t>
        </is>
      </c>
      <c r="J90">
        <f>COUNT(TVW线测量明细!J174:J175)</f>
        <v/>
      </c>
      <c r="K90">
        <f>AVERAGE(TVW线测量明细!J174:J175)</f>
        <v/>
      </c>
      <c r="L90">
        <f>MEDIAN(TVW线测量明细!J174:J175)</f>
        <v/>
      </c>
      <c r="M90">
        <f>IF(J90&gt;1,STDEV(TVW线测量明细!J174:J175),0)</f>
        <v/>
      </c>
      <c r="N90">
        <f>IF(K90=0,"",M90/K90*100)</f>
        <v/>
      </c>
      <c r="O90" t="n">
        <v>2.478642228476386</v>
      </c>
      <c r="P90">
        <f>IF(O90=0,"",(K90/O90-1)*100)</f>
        <v/>
      </c>
      <c r="Q90">
        <f>(K90/E90)^2</f>
        <v/>
      </c>
      <c r="R90">
        <f>(K90/H90)^2</f>
        <v/>
      </c>
      <c r="S90">
        <f>AVERAGE(Q90,R90)</f>
        <v/>
      </c>
      <c r="T90">
        <f>AVERAGE((O90/E90)^2,(O90/H90)^2)</f>
        <v/>
      </c>
      <c r="U90">
        <f>IF(T90=0,"",(S90/T90-1)*100)</f>
        <v/>
      </c>
      <c r="V90">
        <f>AVERAGE((L90/E90)^2,(L90/H90)^2)</f>
        <v/>
      </c>
      <c r="W90">
        <f>IF(ABS(E90-汇总!B25)&lt;=ABS(H90-汇总!B25),E90,H90)</f>
        <v/>
      </c>
      <c r="X90">
        <f>(K90/W90)^2</f>
        <v/>
      </c>
      <c r="Y90">
        <f>IF(N90&gt;10,"HIGH_TVW_CV",IF(J90&lt;3,"SHORT_INTERFACE","PASS"))</f>
        <v/>
      </c>
      <c r="Z90" t="inlineStr">
        <is>
          <t>Di1、TVW均值、Di2均来自本Pair_ID；TVW=3–5法线平均</t>
        </is>
      </c>
      <c r="AA90" t="inlineStr">
        <is>
          <t>样品60</t>
        </is>
      </c>
    </row>
    <row r="91">
      <c r="A91" t="inlineStr">
        <is>
          <t>60(3)-P01</t>
        </is>
      </c>
      <c r="B91" t="inlineStr">
        <is>
          <t>60 (3).tif</t>
        </is>
      </c>
      <c r="C91" t="inlineStr">
        <is>
          <t>60(3)-V01</t>
        </is>
      </c>
      <c r="D91">
        <f>导管母表_860!F726</f>
        <v/>
      </c>
      <c r="E91">
        <f>导管母表_860!G726</f>
        <v/>
      </c>
      <c r="F91" t="inlineStr">
        <is>
          <t>60(3)-V03</t>
        </is>
      </c>
      <c r="G91">
        <f>导管母表_860!F728</f>
        <v/>
      </c>
      <c r="H91">
        <f>导管母表_860!G728</f>
        <v/>
      </c>
      <c r="I91" t="inlineStr">
        <is>
          <t>J176:J176</t>
        </is>
      </c>
      <c r="J91">
        <f>COUNT(TVW线测量明细!J176:J176)</f>
        <v/>
      </c>
      <c r="K91">
        <f>AVERAGE(TVW线测量明细!J176:J176)</f>
        <v/>
      </c>
      <c r="L91">
        <f>MEDIAN(TVW线测量明细!J176:J176)</f>
        <v/>
      </c>
      <c r="M91">
        <f>IF(J91&gt;1,STDEV(TVW线测量明细!J176:J176),0)</f>
        <v/>
      </c>
      <c r="N91">
        <f>IF(K91=0,"",M91/K91*100)</f>
        <v/>
      </c>
      <c r="O91" t="n">
        <v>11.86327273881935</v>
      </c>
      <c r="P91">
        <f>IF(O91=0,"",(K91/O91-1)*100)</f>
        <v/>
      </c>
      <c r="Q91">
        <f>(K91/E91)^2</f>
        <v/>
      </c>
      <c r="R91">
        <f>(K91/H91)^2</f>
        <v/>
      </c>
      <c r="S91">
        <f>AVERAGE(Q91,R91)</f>
        <v/>
      </c>
      <c r="T91">
        <f>AVERAGE((O91/E91)^2,(O91/H91)^2)</f>
        <v/>
      </c>
      <c r="U91">
        <f>IF(T91=0,"",(S91/T91-1)*100)</f>
        <v/>
      </c>
      <c r="V91">
        <f>AVERAGE((L91/E91)^2,(L91/H91)^2)</f>
        <v/>
      </c>
      <c r="W91">
        <f>IF(ABS(E91-汇总!B25)&lt;=ABS(H91-汇总!B25),E91,H91)</f>
        <v/>
      </c>
      <c r="X91">
        <f>(K91/W91)^2</f>
        <v/>
      </c>
      <c r="Y91">
        <f>IF(N91&gt;10,"HIGH_TVW_CV",IF(J91&lt;3,"SHORT_INTERFACE","PASS"))</f>
        <v/>
      </c>
      <c r="Z91" t="inlineStr">
        <is>
          <t>Di1、TVW均值、Di2均来自本Pair_ID；TVW=3–5法线平均</t>
        </is>
      </c>
      <c r="AA91" t="inlineStr">
        <is>
          <t>样品60</t>
        </is>
      </c>
    </row>
    <row r="92">
      <c r="A92" t="inlineStr">
        <is>
          <t>60(4)-P01</t>
        </is>
      </c>
      <c r="B92" t="inlineStr">
        <is>
          <t>60 (4).tif</t>
        </is>
      </c>
      <c r="C92" t="inlineStr">
        <is>
          <t>60(4)-V02</t>
        </is>
      </c>
      <c r="D92">
        <f>导管母表_860!F730</f>
        <v/>
      </c>
      <c r="E92">
        <f>导管母表_860!G730</f>
        <v/>
      </c>
      <c r="F92" t="inlineStr">
        <is>
          <t>60(4)-V03</t>
        </is>
      </c>
      <c r="G92">
        <f>导管母表_860!F731</f>
        <v/>
      </c>
      <c r="H92">
        <f>导管母表_860!G731</f>
        <v/>
      </c>
      <c r="I92" t="inlineStr">
        <is>
          <t>J177:J179</t>
        </is>
      </c>
      <c r="J92">
        <f>COUNT(TVW线测量明细!J177:J179)</f>
        <v/>
      </c>
      <c r="K92">
        <f>AVERAGE(TVW线测量明细!J177:J179)</f>
        <v/>
      </c>
      <c r="L92">
        <f>MEDIAN(TVW线测量明细!J177:J179)</f>
        <v/>
      </c>
      <c r="M92">
        <f>IF(J92&gt;1,STDEV(TVW线测量明细!J177:J179),0)</f>
        <v/>
      </c>
      <c r="N92">
        <f>IF(K92=0,"",M92/K92*100)</f>
        <v/>
      </c>
      <c r="O92" t="n">
        <v>3.996690502358747</v>
      </c>
      <c r="P92">
        <f>IF(O92=0,"",(K92/O92-1)*100)</f>
        <v/>
      </c>
      <c r="Q92">
        <f>(K92/E92)^2</f>
        <v/>
      </c>
      <c r="R92">
        <f>(K92/H92)^2</f>
        <v/>
      </c>
      <c r="S92">
        <f>AVERAGE(Q92,R92)</f>
        <v/>
      </c>
      <c r="T92">
        <f>AVERAGE((O92/E92)^2,(O92/H92)^2)</f>
        <v/>
      </c>
      <c r="U92">
        <f>IF(T92=0,"",(S92/T92-1)*100)</f>
        <v/>
      </c>
      <c r="V92">
        <f>AVERAGE((L92/E92)^2,(L92/H92)^2)</f>
        <v/>
      </c>
      <c r="W92">
        <f>IF(ABS(E92-汇总!B25)&lt;=ABS(H92-汇总!B25),E92,H92)</f>
        <v/>
      </c>
      <c r="X92">
        <f>(K92/W92)^2</f>
        <v/>
      </c>
      <c r="Y92">
        <f>IF(N92&gt;10,"HIGH_TVW_CV",IF(J92&lt;3,"SHORT_INTERFACE","PASS"))</f>
        <v/>
      </c>
      <c r="Z92" t="inlineStr">
        <is>
          <t>Di1、TVW均值、Di2均来自本Pair_ID；TVW=3–5法线平均</t>
        </is>
      </c>
      <c r="AA92" t="inlineStr">
        <is>
          <t>样品60</t>
        </is>
      </c>
    </row>
    <row r="93">
      <c r="A93" t="inlineStr">
        <is>
          <t>60(5)-P01</t>
        </is>
      </c>
      <c r="B93" t="inlineStr">
        <is>
          <t>60 (5).tif</t>
        </is>
      </c>
      <c r="C93" t="inlineStr">
        <is>
          <t>60(5)-V01</t>
        </is>
      </c>
      <c r="D93">
        <f>导管母表_860!F734</f>
        <v/>
      </c>
      <c r="E93">
        <f>导管母表_860!G734</f>
        <v/>
      </c>
      <c r="F93" t="inlineStr">
        <is>
          <t>60(5)-V02</t>
        </is>
      </c>
      <c r="G93">
        <f>导管母表_860!F735</f>
        <v/>
      </c>
      <c r="H93">
        <f>导管母表_860!G735</f>
        <v/>
      </c>
      <c r="I93" t="inlineStr">
        <is>
          <t>J180:J181</t>
        </is>
      </c>
      <c r="J93">
        <f>COUNT(TVW线测量明细!J180:J181)</f>
        <v/>
      </c>
      <c r="K93">
        <f>AVERAGE(TVW线测量明细!J180:J181)</f>
        <v/>
      </c>
      <c r="L93">
        <f>MEDIAN(TVW线测量明细!J180:J181)</f>
        <v/>
      </c>
      <c r="M93">
        <f>IF(J93&gt;1,STDEV(TVW线测量明细!J180:J181),0)</f>
        <v/>
      </c>
      <c r="N93">
        <f>IF(K93=0,"",M93/K93*100)</f>
        <v/>
      </c>
      <c r="O93" t="n">
        <v>3.695652173913043</v>
      </c>
      <c r="P93">
        <f>IF(O93=0,"",(K93/O93-1)*100)</f>
        <v/>
      </c>
      <c r="Q93">
        <f>(K93/E93)^2</f>
        <v/>
      </c>
      <c r="R93">
        <f>(K93/H93)^2</f>
        <v/>
      </c>
      <c r="S93">
        <f>AVERAGE(Q93,R93)</f>
        <v/>
      </c>
      <c r="T93">
        <f>AVERAGE((O93/E93)^2,(O93/H93)^2)</f>
        <v/>
      </c>
      <c r="U93">
        <f>IF(T93=0,"",(S93/T93-1)*100)</f>
        <v/>
      </c>
      <c r="V93">
        <f>AVERAGE((L93/E93)^2,(L93/H93)^2)</f>
        <v/>
      </c>
      <c r="W93">
        <f>IF(ABS(E93-汇总!B25)&lt;=ABS(H93-汇总!B25),E93,H93)</f>
        <v/>
      </c>
      <c r="X93">
        <f>(K93/W93)^2</f>
        <v/>
      </c>
      <c r="Y93">
        <f>IF(N93&gt;10,"HIGH_TVW_CV",IF(J93&lt;3,"SHORT_INTERFACE","PASS"))</f>
        <v/>
      </c>
      <c r="Z93" t="inlineStr">
        <is>
          <t>Di1、TVW均值、Di2均来自本Pair_ID；TVW=3–5法线平均</t>
        </is>
      </c>
      <c r="AA93" t="inlineStr">
        <is>
          <t>样品60</t>
        </is>
      </c>
    </row>
    <row r="94">
      <c r="A94" t="inlineStr">
        <is>
          <t>60(6)-P01</t>
        </is>
      </c>
      <c r="B94" t="inlineStr">
        <is>
          <t>60 (6).tif</t>
        </is>
      </c>
      <c r="C94" t="inlineStr">
        <is>
          <t>60(6)-V01</t>
        </is>
      </c>
      <c r="D94">
        <f>导管母表_860!F736</f>
        <v/>
      </c>
      <c r="E94">
        <f>导管母表_860!G736</f>
        <v/>
      </c>
      <c r="F94" t="inlineStr">
        <is>
          <t>60(6)-V03</t>
        </is>
      </c>
      <c r="G94">
        <f>导管母表_860!F738</f>
        <v/>
      </c>
      <c r="H94">
        <f>导管母表_860!G738</f>
        <v/>
      </c>
      <c r="I94" t="inlineStr">
        <is>
          <t>J182:J182</t>
        </is>
      </c>
      <c r="J94">
        <f>COUNT(TVW线测量明细!J182:J182)</f>
        <v/>
      </c>
      <c r="K94">
        <f>AVERAGE(TVW线测量明细!J182:J182)</f>
        <v/>
      </c>
      <c r="L94">
        <f>MEDIAN(TVW线测量明细!J182:J182)</f>
        <v/>
      </c>
      <c r="M94">
        <f>IF(J94&gt;1,STDEV(TVW线测量明细!J182:J182),0)</f>
        <v/>
      </c>
      <c r="N94">
        <f>IF(K94=0,"",M94/K94*100)</f>
        <v/>
      </c>
      <c r="O94" t="n">
        <v>3.937123973103225</v>
      </c>
      <c r="P94">
        <f>IF(O94=0,"",(K94/O94-1)*100)</f>
        <v/>
      </c>
      <c r="Q94">
        <f>(K94/E94)^2</f>
        <v/>
      </c>
      <c r="R94">
        <f>(K94/H94)^2</f>
        <v/>
      </c>
      <c r="S94">
        <f>AVERAGE(Q94,R94)</f>
        <v/>
      </c>
      <c r="T94">
        <f>AVERAGE((O94/E94)^2,(O94/H94)^2)</f>
        <v/>
      </c>
      <c r="U94">
        <f>IF(T94=0,"",(S94/T94-1)*100)</f>
        <v/>
      </c>
      <c r="V94">
        <f>AVERAGE((L94/E94)^2,(L94/H94)^2)</f>
        <v/>
      </c>
      <c r="W94">
        <f>IF(ABS(E94-汇总!B25)&lt;=ABS(H94-汇总!B25),E94,H94)</f>
        <v/>
      </c>
      <c r="X94">
        <f>(K94/W94)^2</f>
        <v/>
      </c>
      <c r="Y94">
        <f>IF(N94&gt;10,"HIGH_TVW_CV",IF(J94&lt;3,"SHORT_INTERFACE","PASS"))</f>
        <v/>
      </c>
      <c r="Z94" t="inlineStr">
        <is>
          <t>Di1、TVW均值、Di2均来自本Pair_ID；TVW=3–5法线平均</t>
        </is>
      </c>
      <c r="AA94" t="inlineStr">
        <is>
          <t>样品60</t>
        </is>
      </c>
    </row>
    <row r="95">
      <c r="A95" t="inlineStr">
        <is>
          <t>60(8)-P01</t>
        </is>
      </c>
      <c r="B95" t="inlineStr">
        <is>
          <t>60 (8).tif</t>
        </is>
      </c>
      <c r="C95" t="inlineStr">
        <is>
          <t>60(8)-V02</t>
        </is>
      </c>
      <c r="D95">
        <f>导管母表_860!F750</f>
        <v/>
      </c>
      <c r="E95">
        <f>导管母表_860!G750</f>
        <v/>
      </c>
      <c r="F95" t="inlineStr">
        <is>
          <t>60(8)-V04</t>
        </is>
      </c>
      <c r="G95">
        <f>导管母表_860!F752</f>
        <v/>
      </c>
      <c r="H95">
        <f>导管母表_860!G752</f>
        <v/>
      </c>
      <c r="I95" t="inlineStr">
        <is>
          <t>J183:J184</t>
        </is>
      </c>
      <c r="J95">
        <f>COUNT(TVW线测量明细!J183:J184)</f>
        <v/>
      </c>
      <c r="K95">
        <f>AVERAGE(TVW线测量明细!J183:J184)</f>
        <v/>
      </c>
      <c r="L95">
        <f>MEDIAN(TVW线测量明细!J183:J184)</f>
        <v/>
      </c>
      <c r="M95">
        <f>IF(J95&gt;1,STDEV(TVW线测量明细!J183:J184),0)</f>
        <v/>
      </c>
      <c r="N95">
        <f>IF(K95=0,"",M95/K95*100)</f>
        <v/>
      </c>
      <c r="O95" t="n">
        <v>6.69692252206494</v>
      </c>
      <c r="P95">
        <f>IF(O95=0,"",(K95/O95-1)*100)</f>
        <v/>
      </c>
      <c r="Q95">
        <f>(K95/E95)^2</f>
        <v/>
      </c>
      <c r="R95">
        <f>(K95/H95)^2</f>
        <v/>
      </c>
      <c r="S95">
        <f>AVERAGE(Q95,R95)</f>
        <v/>
      </c>
      <c r="T95">
        <f>AVERAGE((O95/E95)^2,(O95/H95)^2)</f>
        <v/>
      </c>
      <c r="U95">
        <f>IF(T95=0,"",(S95/T95-1)*100)</f>
        <v/>
      </c>
      <c r="V95">
        <f>AVERAGE((L95/E95)^2,(L95/H95)^2)</f>
        <v/>
      </c>
      <c r="W95">
        <f>IF(ABS(E95-汇总!B25)&lt;=ABS(H95-汇总!B25),E95,H95)</f>
        <v/>
      </c>
      <c r="X95">
        <f>(K95/W95)^2</f>
        <v/>
      </c>
      <c r="Y95">
        <f>IF(N95&gt;10,"HIGH_TVW_CV",IF(J95&lt;3,"SHORT_INTERFACE","PASS"))</f>
        <v/>
      </c>
      <c r="Z95" t="inlineStr">
        <is>
          <t>Di1、TVW均值、Di2均来自本Pair_ID；TVW=3–5法线平均</t>
        </is>
      </c>
      <c r="AA95" t="inlineStr">
        <is>
          <t>样品60</t>
        </is>
      </c>
    </row>
    <row r="96">
      <c r="A96" t="inlineStr">
        <is>
          <t>60(8)-P02</t>
        </is>
      </c>
      <c r="B96" t="inlineStr">
        <is>
          <t>60 (8).tif</t>
        </is>
      </c>
      <c r="C96" t="inlineStr">
        <is>
          <t>60(8)-V01</t>
        </is>
      </c>
      <c r="D96">
        <f>导管母表_860!F749</f>
        <v/>
      </c>
      <c r="E96">
        <f>导管母表_860!G749</f>
        <v/>
      </c>
      <c r="F96" t="inlineStr">
        <is>
          <t>60(8)-V03</t>
        </is>
      </c>
      <c r="G96">
        <f>导管母表_860!F751</f>
        <v/>
      </c>
      <c r="H96">
        <f>导管母表_860!G751</f>
        <v/>
      </c>
      <c r="I96" t="inlineStr">
        <is>
          <t>J185:J187</t>
        </is>
      </c>
      <c r="J96">
        <f>COUNT(TVW线测量明细!J185:J187)</f>
        <v/>
      </c>
      <c r="K96">
        <f>AVERAGE(TVW线测量明细!J185:J187)</f>
        <v/>
      </c>
      <c r="L96">
        <f>MEDIAN(TVW线测量明细!J185:J187)</f>
        <v/>
      </c>
      <c r="M96">
        <f>IF(J96&gt;1,STDEV(TVW线测量明细!J185:J187),0)</f>
        <v/>
      </c>
      <c r="N96">
        <f>IF(K96=0,"",M96/K96*100)</f>
        <v/>
      </c>
      <c r="O96" t="n">
        <v>3.112569796364425</v>
      </c>
      <c r="P96">
        <f>IF(O96=0,"",(K96/O96-1)*100)</f>
        <v/>
      </c>
      <c r="Q96">
        <f>(K96/E96)^2</f>
        <v/>
      </c>
      <c r="R96">
        <f>(K96/H96)^2</f>
        <v/>
      </c>
      <c r="S96">
        <f>AVERAGE(Q96,R96)</f>
        <v/>
      </c>
      <c r="T96">
        <f>AVERAGE((O96/E96)^2,(O96/H96)^2)</f>
        <v/>
      </c>
      <c r="U96">
        <f>IF(T96=0,"",(S96/T96-1)*100)</f>
        <v/>
      </c>
      <c r="V96">
        <f>AVERAGE((L96/E96)^2,(L96/H96)^2)</f>
        <v/>
      </c>
      <c r="W96">
        <f>IF(ABS(E96-汇总!B25)&lt;=ABS(H96-汇总!B25),E96,H96)</f>
        <v/>
      </c>
      <c r="X96">
        <f>(K96/W96)^2</f>
        <v/>
      </c>
      <c r="Y96">
        <f>IF(N96&gt;10,"HIGH_TVW_CV",IF(J96&lt;3,"SHORT_INTERFACE","PASS"))</f>
        <v/>
      </c>
      <c r="Z96" t="inlineStr">
        <is>
          <t>Di1、TVW均值、Di2均来自本Pair_ID；TVW=3–5法线平均</t>
        </is>
      </c>
      <c r="AA96" t="inlineStr">
        <is>
          <t>样品60</t>
        </is>
      </c>
    </row>
    <row r="97">
      <c r="A97" t="inlineStr">
        <is>
          <t>61(2)-P01</t>
        </is>
      </c>
      <c r="B97" t="inlineStr">
        <is>
          <t>61 (2).tif</t>
        </is>
      </c>
      <c r="C97" t="inlineStr">
        <is>
          <t>61(2)-V02</t>
        </is>
      </c>
      <c r="D97">
        <f>导管母表_860!F760</f>
        <v/>
      </c>
      <c r="E97">
        <f>导管母表_860!G760</f>
        <v/>
      </c>
      <c r="F97" t="inlineStr">
        <is>
          <t>61(2)-V03</t>
        </is>
      </c>
      <c r="G97">
        <f>导管母表_860!F761</f>
        <v/>
      </c>
      <c r="H97">
        <f>导管母表_860!G761</f>
        <v/>
      </c>
      <c r="I97" t="inlineStr">
        <is>
          <t>J188:J189</t>
        </is>
      </c>
      <c r="J97">
        <f>COUNT(TVW线测量明细!J188:J189)</f>
        <v/>
      </c>
      <c r="K97">
        <f>AVERAGE(TVW线测量明细!J188:J189)</f>
        <v/>
      </c>
      <c r="L97">
        <f>MEDIAN(TVW线测量明细!J188:J189)</f>
        <v/>
      </c>
      <c r="M97">
        <f>IF(J97&gt;1,STDEV(TVW线测量明细!J188:J189),0)</f>
        <v/>
      </c>
      <c r="N97">
        <f>IF(K97=0,"",M97/K97*100)</f>
        <v/>
      </c>
      <c r="O97" t="n">
        <v>5.004723666617973</v>
      </c>
      <c r="P97">
        <f>IF(O97=0,"",(K97/O97-1)*100)</f>
        <v/>
      </c>
      <c r="Q97">
        <f>(K97/E97)^2</f>
        <v/>
      </c>
      <c r="R97">
        <f>(K97/H97)^2</f>
        <v/>
      </c>
      <c r="S97">
        <f>AVERAGE(Q97,R97)</f>
        <v/>
      </c>
      <c r="T97">
        <f>AVERAGE((O97/E97)^2,(O97/H97)^2)</f>
        <v/>
      </c>
      <c r="U97">
        <f>IF(T97=0,"",(S97/T97-1)*100)</f>
        <v/>
      </c>
      <c r="V97">
        <f>AVERAGE((L97/E97)^2,(L97/H97)^2)</f>
        <v/>
      </c>
      <c r="W97">
        <f>IF(ABS(E97-汇总!B25)&lt;=ABS(H97-汇总!B25),E97,H97)</f>
        <v/>
      </c>
      <c r="X97">
        <f>(K97/W97)^2</f>
        <v/>
      </c>
      <c r="Y97">
        <f>IF(N97&gt;10,"HIGH_TVW_CV",IF(J97&lt;3,"SHORT_INTERFACE","PASS"))</f>
        <v/>
      </c>
      <c r="Z97" t="inlineStr">
        <is>
          <t>Di1、TVW均值、Di2均来自本Pair_ID；TVW=3–5法线平均</t>
        </is>
      </c>
      <c r="AA97" t="inlineStr">
        <is>
          <t>样品61</t>
        </is>
      </c>
    </row>
    <row r="98">
      <c r="A98" t="inlineStr">
        <is>
          <t>61(3)-P01</t>
        </is>
      </c>
      <c r="B98" t="inlineStr">
        <is>
          <t>61 (3).tif</t>
        </is>
      </c>
      <c r="C98" t="inlineStr">
        <is>
          <t>61(3)-V01</t>
        </is>
      </c>
      <c r="D98">
        <f>导管母表_860!F764</f>
        <v/>
      </c>
      <c r="E98">
        <f>导管母表_860!G764</f>
        <v/>
      </c>
      <c r="F98" t="inlineStr">
        <is>
          <t>61(3)-V02</t>
        </is>
      </c>
      <c r="G98">
        <f>导管母表_860!F765</f>
        <v/>
      </c>
      <c r="H98">
        <f>导管母表_860!G765</f>
        <v/>
      </c>
      <c r="I98" t="inlineStr">
        <is>
          <t>J190:J192</t>
        </is>
      </c>
      <c r="J98">
        <f>COUNT(TVW线测量明细!J190:J192)</f>
        <v/>
      </c>
      <c r="K98">
        <f>AVERAGE(TVW线测量明细!J190:J192)</f>
        <v/>
      </c>
      <c r="L98">
        <f>MEDIAN(TVW线测量明细!J190:J192)</f>
        <v/>
      </c>
      <c r="M98">
        <f>IF(J98&gt;1,STDEV(TVW线测量明细!J190:J192),0)</f>
        <v/>
      </c>
      <c r="N98">
        <f>IF(K98=0,"",M98/K98*100)</f>
        <v/>
      </c>
      <c r="O98" t="n">
        <v>5.185591496468071</v>
      </c>
      <c r="P98">
        <f>IF(O98=0,"",(K98/O98-1)*100)</f>
        <v/>
      </c>
      <c r="Q98">
        <f>(K98/E98)^2</f>
        <v/>
      </c>
      <c r="R98">
        <f>(K98/H98)^2</f>
        <v/>
      </c>
      <c r="S98">
        <f>AVERAGE(Q98,R98)</f>
        <v/>
      </c>
      <c r="T98">
        <f>AVERAGE((O98/E98)^2,(O98/H98)^2)</f>
        <v/>
      </c>
      <c r="U98">
        <f>IF(T98=0,"",(S98/T98-1)*100)</f>
        <v/>
      </c>
      <c r="V98">
        <f>AVERAGE((L98/E98)^2,(L98/H98)^2)</f>
        <v/>
      </c>
      <c r="W98">
        <f>IF(ABS(E98-汇总!B25)&lt;=ABS(H98-汇总!B25),E98,H98)</f>
        <v/>
      </c>
      <c r="X98">
        <f>(K98/W98)^2</f>
        <v/>
      </c>
      <c r="Y98">
        <f>IF(N98&gt;10,"HIGH_TVW_CV",IF(J98&lt;3,"SHORT_INTERFACE","PASS"))</f>
        <v/>
      </c>
      <c r="Z98" t="inlineStr">
        <is>
          <t>Di1、TVW均值、Di2均来自本Pair_ID；TVW=3–5法线平均</t>
        </is>
      </c>
      <c r="AA98" t="inlineStr">
        <is>
          <t>样品61</t>
        </is>
      </c>
    </row>
    <row r="99">
      <c r="A99" t="inlineStr">
        <is>
          <t>61(4)-P01</t>
        </is>
      </c>
      <c r="B99" t="inlineStr">
        <is>
          <t>61 (4).tif</t>
        </is>
      </c>
      <c r="C99" t="inlineStr">
        <is>
          <t>61(4)-V01</t>
        </is>
      </c>
      <c r="D99">
        <f>导管母表_860!F767</f>
        <v/>
      </c>
      <c r="E99">
        <f>导管母表_860!G767</f>
        <v/>
      </c>
      <c r="F99" t="inlineStr">
        <is>
          <t>61(4)-V02</t>
        </is>
      </c>
      <c r="G99">
        <f>导管母表_860!F768</f>
        <v/>
      </c>
      <c r="H99">
        <f>导管母表_860!G768</f>
        <v/>
      </c>
      <c r="I99" t="inlineStr">
        <is>
          <t>J193:J196</t>
        </is>
      </c>
      <c r="J99">
        <f>COUNT(TVW线测量明细!J193:J196)</f>
        <v/>
      </c>
      <c r="K99">
        <f>AVERAGE(TVW线测量明细!J193:J196)</f>
        <v/>
      </c>
      <c r="L99">
        <f>MEDIAN(TVW线测量明细!J193:J196)</f>
        <v/>
      </c>
      <c r="M99">
        <f>IF(J99&gt;1,STDEV(TVW线测量明细!J193:J196),0)</f>
        <v/>
      </c>
      <c r="N99">
        <f>IF(K99=0,"",M99/K99*100)</f>
        <v/>
      </c>
      <c r="O99" t="n">
        <v>7.783701647812242</v>
      </c>
      <c r="P99">
        <f>IF(O99=0,"",(K99/O99-1)*100)</f>
        <v/>
      </c>
      <c r="Q99">
        <f>(K99/E99)^2</f>
        <v/>
      </c>
      <c r="R99">
        <f>(K99/H99)^2</f>
        <v/>
      </c>
      <c r="S99">
        <f>AVERAGE(Q99,R99)</f>
        <v/>
      </c>
      <c r="T99">
        <f>AVERAGE((O99/E99)^2,(O99/H99)^2)</f>
        <v/>
      </c>
      <c r="U99">
        <f>IF(T99=0,"",(S99/T99-1)*100)</f>
        <v/>
      </c>
      <c r="V99">
        <f>AVERAGE((L99/E99)^2,(L99/H99)^2)</f>
        <v/>
      </c>
      <c r="W99">
        <f>IF(ABS(E99-汇总!B25)&lt;=ABS(H99-汇总!B25),E99,H99)</f>
        <v/>
      </c>
      <c r="X99">
        <f>(K99/W99)^2</f>
        <v/>
      </c>
      <c r="Y99">
        <f>IF(N99&gt;10,"HIGH_TVW_CV",IF(J99&lt;3,"SHORT_INTERFACE","PASS"))</f>
        <v/>
      </c>
      <c r="Z99" t="inlineStr">
        <is>
          <t>Di1、TVW均值、Di2均来自本Pair_ID；TVW=3–5法线平均</t>
        </is>
      </c>
      <c r="AA99" t="inlineStr">
        <is>
          <t>样品61</t>
        </is>
      </c>
    </row>
    <row r="100">
      <c r="A100" t="inlineStr">
        <is>
          <t>61(5)-P01</t>
        </is>
      </c>
      <c r="B100" t="inlineStr">
        <is>
          <t>61 (5).tif</t>
        </is>
      </c>
      <c r="C100" t="inlineStr">
        <is>
          <t>61(5)-V01</t>
        </is>
      </c>
      <c r="D100">
        <f>导管母表_860!F769</f>
        <v/>
      </c>
      <c r="E100">
        <f>导管母表_860!G769</f>
        <v/>
      </c>
      <c r="F100" t="inlineStr">
        <is>
          <t>61(5)-V03</t>
        </is>
      </c>
      <c r="G100">
        <f>导管母表_860!F771</f>
        <v/>
      </c>
      <c r="H100">
        <f>导管母表_860!G771</f>
        <v/>
      </c>
      <c r="I100" t="inlineStr">
        <is>
          <t>J197:J197</t>
        </is>
      </c>
      <c r="J100">
        <f>COUNT(TVW线测量明细!J197:J197)</f>
        <v/>
      </c>
      <c r="K100">
        <f>AVERAGE(TVW线测量明细!J197:J197)</f>
        <v/>
      </c>
      <c r="L100">
        <f>MEDIAN(TVW线测量明细!J197:J197)</f>
        <v/>
      </c>
      <c r="M100">
        <f>IF(J100&gt;1,STDEV(TVW线测量明细!J197:J197),0)</f>
        <v/>
      </c>
      <c r="N100">
        <f>IF(K100=0,"",M100/K100*100)</f>
        <v/>
      </c>
      <c r="O100" t="n">
        <v>9.438388411344526</v>
      </c>
      <c r="P100">
        <f>IF(O100=0,"",(K100/O100-1)*100)</f>
        <v/>
      </c>
      <c r="Q100">
        <f>(K100/E100)^2</f>
        <v/>
      </c>
      <c r="R100">
        <f>(K100/H100)^2</f>
        <v/>
      </c>
      <c r="S100">
        <f>AVERAGE(Q100,R100)</f>
        <v/>
      </c>
      <c r="T100">
        <f>AVERAGE((O100/E100)^2,(O100/H100)^2)</f>
        <v/>
      </c>
      <c r="U100">
        <f>IF(T100=0,"",(S100/T100-1)*100)</f>
        <v/>
      </c>
      <c r="V100">
        <f>AVERAGE((L100/E100)^2,(L100/H100)^2)</f>
        <v/>
      </c>
      <c r="W100">
        <f>IF(ABS(E100-汇总!B25)&lt;=ABS(H100-汇总!B25),E100,H100)</f>
        <v/>
      </c>
      <c r="X100">
        <f>(K100/W100)^2</f>
        <v/>
      </c>
      <c r="Y100">
        <f>IF(N100&gt;10,"HIGH_TVW_CV",IF(J100&lt;3,"SHORT_INTERFACE","PASS"))</f>
        <v/>
      </c>
      <c r="Z100" t="inlineStr">
        <is>
          <t>Di1、TVW均值、Di2均来自本Pair_ID；TVW=3–5法线平均</t>
        </is>
      </c>
      <c r="AA100" t="inlineStr">
        <is>
          <t>样品61</t>
        </is>
      </c>
    </row>
    <row r="101">
      <c r="A101" t="inlineStr">
        <is>
          <t>61(6)-P01</t>
        </is>
      </c>
      <c r="B101" t="inlineStr">
        <is>
          <t>61 (6).tif</t>
        </is>
      </c>
      <c r="C101" t="inlineStr">
        <is>
          <t>61(6)-V01</t>
        </is>
      </c>
      <c r="D101">
        <f>导管母表_860!F772</f>
        <v/>
      </c>
      <c r="E101">
        <f>导管母表_860!G772</f>
        <v/>
      </c>
      <c r="F101" t="inlineStr">
        <is>
          <t>61(6)-V02</t>
        </is>
      </c>
      <c r="G101">
        <f>导管母表_860!F773</f>
        <v/>
      </c>
      <c r="H101">
        <f>导管母表_860!G773</f>
        <v/>
      </c>
      <c r="I101" t="inlineStr">
        <is>
          <t>J198:J199</t>
        </is>
      </c>
      <c r="J101">
        <f>COUNT(TVW线测量明细!J198:J199)</f>
        <v/>
      </c>
      <c r="K101">
        <f>AVERAGE(TVW线测量明细!J198:J199)</f>
        <v/>
      </c>
      <c r="L101">
        <f>MEDIAN(TVW线测量明细!J198:J199)</f>
        <v/>
      </c>
      <c r="M101">
        <f>IF(J101&gt;1,STDEV(TVW线测量明细!J198:J199),0)</f>
        <v/>
      </c>
      <c r="N101">
        <f>IF(K101=0,"",M101/K101*100)</f>
        <v/>
      </c>
      <c r="O101" t="n">
        <v>18.888039443692</v>
      </c>
      <c r="P101">
        <f>IF(O101=0,"",(K101/O101-1)*100)</f>
        <v/>
      </c>
      <c r="Q101">
        <f>(K101/E101)^2</f>
        <v/>
      </c>
      <c r="R101">
        <f>(K101/H101)^2</f>
        <v/>
      </c>
      <c r="S101">
        <f>AVERAGE(Q101,R101)</f>
        <v/>
      </c>
      <c r="T101">
        <f>AVERAGE((O101/E101)^2,(O101/H101)^2)</f>
        <v/>
      </c>
      <c r="U101">
        <f>IF(T101=0,"",(S101/T101-1)*100)</f>
        <v/>
      </c>
      <c r="V101">
        <f>AVERAGE((L101/E101)^2,(L101/H101)^2)</f>
        <v/>
      </c>
      <c r="W101">
        <f>IF(ABS(E101-汇总!B25)&lt;=ABS(H101-汇总!B25),E101,H101)</f>
        <v/>
      </c>
      <c r="X101">
        <f>(K101/W101)^2</f>
        <v/>
      </c>
      <c r="Y101">
        <f>IF(N101&gt;10,"HIGH_TVW_CV",IF(J101&lt;3,"SHORT_INTERFACE","PASS"))</f>
        <v/>
      </c>
      <c r="Z101" t="inlineStr">
        <is>
          <t>Di1、TVW均值、Di2均来自本Pair_ID；TVW=3–5法线平均</t>
        </is>
      </c>
      <c r="AA101" t="inlineStr">
        <is>
          <t>样品61</t>
        </is>
      </c>
    </row>
    <row r="102">
      <c r="A102" t="inlineStr">
        <is>
          <t>61(7)-P01</t>
        </is>
      </c>
      <c r="B102" t="inlineStr">
        <is>
          <t>61 (7).tif</t>
        </is>
      </c>
      <c r="C102" t="inlineStr">
        <is>
          <t>61(7)-V01</t>
        </is>
      </c>
      <c r="D102">
        <f>导管母表_860!F775</f>
        <v/>
      </c>
      <c r="E102">
        <f>导管母表_860!G775</f>
        <v/>
      </c>
      <c r="F102" t="inlineStr">
        <is>
          <t>61(7)-V02</t>
        </is>
      </c>
      <c r="G102">
        <f>导管母表_860!F776</f>
        <v/>
      </c>
      <c r="H102">
        <f>导管母表_860!G776</f>
        <v/>
      </c>
      <c r="I102" t="inlineStr">
        <is>
          <t>J200:J200</t>
        </is>
      </c>
      <c r="J102">
        <f>COUNT(TVW线测量明细!J200:J200)</f>
        <v/>
      </c>
      <c r="K102">
        <f>AVERAGE(TVW线测量明细!J200:J200)</f>
        <v/>
      </c>
      <c r="L102">
        <f>MEDIAN(TVW线测量明细!J200:J200)</f>
        <v/>
      </c>
      <c r="M102">
        <f>IF(J102&gt;1,STDEV(TVW线测量明细!J200:J200),0)</f>
        <v/>
      </c>
      <c r="N102">
        <f>IF(K102=0,"",M102/K102*100)</f>
        <v/>
      </c>
      <c r="O102" t="n">
        <v>4.611565964260093</v>
      </c>
      <c r="P102">
        <f>IF(O102=0,"",(K102/O102-1)*100)</f>
        <v/>
      </c>
      <c r="Q102">
        <f>(K102/E102)^2</f>
        <v/>
      </c>
      <c r="R102">
        <f>(K102/H102)^2</f>
        <v/>
      </c>
      <c r="S102">
        <f>AVERAGE(Q102,R102)</f>
        <v/>
      </c>
      <c r="T102">
        <f>AVERAGE((O102/E102)^2,(O102/H102)^2)</f>
        <v/>
      </c>
      <c r="U102">
        <f>IF(T102=0,"",(S102/T102-1)*100)</f>
        <v/>
      </c>
      <c r="V102">
        <f>AVERAGE((L102/E102)^2,(L102/H102)^2)</f>
        <v/>
      </c>
      <c r="W102">
        <f>IF(ABS(E102-汇总!B25)&lt;=ABS(H102-汇总!B25),E102,H102)</f>
        <v/>
      </c>
      <c r="X102">
        <f>(K102/W102)^2</f>
        <v/>
      </c>
      <c r="Y102">
        <f>IF(N102&gt;10,"HIGH_TVW_CV",IF(J102&lt;3,"SHORT_INTERFACE","PASS"))</f>
        <v/>
      </c>
      <c r="Z102" t="inlineStr">
        <is>
          <t>Di1、TVW均值、Di2均来自本Pair_ID；TVW=3–5法线平均</t>
        </is>
      </c>
      <c r="AA102" t="inlineStr">
        <is>
          <t>样品61</t>
        </is>
      </c>
    </row>
    <row r="103">
      <c r="A103" t="inlineStr">
        <is>
          <t>61(8)-P01</t>
        </is>
      </c>
      <c r="B103" t="inlineStr">
        <is>
          <t>61 (8).tif</t>
        </is>
      </c>
      <c r="C103" t="inlineStr">
        <is>
          <t>61(8)-V03</t>
        </is>
      </c>
      <c r="D103">
        <f>导管母表_860!F782</f>
        <v/>
      </c>
      <c r="E103">
        <f>导管母表_860!G782</f>
        <v/>
      </c>
      <c r="F103" t="inlineStr">
        <is>
          <t>61(8)-V04</t>
        </is>
      </c>
      <c r="G103">
        <f>导管母表_860!F783</f>
        <v/>
      </c>
      <c r="H103">
        <f>导管母表_860!G783</f>
        <v/>
      </c>
      <c r="I103" t="inlineStr">
        <is>
          <t>J201:J201</t>
        </is>
      </c>
      <c r="J103">
        <f>COUNT(TVW线测量明细!J201:J201)</f>
        <v/>
      </c>
      <c r="K103">
        <f>AVERAGE(TVW线测量明细!J201:J201)</f>
        <v/>
      </c>
      <c r="L103">
        <f>MEDIAN(TVW线测量明细!J201:J201)</f>
        <v/>
      </c>
      <c r="M103">
        <f>IF(J103&gt;1,STDEV(TVW线测量明细!J201:J201),0)</f>
        <v/>
      </c>
      <c r="N103">
        <f>IF(K103=0,"",M103/K103*100)</f>
        <v/>
      </c>
      <c r="O103" t="n">
        <v>0.4861017342390847</v>
      </c>
      <c r="P103">
        <f>IF(O103=0,"",(K103/O103-1)*100)</f>
        <v/>
      </c>
      <c r="Q103">
        <f>(K103/E103)^2</f>
        <v/>
      </c>
      <c r="R103">
        <f>(K103/H103)^2</f>
        <v/>
      </c>
      <c r="S103">
        <f>AVERAGE(Q103,R103)</f>
        <v/>
      </c>
      <c r="T103">
        <f>AVERAGE((O103/E103)^2,(O103/H103)^2)</f>
        <v/>
      </c>
      <c r="U103">
        <f>IF(T103=0,"",(S103/T103-1)*100)</f>
        <v/>
      </c>
      <c r="V103">
        <f>AVERAGE((L103/E103)^2,(L103/H103)^2)</f>
        <v/>
      </c>
      <c r="W103">
        <f>IF(ABS(E103-汇总!B25)&lt;=ABS(H103-汇总!B25),E103,H103)</f>
        <v/>
      </c>
      <c r="X103">
        <f>(K103/W103)^2</f>
        <v/>
      </c>
      <c r="Y103">
        <f>IF(N103&gt;10,"HIGH_TVW_CV",IF(J103&lt;3,"SHORT_INTERFACE","PASS"))</f>
        <v/>
      </c>
      <c r="Z103" t="inlineStr">
        <is>
          <t>Di1、TVW均值、Di2均来自本Pair_ID；TVW=3–5法线平均</t>
        </is>
      </c>
      <c r="AA103" t="inlineStr">
        <is>
          <t>样品61</t>
        </is>
      </c>
    </row>
    <row r="104">
      <c r="A104" t="inlineStr">
        <is>
          <t>62(1)-P01</t>
        </is>
      </c>
      <c r="B104" t="inlineStr">
        <is>
          <t>62 (1).tif</t>
        </is>
      </c>
      <c r="C104" t="inlineStr">
        <is>
          <t>62(1)-V01</t>
        </is>
      </c>
      <c r="D104">
        <f>导管母表_860!F784</f>
        <v/>
      </c>
      <c r="E104">
        <f>导管母表_860!G784</f>
        <v/>
      </c>
      <c r="F104" t="inlineStr">
        <is>
          <t>62(1)-V02</t>
        </is>
      </c>
      <c r="G104">
        <f>导管母表_860!F785</f>
        <v/>
      </c>
      <c r="H104">
        <f>导管母表_860!G785</f>
        <v/>
      </c>
      <c r="I104" t="inlineStr">
        <is>
          <t>J202:J204</t>
        </is>
      </c>
      <c r="J104">
        <f>COUNT(TVW线测量明细!J202:J204)</f>
        <v/>
      </c>
      <c r="K104">
        <f>AVERAGE(TVW线测量明细!J202:J204)</f>
        <v/>
      </c>
      <c r="L104">
        <f>MEDIAN(TVW线测量明细!J202:J204)</f>
        <v/>
      </c>
      <c r="M104">
        <f>IF(J104&gt;1,STDEV(TVW线测量明细!J202:J204),0)</f>
        <v/>
      </c>
      <c r="N104">
        <f>IF(K104=0,"",M104/K104*100)</f>
        <v/>
      </c>
      <c r="O104" t="n">
        <v>7.130964985589881</v>
      </c>
      <c r="P104">
        <f>IF(O104=0,"",(K104/O104-1)*100)</f>
        <v/>
      </c>
      <c r="Q104">
        <f>(K104/E104)^2</f>
        <v/>
      </c>
      <c r="R104">
        <f>(K104/H104)^2</f>
        <v/>
      </c>
      <c r="S104">
        <f>AVERAGE(Q104,R104)</f>
        <v/>
      </c>
      <c r="T104">
        <f>AVERAGE((O104/E104)^2,(O104/H104)^2)</f>
        <v/>
      </c>
      <c r="U104">
        <f>IF(T104=0,"",(S104/T104-1)*100)</f>
        <v/>
      </c>
      <c r="V104">
        <f>AVERAGE((L104/E104)^2,(L104/H104)^2)</f>
        <v/>
      </c>
      <c r="W104">
        <f>IF(ABS(E104-汇总!B25)&lt;=ABS(H104-汇总!B25),E104,H104)</f>
        <v/>
      </c>
      <c r="X104">
        <f>(K104/W104)^2</f>
        <v/>
      </c>
      <c r="Y104">
        <f>IF(N104&gt;10,"HIGH_TVW_CV",IF(J104&lt;3,"SHORT_INTERFACE","PASS"))</f>
        <v/>
      </c>
      <c r="Z104" t="inlineStr">
        <is>
          <t>Di1、TVW均值、Di2均来自本Pair_ID；TVW=3–5法线平均</t>
        </is>
      </c>
      <c r="AA104" t="inlineStr">
        <is>
          <t>样品62</t>
        </is>
      </c>
    </row>
    <row r="105">
      <c r="A105" t="inlineStr">
        <is>
          <t>62(2)-P01</t>
        </is>
      </c>
      <c r="B105" t="inlineStr">
        <is>
          <t>62 (2).tif</t>
        </is>
      </c>
      <c r="C105" t="inlineStr">
        <is>
          <t>62(2)-V01</t>
        </is>
      </c>
      <c r="D105">
        <f>导管母表_860!F791</f>
        <v/>
      </c>
      <c r="E105">
        <f>导管母表_860!G791</f>
        <v/>
      </c>
      <c r="F105" t="inlineStr">
        <is>
          <t>62(2)-V03</t>
        </is>
      </c>
      <c r="G105">
        <f>导管母表_860!F793</f>
        <v/>
      </c>
      <c r="H105">
        <f>导管母表_860!G793</f>
        <v/>
      </c>
      <c r="I105" t="inlineStr">
        <is>
          <t>J205:J208</t>
        </is>
      </c>
      <c r="J105">
        <f>COUNT(TVW线测量明细!J205:J208)</f>
        <v/>
      </c>
      <c r="K105">
        <f>AVERAGE(TVW线测量明细!J205:J208)</f>
        <v/>
      </c>
      <c r="L105">
        <f>MEDIAN(TVW线测量明细!J205:J208)</f>
        <v/>
      </c>
      <c r="M105">
        <f>IF(J105&gt;1,STDEV(TVW线测量明细!J205:J208),0)</f>
        <v/>
      </c>
      <c r="N105">
        <f>IF(K105=0,"",M105/K105*100)</f>
        <v/>
      </c>
      <c r="O105" t="n">
        <v>4.401838419851432</v>
      </c>
      <c r="P105">
        <f>IF(O105=0,"",(K105/O105-1)*100)</f>
        <v/>
      </c>
      <c r="Q105">
        <f>(K105/E105)^2</f>
        <v/>
      </c>
      <c r="R105">
        <f>(K105/H105)^2</f>
        <v/>
      </c>
      <c r="S105">
        <f>AVERAGE(Q105,R105)</f>
        <v/>
      </c>
      <c r="T105">
        <f>AVERAGE((O105/E105)^2,(O105/H105)^2)</f>
        <v/>
      </c>
      <c r="U105">
        <f>IF(T105=0,"",(S105/T105-1)*100)</f>
        <v/>
      </c>
      <c r="V105">
        <f>AVERAGE((L105/E105)^2,(L105/H105)^2)</f>
        <v/>
      </c>
      <c r="W105">
        <f>IF(ABS(E105-汇总!B25)&lt;=ABS(H105-汇总!B25),E105,H105)</f>
        <v/>
      </c>
      <c r="X105">
        <f>(K105/W105)^2</f>
        <v/>
      </c>
      <c r="Y105">
        <f>IF(N105&gt;10,"HIGH_TVW_CV",IF(J105&lt;3,"SHORT_INTERFACE","PASS"))</f>
        <v/>
      </c>
      <c r="Z105" t="inlineStr">
        <is>
          <t>Di1、TVW均值、Di2均来自本Pair_ID；TVW=3–5法线平均</t>
        </is>
      </c>
      <c r="AA105" t="inlineStr">
        <is>
          <t>样品62</t>
        </is>
      </c>
    </row>
    <row r="106">
      <c r="A106" t="inlineStr">
        <is>
          <t>62(3)-P01</t>
        </is>
      </c>
      <c r="B106" t="inlineStr">
        <is>
          <t>62 (3).tif</t>
        </is>
      </c>
      <c r="C106" t="inlineStr">
        <is>
          <t>62(3)-V01</t>
        </is>
      </c>
      <c r="D106">
        <f>导管母表_860!F796</f>
        <v/>
      </c>
      <c r="E106">
        <f>导管母表_860!G796</f>
        <v/>
      </c>
      <c r="F106" t="inlineStr">
        <is>
          <t>62(3)-V03</t>
        </is>
      </c>
      <c r="G106">
        <f>导管母表_860!F798</f>
        <v/>
      </c>
      <c r="H106">
        <f>导管母表_860!G798</f>
        <v/>
      </c>
      <c r="I106" t="inlineStr">
        <is>
          <t>J209:J211</t>
        </is>
      </c>
      <c r="J106">
        <f>COUNT(TVW线测量明细!J209:J211)</f>
        <v/>
      </c>
      <c r="K106">
        <f>AVERAGE(TVW线测量明细!J209:J211)</f>
        <v/>
      </c>
      <c r="L106">
        <f>MEDIAN(TVW线测量明细!J209:J211)</f>
        <v/>
      </c>
      <c r="M106">
        <f>IF(J106&gt;1,STDEV(TVW线测量明细!J209:J211),0)</f>
        <v/>
      </c>
      <c r="N106">
        <f>IF(K106=0,"",M106/K106*100)</f>
        <v/>
      </c>
      <c r="O106" t="n">
        <v>4.043712008203973</v>
      </c>
      <c r="P106">
        <f>IF(O106=0,"",(K106/O106-1)*100)</f>
        <v/>
      </c>
      <c r="Q106">
        <f>(K106/E106)^2</f>
        <v/>
      </c>
      <c r="R106">
        <f>(K106/H106)^2</f>
        <v/>
      </c>
      <c r="S106">
        <f>AVERAGE(Q106,R106)</f>
        <v/>
      </c>
      <c r="T106">
        <f>AVERAGE((O106/E106)^2,(O106/H106)^2)</f>
        <v/>
      </c>
      <c r="U106">
        <f>IF(T106=0,"",(S106/T106-1)*100)</f>
        <v/>
      </c>
      <c r="V106">
        <f>AVERAGE((L106/E106)^2,(L106/H106)^2)</f>
        <v/>
      </c>
      <c r="W106">
        <f>IF(ABS(E106-汇总!B25)&lt;=ABS(H106-汇总!B25),E106,H106)</f>
        <v/>
      </c>
      <c r="X106">
        <f>(K106/W106)^2</f>
        <v/>
      </c>
      <c r="Y106">
        <f>IF(N106&gt;10,"HIGH_TVW_CV",IF(J106&lt;3,"SHORT_INTERFACE","PASS"))</f>
        <v/>
      </c>
      <c r="Z106" t="inlineStr">
        <is>
          <t>Di1、TVW均值、Di2均来自本Pair_ID；TVW=3–5法线平均</t>
        </is>
      </c>
      <c r="AA106" t="inlineStr">
        <is>
          <t>样品62</t>
        </is>
      </c>
    </row>
    <row r="107">
      <c r="A107" t="inlineStr">
        <is>
          <t>62(4)-P01</t>
        </is>
      </c>
      <c r="B107" t="inlineStr">
        <is>
          <t>62 (4).tif</t>
        </is>
      </c>
      <c r="C107" t="inlineStr">
        <is>
          <t>62(4)-V01</t>
        </is>
      </c>
      <c r="D107">
        <f>导管母表_860!F801</f>
        <v/>
      </c>
      <c r="E107">
        <f>导管母表_860!G801</f>
        <v/>
      </c>
      <c r="F107" t="inlineStr">
        <is>
          <t>62(4)-V02</t>
        </is>
      </c>
      <c r="G107">
        <f>导管母表_860!F802</f>
        <v/>
      </c>
      <c r="H107">
        <f>导管母表_860!G802</f>
        <v/>
      </c>
      <c r="I107" t="inlineStr">
        <is>
          <t>J212:J212</t>
        </is>
      </c>
      <c r="J107">
        <f>COUNT(TVW线测量明细!J212:J212)</f>
        <v/>
      </c>
      <c r="K107">
        <f>AVERAGE(TVW线测量明细!J212:J212)</f>
        <v/>
      </c>
      <c r="L107">
        <f>MEDIAN(TVW线测量明细!J212:J212)</f>
        <v/>
      </c>
      <c r="M107">
        <f>IF(J107&gt;1,STDEV(TVW线测量明细!J212:J212),0)</f>
        <v/>
      </c>
      <c r="N107">
        <f>IF(K107=0,"",M107/K107*100)</f>
        <v/>
      </c>
      <c r="O107" t="n">
        <v>4.374915608151762</v>
      </c>
      <c r="P107">
        <f>IF(O107=0,"",(K107/O107-1)*100)</f>
        <v/>
      </c>
      <c r="Q107">
        <f>(K107/E107)^2</f>
        <v/>
      </c>
      <c r="R107">
        <f>(K107/H107)^2</f>
        <v/>
      </c>
      <c r="S107">
        <f>AVERAGE(Q107,R107)</f>
        <v/>
      </c>
      <c r="T107">
        <f>AVERAGE((O107/E107)^2,(O107/H107)^2)</f>
        <v/>
      </c>
      <c r="U107">
        <f>IF(T107=0,"",(S107/T107-1)*100)</f>
        <v/>
      </c>
      <c r="V107">
        <f>AVERAGE((L107/E107)^2,(L107/H107)^2)</f>
        <v/>
      </c>
      <c r="W107">
        <f>IF(ABS(E107-汇总!B25)&lt;=ABS(H107-汇总!B25),E107,H107)</f>
        <v/>
      </c>
      <c r="X107">
        <f>(K107/W107)^2</f>
        <v/>
      </c>
      <c r="Y107">
        <f>IF(N107&gt;10,"HIGH_TVW_CV",IF(J107&lt;3,"SHORT_INTERFACE","PASS"))</f>
        <v/>
      </c>
      <c r="Z107" t="inlineStr">
        <is>
          <t>Di1、TVW均值、Di2均来自本Pair_ID；TVW=3–5法线平均</t>
        </is>
      </c>
      <c r="AA107" t="inlineStr">
        <is>
          <t>样品62</t>
        </is>
      </c>
    </row>
    <row r="108">
      <c r="A108" t="inlineStr">
        <is>
          <t>62(5)-P01</t>
        </is>
      </c>
      <c r="B108" t="inlineStr">
        <is>
          <t>62 (5).tif</t>
        </is>
      </c>
      <c r="C108" t="inlineStr">
        <is>
          <t>62(5)-V01</t>
        </is>
      </c>
      <c r="D108">
        <f>导管母表_860!F806</f>
        <v/>
      </c>
      <c r="E108">
        <f>导管母表_860!G806</f>
        <v/>
      </c>
      <c r="F108" t="inlineStr">
        <is>
          <t>62(5)-V02</t>
        </is>
      </c>
      <c r="G108">
        <f>导管母表_860!F807</f>
        <v/>
      </c>
      <c r="H108">
        <f>导管母表_860!G807</f>
        <v/>
      </c>
      <c r="I108" t="inlineStr">
        <is>
          <t>J213:J213</t>
        </is>
      </c>
      <c r="J108">
        <f>COUNT(TVW线测量明细!J213:J213)</f>
        <v/>
      </c>
      <c r="K108">
        <f>AVERAGE(TVW线测量明细!J213:J213)</f>
        <v/>
      </c>
      <c r="L108">
        <f>MEDIAN(TVW线测量明细!J213:J213)</f>
        <v/>
      </c>
      <c r="M108">
        <f>IF(J108&gt;1,STDEV(TVW线测量明细!J213:J213),0)</f>
        <v/>
      </c>
      <c r="N108">
        <f>IF(K108=0,"",M108/K108*100)</f>
        <v/>
      </c>
      <c r="O108" t="n">
        <v>4.084411788707812</v>
      </c>
      <c r="P108">
        <f>IF(O108=0,"",(K108/O108-1)*100)</f>
        <v/>
      </c>
      <c r="Q108">
        <f>(K108/E108)^2</f>
        <v/>
      </c>
      <c r="R108">
        <f>(K108/H108)^2</f>
        <v/>
      </c>
      <c r="S108">
        <f>AVERAGE(Q108,R108)</f>
        <v/>
      </c>
      <c r="T108">
        <f>AVERAGE((O108/E108)^2,(O108/H108)^2)</f>
        <v/>
      </c>
      <c r="U108">
        <f>IF(T108=0,"",(S108/T108-1)*100)</f>
        <v/>
      </c>
      <c r="V108">
        <f>AVERAGE((L108/E108)^2,(L108/H108)^2)</f>
        <v/>
      </c>
      <c r="W108">
        <f>IF(ABS(E108-汇总!B25)&lt;=ABS(H108-汇总!B25),E108,H108)</f>
        <v/>
      </c>
      <c r="X108">
        <f>(K108/W108)^2</f>
        <v/>
      </c>
      <c r="Y108">
        <f>IF(N108&gt;10,"HIGH_TVW_CV",IF(J108&lt;3,"SHORT_INTERFACE","PASS"))</f>
        <v/>
      </c>
      <c r="Z108" t="inlineStr">
        <is>
          <t>Di1、TVW均值、Di2均来自本Pair_ID；TVW=3–5法线平均</t>
        </is>
      </c>
      <c r="AA108" t="inlineStr">
        <is>
          <t>样品62</t>
        </is>
      </c>
    </row>
    <row r="109">
      <c r="A109" t="inlineStr">
        <is>
          <t>62(6)-P01</t>
        </is>
      </c>
      <c r="B109" t="inlineStr">
        <is>
          <t>62 (6).tif</t>
        </is>
      </c>
      <c r="C109" t="inlineStr">
        <is>
          <t>62(6)-V01</t>
        </is>
      </c>
      <c r="D109">
        <f>导管母表_860!F812</f>
        <v/>
      </c>
      <c r="E109">
        <f>导管母表_860!G812</f>
        <v/>
      </c>
      <c r="F109" t="inlineStr">
        <is>
          <t>62(6)-V02</t>
        </is>
      </c>
      <c r="G109">
        <f>导管母表_860!F813</f>
        <v/>
      </c>
      <c r="H109">
        <f>导管母表_860!G813</f>
        <v/>
      </c>
      <c r="I109" t="inlineStr">
        <is>
          <t>J214:J216</t>
        </is>
      </c>
      <c r="J109">
        <f>COUNT(TVW线测量明细!J214:J216)</f>
        <v/>
      </c>
      <c r="K109">
        <f>AVERAGE(TVW线测量明细!J214:J216)</f>
        <v/>
      </c>
      <c r="L109">
        <f>MEDIAN(TVW线测量明细!J214:J216)</f>
        <v/>
      </c>
      <c r="M109">
        <f>IF(J109&gt;1,STDEV(TVW线测量明细!J214:J216),0)</f>
        <v/>
      </c>
      <c r="N109">
        <f>IF(K109=0,"",M109/K109*100)</f>
        <v/>
      </c>
      <c r="O109" t="n">
        <v>2.608695652173913</v>
      </c>
      <c r="P109">
        <f>IF(O109=0,"",(K109/O109-1)*100)</f>
        <v/>
      </c>
      <c r="Q109">
        <f>(K109/E109)^2</f>
        <v/>
      </c>
      <c r="R109">
        <f>(K109/H109)^2</f>
        <v/>
      </c>
      <c r="S109">
        <f>AVERAGE(Q109,R109)</f>
        <v/>
      </c>
      <c r="T109">
        <f>AVERAGE((O109/E109)^2,(O109/H109)^2)</f>
        <v/>
      </c>
      <c r="U109">
        <f>IF(T109=0,"",(S109/T109-1)*100)</f>
        <v/>
      </c>
      <c r="V109">
        <f>AVERAGE((L109/E109)^2,(L109/H109)^2)</f>
        <v/>
      </c>
      <c r="W109">
        <f>IF(ABS(E109-汇总!B25)&lt;=ABS(H109-汇总!B25),E109,H109)</f>
        <v/>
      </c>
      <c r="X109">
        <f>(K109/W109)^2</f>
        <v/>
      </c>
      <c r="Y109">
        <f>IF(N109&gt;10,"HIGH_TVW_CV",IF(J109&lt;3,"SHORT_INTERFACE","PASS"))</f>
        <v/>
      </c>
      <c r="Z109" t="inlineStr">
        <is>
          <t>Di1、TVW均值、Di2均来自本Pair_ID；TVW=3–5法线平均</t>
        </is>
      </c>
      <c r="AA109" t="inlineStr">
        <is>
          <t>样品62</t>
        </is>
      </c>
    </row>
    <row r="110">
      <c r="A110" t="inlineStr">
        <is>
          <t>62(7)-P01</t>
        </is>
      </c>
      <c r="B110" t="inlineStr">
        <is>
          <t>62 (7).tif</t>
        </is>
      </c>
      <c r="C110" t="inlineStr">
        <is>
          <t>62(7)-V01</t>
        </is>
      </c>
      <c r="D110">
        <f>导管母表_860!F814</f>
        <v/>
      </c>
      <c r="E110">
        <f>导管母表_860!G814</f>
        <v/>
      </c>
      <c r="F110" t="inlineStr">
        <is>
          <t>62(7)-V02</t>
        </is>
      </c>
      <c r="G110">
        <f>导管母表_860!F815</f>
        <v/>
      </c>
      <c r="H110">
        <f>导管母表_860!G815</f>
        <v/>
      </c>
      <c r="I110" t="inlineStr">
        <is>
          <t>J217:J219</t>
        </is>
      </c>
      <c r="J110">
        <f>COUNT(TVW线测量明细!J217:J219)</f>
        <v/>
      </c>
      <c r="K110">
        <f>AVERAGE(TVW线测量明细!J217:J219)</f>
        <v/>
      </c>
      <c r="L110">
        <f>MEDIAN(TVW线测量明细!J217:J219)</f>
        <v/>
      </c>
      <c r="M110">
        <f>IF(J110&gt;1,STDEV(TVW线测量明细!J217:J219),0)</f>
        <v/>
      </c>
      <c r="N110">
        <f>IF(K110=0,"",M110/K110*100)</f>
        <v/>
      </c>
      <c r="O110" t="n">
        <v>3.318334244016032</v>
      </c>
      <c r="P110">
        <f>IF(O110=0,"",(K110/O110-1)*100)</f>
        <v/>
      </c>
      <c r="Q110">
        <f>(K110/E110)^2</f>
        <v/>
      </c>
      <c r="R110">
        <f>(K110/H110)^2</f>
        <v/>
      </c>
      <c r="S110">
        <f>AVERAGE(Q110,R110)</f>
        <v/>
      </c>
      <c r="T110">
        <f>AVERAGE((O110/E110)^2,(O110/H110)^2)</f>
        <v/>
      </c>
      <c r="U110">
        <f>IF(T110=0,"",(S110/T110-1)*100)</f>
        <v/>
      </c>
      <c r="V110">
        <f>AVERAGE((L110/E110)^2,(L110/H110)^2)</f>
        <v/>
      </c>
      <c r="W110">
        <f>IF(ABS(E110-汇总!B25)&lt;=ABS(H110-汇总!B25),E110,H110)</f>
        <v/>
      </c>
      <c r="X110">
        <f>(K110/W110)^2</f>
        <v/>
      </c>
      <c r="Y110">
        <f>IF(N110&gt;10,"HIGH_TVW_CV",IF(J110&lt;3,"SHORT_INTERFACE","PASS"))</f>
        <v/>
      </c>
      <c r="Z110" t="inlineStr">
        <is>
          <t>Di1、TVW均值、Di2均来自本Pair_ID；TVW=3–5法线平均</t>
        </is>
      </c>
      <c r="AA110" t="inlineStr">
        <is>
          <t>样品62</t>
        </is>
      </c>
    </row>
    <row r="111">
      <c r="A111" t="inlineStr">
        <is>
          <t>62(8)-P01</t>
        </is>
      </c>
      <c r="B111" t="inlineStr">
        <is>
          <t>62 (8).tif</t>
        </is>
      </c>
      <c r="C111" t="inlineStr">
        <is>
          <t>62(8)-V04</t>
        </is>
      </c>
      <c r="D111">
        <f>导管母表_860!F820</f>
        <v/>
      </c>
      <c r="E111">
        <f>导管母表_860!G820</f>
        <v/>
      </c>
      <c r="F111" t="inlineStr">
        <is>
          <t>62(8)-V05</t>
        </is>
      </c>
      <c r="G111">
        <f>导管母表_860!F821</f>
        <v/>
      </c>
      <c r="H111">
        <f>导管母表_860!G821</f>
        <v/>
      </c>
      <c r="I111" t="inlineStr">
        <is>
          <t>J220:J221</t>
        </is>
      </c>
      <c r="J111">
        <f>COUNT(TVW线测量明细!J220:J221)</f>
        <v/>
      </c>
      <c r="K111">
        <f>AVERAGE(TVW线测量明细!J220:J221)</f>
        <v/>
      </c>
      <c r="L111">
        <f>MEDIAN(TVW线测量明细!J220:J221)</f>
        <v/>
      </c>
      <c r="M111">
        <f>IF(J111&gt;1,STDEV(TVW线测量明细!J220:J221),0)</f>
        <v/>
      </c>
      <c r="N111">
        <f>IF(K111=0,"",M111/K111*100)</f>
        <v/>
      </c>
      <c r="O111" t="n">
        <v>5.307198093797262</v>
      </c>
      <c r="P111">
        <f>IF(O111=0,"",(K111/O111-1)*100)</f>
        <v/>
      </c>
      <c r="Q111">
        <f>(K111/E111)^2</f>
        <v/>
      </c>
      <c r="R111">
        <f>(K111/H111)^2</f>
        <v/>
      </c>
      <c r="S111">
        <f>AVERAGE(Q111,R111)</f>
        <v/>
      </c>
      <c r="T111">
        <f>AVERAGE((O111/E111)^2,(O111/H111)^2)</f>
        <v/>
      </c>
      <c r="U111">
        <f>IF(T111=0,"",(S111/T111-1)*100)</f>
        <v/>
      </c>
      <c r="V111">
        <f>AVERAGE((L111/E111)^2,(L111/H111)^2)</f>
        <v/>
      </c>
      <c r="W111">
        <f>IF(ABS(E111-汇总!B25)&lt;=ABS(H111-汇总!B25),E111,H111)</f>
        <v/>
      </c>
      <c r="X111">
        <f>(K111/W111)^2</f>
        <v/>
      </c>
      <c r="Y111">
        <f>IF(N111&gt;10,"HIGH_TVW_CV",IF(J111&lt;3,"SHORT_INTERFACE","PASS"))</f>
        <v/>
      </c>
      <c r="Z111" t="inlineStr">
        <is>
          <t>Di1、TVW均值、Di2均来自本Pair_ID；TVW=3–5法线平均</t>
        </is>
      </c>
      <c r="AA111" t="inlineStr">
        <is>
          <t>样品62</t>
        </is>
      </c>
    </row>
    <row r="112">
      <c r="A112" t="inlineStr">
        <is>
          <t>63(4)-P01</t>
        </is>
      </c>
      <c r="B112" t="inlineStr">
        <is>
          <t>63 (4).tif</t>
        </is>
      </c>
      <c r="C112" t="inlineStr">
        <is>
          <t>63(4)-V02</t>
        </is>
      </c>
      <c r="D112">
        <f>导管母表_860!F840</f>
        <v/>
      </c>
      <c r="E112">
        <f>导管母表_860!G840</f>
        <v/>
      </c>
      <c r="F112" t="inlineStr">
        <is>
          <t>63(4)-V08</t>
        </is>
      </c>
      <c r="G112">
        <f>导管母表_860!F846</f>
        <v/>
      </c>
      <c r="H112">
        <f>导管母表_860!G846</f>
        <v/>
      </c>
      <c r="I112" t="inlineStr">
        <is>
          <t>J222:J222</t>
        </is>
      </c>
      <c r="J112">
        <f>COUNT(TVW线测量明细!J222:J222)</f>
        <v/>
      </c>
      <c r="K112">
        <f>AVERAGE(TVW线测量明细!J222:J222)</f>
        <v/>
      </c>
      <c r="L112">
        <f>MEDIAN(TVW线测量明细!J222:J222)</f>
        <v/>
      </c>
      <c r="M112">
        <f>IF(J112&gt;1,STDEV(TVW线测量明细!J222:J222),0)</f>
        <v/>
      </c>
      <c r="N112">
        <f>IF(K112=0,"",M112/K112*100)</f>
        <v/>
      </c>
      <c r="O112" t="n">
        <v>0</v>
      </c>
      <c r="P112">
        <f>IF(O112=0,"",(K112/O112-1)*100)</f>
        <v/>
      </c>
      <c r="Q112">
        <f>(K112/E112)^2</f>
        <v/>
      </c>
      <c r="R112">
        <f>(K112/H112)^2</f>
        <v/>
      </c>
      <c r="S112">
        <f>AVERAGE(Q112,R112)</f>
        <v/>
      </c>
      <c r="T112">
        <f>AVERAGE((O112/E112)^2,(O112/H112)^2)</f>
        <v/>
      </c>
      <c r="U112">
        <f>IF(T112=0,"",(S112/T112-1)*100)</f>
        <v/>
      </c>
      <c r="V112">
        <f>AVERAGE((L112/E112)^2,(L112/H112)^2)</f>
        <v/>
      </c>
      <c r="W112">
        <f>IF(ABS(E112-汇总!B25)&lt;=ABS(H112-汇总!B25),E112,H112)</f>
        <v/>
      </c>
      <c r="X112">
        <f>(K112/W112)^2</f>
        <v/>
      </c>
      <c r="Y112">
        <f>IF(N112&gt;10,"HIGH_TVW_CV",IF(J112&lt;3,"SHORT_INTERFACE","PASS"))</f>
        <v/>
      </c>
      <c r="Z112" t="inlineStr">
        <is>
          <t>Di1、TVW均值、Di2均来自本Pair_ID；TVW=3–5法线平均</t>
        </is>
      </c>
      <c r="AA112" t="inlineStr">
        <is>
          <t>样品63</t>
        </is>
      </c>
    </row>
    <row r="113">
      <c r="A113" t="inlineStr">
        <is>
          <t>63(5)-P01</t>
        </is>
      </c>
      <c r="B113" t="inlineStr">
        <is>
          <t>63 (5).tif</t>
        </is>
      </c>
      <c r="C113" t="inlineStr">
        <is>
          <t>63(5)-V01</t>
        </is>
      </c>
      <c r="D113">
        <f>导管母表_860!F847</f>
        <v/>
      </c>
      <c r="E113">
        <f>导管母表_860!G847</f>
        <v/>
      </c>
      <c r="F113" t="inlineStr">
        <is>
          <t>63(5)-V02</t>
        </is>
      </c>
      <c r="G113">
        <f>导管母表_860!F848</f>
        <v/>
      </c>
      <c r="H113">
        <f>导管母表_860!G848</f>
        <v/>
      </c>
      <c r="I113" t="inlineStr">
        <is>
          <t>J223:J224</t>
        </is>
      </c>
      <c r="J113">
        <f>COUNT(TVW线测量明细!J223:J224)</f>
        <v/>
      </c>
      <c r="K113">
        <f>AVERAGE(TVW线测量明细!J223:J224)</f>
        <v/>
      </c>
      <c r="L113">
        <f>MEDIAN(TVW线测量明细!J223:J224)</f>
        <v/>
      </c>
      <c r="M113">
        <f>IF(J113&gt;1,STDEV(TVW线测量明细!J223:J224),0)</f>
        <v/>
      </c>
      <c r="N113">
        <f>IF(K113=0,"",M113/K113*100)</f>
        <v/>
      </c>
      <c r="O113" t="n">
        <v>4.008497590127342</v>
      </c>
      <c r="P113">
        <f>IF(O113=0,"",(K113/O113-1)*100)</f>
        <v/>
      </c>
      <c r="Q113">
        <f>(K113/E113)^2</f>
        <v/>
      </c>
      <c r="R113">
        <f>(K113/H113)^2</f>
        <v/>
      </c>
      <c r="S113">
        <f>AVERAGE(Q113,R113)</f>
        <v/>
      </c>
      <c r="T113">
        <f>AVERAGE((O113/E113)^2,(O113/H113)^2)</f>
        <v/>
      </c>
      <c r="U113">
        <f>IF(T113=0,"",(S113/T113-1)*100)</f>
        <v/>
      </c>
      <c r="V113">
        <f>AVERAGE((L113/E113)^2,(L113/H113)^2)</f>
        <v/>
      </c>
      <c r="W113">
        <f>IF(ABS(E113-汇总!B25)&lt;=ABS(H113-汇总!B25),E113,H113)</f>
        <v/>
      </c>
      <c r="X113">
        <f>(K113/W113)^2</f>
        <v/>
      </c>
      <c r="Y113">
        <f>IF(N113&gt;10,"HIGH_TVW_CV",IF(J113&lt;3,"SHORT_INTERFACE","PASS"))</f>
        <v/>
      </c>
      <c r="Z113" t="inlineStr">
        <is>
          <t>Di1、TVW均值、Di2均来自本Pair_ID；TVW=3–5法线平均</t>
        </is>
      </c>
      <c r="AA113" t="inlineStr">
        <is>
          <t>样品63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图像文件</t>
        </is>
      </c>
      <c r="C1" t="inlineStr">
        <is>
          <t>Line_ID</t>
        </is>
      </c>
      <c r="D1" t="inlineStr">
        <is>
          <t>起点X (px)</t>
        </is>
      </c>
      <c r="E1" t="inlineStr">
        <is>
          <t>起点Y (px)</t>
        </is>
      </c>
      <c r="F1" t="inlineStr">
        <is>
          <t>终点X (px)</t>
        </is>
      </c>
      <c r="G1" t="inlineStr">
        <is>
          <t>终点Y (px)</t>
        </is>
      </c>
      <c r="H1" t="inlineStr">
        <is>
          <t>长度 (px)</t>
        </is>
      </c>
      <c r="I1" t="inlineStr">
        <is>
          <t>标定 (μm/px)</t>
        </is>
      </c>
      <c r="J1" t="inlineStr">
        <is>
          <t>TVW (μm)</t>
        </is>
      </c>
      <c r="K1" t="inlineStr">
        <is>
          <t>与导管1局部法线偏差 (°)</t>
        </is>
      </c>
      <c r="L1" t="inlineStr">
        <is>
          <t>与导管2局部法线偏差 (°)</t>
        </is>
      </c>
      <c r="M1" t="inlineStr">
        <is>
          <t>最大法线偏差 (°)</t>
        </is>
      </c>
      <c r="N1" t="inlineStr">
        <is>
          <t>共同壁位置分位</t>
        </is>
      </c>
      <c r="O1" t="inlineStr">
        <is>
          <t>纳入</t>
        </is>
      </c>
      <c r="P1" t="inlineStr">
        <is>
          <t>线级质控</t>
        </is>
      </c>
      <c r="Q1" t="inlineStr">
        <is>
          <t>样品</t>
        </is>
      </c>
    </row>
    <row r="2">
      <c r="A2" t="inlineStr">
        <is>
          <t>41(1)-P01</t>
        </is>
      </c>
      <c r="B2" t="inlineStr">
        <is>
          <t>41 (1).tif</t>
        </is>
      </c>
      <c r="C2" t="inlineStr">
        <is>
          <t>L1</t>
        </is>
      </c>
      <c r="D2" t="n">
        <v>524</v>
      </c>
      <c r="E2" t="n">
        <v>352</v>
      </c>
      <c r="F2" t="n">
        <v>536</v>
      </c>
      <c r="G2" t="n">
        <v>360</v>
      </c>
      <c r="H2">
        <f>SQRT((F2-D2)^2+(G2-E2)^2)</f>
        <v/>
      </c>
      <c r="I2" t="n">
        <v>0.2173913043478261</v>
      </c>
      <c r="J2">
        <f>H2*I2</f>
        <v/>
      </c>
      <c r="M2">
        <f>IF(OR(K2="",L2=""),"",MAX(K2,L2))</f>
        <v/>
      </c>
      <c r="N2" t="n">
        <v>0.5</v>
      </c>
      <c r="O2" t="inlineStr">
        <is>
          <t>是</t>
        </is>
      </c>
      <c r="P2">
        <f>IF(OR(M2="",M2&lt;=18),"PASS","ANGLE_ALERT")</f>
        <v/>
      </c>
      <c r="Q2" t="inlineStr">
        <is>
          <t>样品41</t>
        </is>
      </c>
    </row>
    <row r="3">
      <c r="A3" t="inlineStr">
        <is>
          <t>41(1)-P01</t>
        </is>
      </c>
      <c r="B3" t="inlineStr">
        <is>
          <t>41 (1).tif</t>
        </is>
      </c>
      <c r="C3" t="inlineStr">
        <is>
          <t>L2</t>
        </is>
      </c>
      <c r="D3" t="n">
        <v>523</v>
      </c>
      <c r="E3" t="n">
        <v>361</v>
      </c>
      <c r="F3" t="n">
        <v>534</v>
      </c>
      <c r="G3" t="n">
        <v>364</v>
      </c>
      <c r="H3">
        <f>SQRT((F3-D3)^2+(G3-E3)^2)</f>
        <v/>
      </c>
      <c r="I3" t="n">
        <v>0.2173913043478261</v>
      </c>
      <c r="J3">
        <f>H3*I3</f>
        <v/>
      </c>
      <c r="M3">
        <f>IF(OR(K3="",L3=""),"",MAX(K3,L3))</f>
        <v/>
      </c>
      <c r="N3" t="n">
        <v>0.5</v>
      </c>
      <c r="O3" t="inlineStr">
        <is>
          <t>是</t>
        </is>
      </c>
      <c r="P3">
        <f>IF(OR(M3="",M3&lt;=18),"PASS","ANGLE_ALERT")</f>
        <v/>
      </c>
      <c r="Q3" t="inlineStr">
        <is>
          <t>样品41</t>
        </is>
      </c>
    </row>
    <row r="4">
      <c r="A4" t="inlineStr">
        <is>
          <t>41(1)-P01</t>
        </is>
      </c>
      <c r="B4" t="inlineStr">
        <is>
          <t>41 (1).tif</t>
        </is>
      </c>
      <c r="C4" t="inlineStr">
        <is>
          <t>L3</t>
        </is>
      </c>
      <c r="D4" t="n">
        <v>518</v>
      </c>
      <c r="E4" t="n">
        <v>377</v>
      </c>
      <c r="F4" t="n">
        <v>529</v>
      </c>
      <c r="G4" t="n">
        <v>381</v>
      </c>
      <c r="H4">
        <f>SQRT((F4-D4)^2+(G4-E4)^2)</f>
        <v/>
      </c>
      <c r="I4" t="n">
        <v>0.2173913043478261</v>
      </c>
      <c r="J4">
        <f>H4*I4</f>
        <v/>
      </c>
      <c r="M4">
        <f>IF(OR(K4="",L4=""),"",MAX(K4,L4))</f>
        <v/>
      </c>
      <c r="N4" t="n">
        <v>0.5</v>
      </c>
      <c r="O4" t="inlineStr">
        <is>
          <t>是</t>
        </is>
      </c>
      <c r="P4">
        <f>IF(OR(M4="",M4&lt;=18),"PASS","ANGLE_ALERT")</f>
        <v/>
      </c>
      <c r="Q4" t="inlineStr">
        <is>
          <t>样品41</t>
        </is>
      </c>
    </row>
    <row r="5">
      <c r="A5" t="inlineStr">
        <is>
          <t>41(4)-P01</t>
        </is>
      </c>
      <c r="B5" t="inlineStr">
        <is>
          <t>41 (4).tif</t>
        </is>
      </c>
      <c r="C5" t="inlineStr">
        <is>
          <t>L1</t>
        </is>
      </c>
      <c r="D5" t="n">
        <v>530</v>
      </c>
      <c r="E5" t="n">
        <v>350</v>
      </c>
      <c r="F5" t="n">
        <v>565</v>
      </c>
      <c r="G5" t="n">
        <v>344</v>
      </c>
      <c r="H5">
        <f>SQRT((F5-D5)^2+(G5-E5)^2)</f>
        <v/>
      </c>
      <c r="I5" t="n">
        <v>0.2173913043478261</v>
      </c>
      <c r="J5">
        <f>H5*I5</f>
        <v/>
      </c>
      <c r="M5">
        <f>IF(OR(K5="",L5=""),"",MAX(K5,L5))</f>
        <v/>
      </c>
      <c r="N5" t="n">
        <v>0.5</v>
      </c>
      <c r="O5" t="inlineStr">
        <is>
          <t>是</t>
        </is>
      </c>
      <c r="P5">
        <f>IF(OR(M5="",M5&lt;=18),"PASS","ANGLE_ALERT")</f>
        <v/>
      </c>
      <c r="Q5" t="inlineStr">
        <is>
          <t>样品41</t>
        </is>
      </c>
    </row>
    <row r="6">
      <c r="A6" t="inlineStr">
        <is>
          <t>41(5)-P01</t>
        </is>
      </c>
      <c r="B6" t="inlineStr">
        <is>
          <t>41 (5).tif</t>
        </is>
      </c>
      <c r="C6" t="inlineStr">
        <is>
          <t>L1</t>
        </is>
      </c>
      <c r="D6" t="n">
        <v>511</v>
      </c>
      <c r="E6" t="n">
        <v>391</v>
      </c>
      <c r="F6" t="n">
        <v>500</v>
      </c>
      <c r="G6" t="n">
        <v>389</v>
      </c>
      <c r="H6">
        <f>SQRT((F6-D6)^2+(G6-E6)^2)</f>
        <v/>
      </c>
      <c r="I6" t="n">
        <v>0.2173913043478261</v>
      </c>
      <c r="J6">
        <f>H6*I6</f>
        <v/>
      </c>
      <c r="M6">
        <f>IF(OR(K6="",L6=""),"",MAX(K6,L6))</f>
        <v/>
      </c>
      <c r="N6" t="n">
        <v>0.5</v>
      </c>
      <c r="O6" t="inlineStr">
        <is>
          <t>是</t>
        </is>
      </c>
      <c r="P6">
        <f>IF(OR(M6="",M6&lt;=18),"PASS","ANGLE_ALERT")</f>
        <v/>
      </c>
      <c r="Q6" t="inlineStr">
        <is>
          <t>样品41</t>
        </is>
      </c>
    </row>
    <row r="7">
      <c r="A7" t="inlineStr">
        <is>
          <t>41(5)-P01</t>
        </is>
      </c>
      <c r="B7" t="inlineStr">
        <is>
          <t>41 (5).tif</t>
        </is>
      </c>
      <c r="C7" t="inlineStr">
        <is>
          <t>L2</t>
        </is>
      </c>
      <c r="D7" t="n">
        <v>515</v>
      </c>
      <c r="E7" t="n">
        <v>364</v>
      </c>
      <c r="F7" t="n">
        <v>508</v>
      </c>
      <c r="G7" t="n">
        <v>364</v>
      </c>
      <c r="H7">
        <f>SQRT((F7-D7)^2+(G7-E7)^2)</f>
        <v/>
      </c>
      <c r="I7" t="n">
        <v>0.2173913043478261</v>
      </c>
      <c r="J7">
        <f>H7*I7</f>
        <v/>
      </c>
      <c r="M7">
        <f>IF(OR(K7="",L7=""),"",MAX(K7,L7))</f>
        <v/>
      </c>
      <c r="N7" t="n">
        <v>0.5</v>
      </c>
      <c r="O7" t="inlineStr">
        <is>
          <t>是</t>
        </is>
      </c>
      <c r="P7">
        <f>IF(OR(M7="",M7&lt;=18),"PASS","ANGLE_ALERT")</f>
        <v/>
      </c>
      <c r="Q7" t="inlineStr">
        <is>
          <t>样品41</t>
        </is>
      </c>
    </row>
    <row r="8">
      <c r="A8" t="inlineStr">
        <is>
          <t>41(7)-P01</t>
        </is>
      </c>
      <c r="B8" t="inlineStr">
        <is>
          <t>41 (7).tif</t>
        </is>
      </c>
      <c r="C8" t="inlineStr">
        <is>
          <t>L1</t>
        </is>
      </c>
      <c r="D8" t="n">
        <v>454</v>
      </c>
      <c r="E8" t="n">
        <v>420</v>
      </c>
      <c r="F8" t="n">
        <v>454</v>
      </c>
      <c r="G8" t="n">
        <v>420</v>
      </c>
      <c r="H8">
        <f>SQRT((F8-D8)^2+(G8-E8)^2)</f>
        <v/>
      </c>
      <c r="I8" t="n">
        <v>0.2173913043478261</v>
      </c>
      <c r="J8">
        <f>H8*I8</f>
        <v/>
      </c>
      <c r="M8">
        <f>IF(OR(K8="",L8=""),"",MAX(K8,L8))</f>
        <v/>
      </c>
      <c r="N8" t="n">
        <v>0.5</v>
      </c>
      <c r="O8" t="inlineStr">
        <is>
          <t>是</t>
        </is>
      </c>
      <c r="P8">
        <f>IF(OR(M8="",M8&lt;=18),"PASS","ANGLE_ALERT")</f>
        <v/>
      </c>
      <c r="Q8" t="inlineStr">
        <is>
          <t>样品41</t>
        </is>
      </c>
    </row>
    <row r="9">
      <c r="A9" t="inlineStr">
        <is>
          <t>42(1)-P01</t>
        </is>
      </c>
      <c r="B9" t="inlineStr">
        <is>
          <t>42 (1).tif</t>
        </is>
      </c>
      <c r="C9" t="inlineStr">
        <is>
          <t>L1</t>
        </is>
      </c>
      <c r="D9" t="n">
        <v>544</v>
      </c>
      <c r="E9" t="n">
        <v>342</v>
      </c>
      <c r="F9" t="n">
        <v>522</v>
      </c>
      <c r="G9" t="n">
        <v>321</v>
      </c>
      <c r="H9">
        <f>SQRT((F9-D9)^2+(G9-E9)^2)</f>
        <v/>
      </c>
      <c r="I9" t="n">
        <v>0.2173913043478261</v>
      </c>
      <c r="J9">
        <f>H9*I9</f>
        <v/>
      </c>
      <c r="M9">
        <f>IF(OR(K9="",L9=""),"",MAX(K9,L9))</f>
        <v/>
      </c>
      <c r="N9" t="n">
        <v>0.5</v>
      </c>
      <c r="O9" t="inlineStr">
        <is>
          <t>是</t>
        </is>
      </c>
      <c r="P9">
        <f>IF(OR(M9="",M9&lt;=18),"PASS","ANGLE_ALERT")</f>
        <v/>
      </c>
      <c r="Q9" t="inlineStr">
        <is>
          <t>样品42</t>
        </is>
      </c>
    </row>
    <row r="10">
      <c r="A10" t="inlineStr">
        <is>
          <t>42(1)-P01</t>
        </is>
      </c>
      <c r="B10" t="inlineStr">
        <is>
          <t>42 (1).tif</t>
        </is>
      </c>
      <c r="C10" t="inlineStr">
        <is>
          <t>L2</t>
        </is>
      </c>
      <c r="D10" t="n">
        <v>560</v>
      </c>
      <c r="E10" t="n">
        <v>324</v>
      </c>
      <c r="F10" t="n">
        <v>538</v>
      </c>
      <c r="G10" t="n">
        <v>301</v>
      </c>
      <c r="H10">
        <f>SQRT((F10-D10)^2+(G10-E10)^2)</f>
        <v/>
      </c>
      <c r="I10" t="n">
        <v>0.2173913043478261</v>
      </c>
      <c r="J10">
        <f>H10*I10</f>
        <v/>
      </c>
      <c r="M10">
        <f>IF(OR(K10="",L10=""),"",MAX(K10,L10))</f>
        <v/>
      </c>
      <c r="N10" t="n">
        <v>0.5</v>
      </c>
      <c r="O10" t="inlineStr">
        <is>
          <t>是</t>
        </is>
      </c>
      <c r="P10">
        <f>IF(OR(M10="",M10&lt;=18),"PASS","ANGLE_ALERT")</f>
        <v/>
      </c>
      <c r="Q10" t="inlineStr">
        <is>
          <t>样品42</t>
        </is>
      </c>
    </row>
    <row r="11">
      <c r="A11" t="inlineStr">
        <is>
          <t>42(1)-P01</t>
        </is>
      </c>
      <c r="B11" t="inlineStr">
        <is>
          <t>42 (1).tif</t>
        </is>
      </c>
      <c r="C11" t="inlineStr">
        <is>
          <t>L3</t>
        </is>
      </c>
      <c r="D11" t="n">
        <v>551</v>
      </c>
      <c r="E11" t="n">
        <v>332</v>
      </c>
      <c r="F11" t="n">
        <v>528</v>
      </c>
      <c r="G11" t="n">
        <v>315</v>
      </c>
      <c r="H11">
        <f>SQRT((F11-D11)^2+(G11-E11)^2)</f>
        <v/>
      </c>
      <c r="I11" t="n">
        <v>0.2173913043478261</v>
      </c>
      <c r="J11">
        <f>H11*I11</f>
        <v/>
      </c>
      <c r="M11">
        <f>IF(OR(K11="",L11=""),"",MAX(K11,L11))</f>
        <v/>
      </c>
      <c r="N11" t="n">
        <v>0.5</v>
      </c>
      <c r="O11" t="inlineStr">
        <is>
          <t>是</t>
        </is>
      </c>
      <c r="P11">
        <f>IF(OR(M11="",M11&lt;=18),"PASS","ANGLE_ALERT")</f>
        <v/>
      </c>
      <c r="Q11" t="inlineStr">
        <is>
          <t>样品42</t>
        </is>
      </c>
    </row>
    <row r="12">
      <c r="A12" t="inlineStr">
        <is>
          <t>42(2)-P01</t>
        </is>
      </c>
      <c r="B12" t="inlineStr">
        <is>
          <t>42 (2).tif</t>
        </is>
      </c>
      <c r="C12" t="inlineStr">
        <is>
          <t>L1</t>
        </is>
      </c>
      <c r="D12" t="n">
        <v>257</v>
      </c>
      <c r="E12" t="n">
        <v>496</v>
      </c>
      <c r="F12" t="n">
        <v>245</v>
      </c>
      <c r="G12" t="n">
        <v>522</v>
      </c>
      <c r="H12">
        <f>SQRT((F12-D12)^2+(G12-E12)^2)</f>
        <v/>
      </c>
      <c r="I12" t="n">
        <v>0.2173913043478261</v>
      </c>
      <c r="J12">
        <f>H12*I12</f>
        <v/>
      </c>
      <c r="M12">
        <f>IF(OR(K12="",L12=""),"",MAX(K12,L12))</f>
        <v/>
      </c>
      <c r="N12" t="n">
        <v>0.5</v>
      </c>
      <c r="O12" t="inlineStr">
        <is>
          <t>是</t>
        </is>
      </c>
      <c r="P12">
        <f>IF(OR(M12="",M12&lt;=18),"PASS","ANGLE_ALERT")</f>
        <v/>
      </c>
      <c r="Q12" t="inlineStr">
        <is>
          <t>样品42</t>
        </is>
      </c>
    </row>
    <row r="13">
      <c r="A13" t="inlineStr">
        <is>
          <t>42(2)-P01</t>
        </is>
      </c>
      <c r="B13" t="inlineStr">
        <is>
          <t>42 (2).tif</t>
        </is>
      </c>
      <c r="C13" t="inlineStr">
        <is>
          <t>L2</t>
        </is>
      </c>
      <c r="D13" t="n">
        <v>267</v>
      </c>
      <c r="E13" t="n">
        <v>512</v>
      </c>
      <c r="F13" t="n">
        <v>252</v>
      </c>
      <c r="G13" t="n">
        <v>528</v>
      </c>
      <c r="H13">
        <f>SQRT((F13-D13)^2+(G13-E13)^2)</f>
        <v/>
      </c>
      <c r="I13" t="n">
        <v>0.2173913043478261</v>
      </c>
      <c r="J13">
        <f>H13*I13</f>
        <v/>
      </c>
      <c r="M13">
        <f>IF(OR(K13="",L13=""),"",MAX(K13,L13))</f>
        <v/>
      </c>
      <c r="N13" t="n">
        <v>0.5</v>
      </c>
      <c r="O13" t="inlineStr">
        <is>
          <t>是</t>
        </is>
      </c>
      <c r="P13">
        <f>IF(OR(M13="",M13&lt;=18),"PASS","ANGLE_ALERT")</f>
        <v/>
      </c>
      <c r="Q13" t="inlineStr">
        <is>
          <t>样品42</t>
        </is>
      </c>
    </row>
    <row r="14">
      <c r="A14" t="inlineStr">
        <is>
          <t>42(3)-P01</t>
        </is>
      </c>
      <c r="B14" t="inlineStr">
        <is>
          <t>42 (3).tif</t>
        </is>
      </c>
      <c r="C14" t="inlineStr">
        <is>
          <t>L1</t>
        </is>
      </c>
      <c r="D14" t="n">
        <v>493</v>
      </c>
      <c r="E14" t="n">
        <v>376</v>
      </c>
      <c r="F14" t="n">
        <v>481</v>
      </c>
      <c r="G14" t="n">
        <v>392</v>
      </c>
      <c r="H14">
        <f>SQRT((F14-D14)^2+(G14-E14)^2)</f>
        <v/>
      </c>
      <c r="I14" t="n">
        <v>0.2173913043478261</v>
      </c>
      <c r="J14">
        <f>H14*I14</f>
        <v/>
      </c>
      <c r="M14">
        <f>IF(OR(K14="",L14=""),"",MAX(K14,L14))</f>
        <v/>
      </c>
      <c r="N14" t="n">
        <v>0.5</v>
      </c>
      <c r="O14" t="inlineStr">
        <is>
          <t>是</t>
        </is>
      </c>
      <c r="P14">
        <f>IF(OR(M14="",M14&lt;=18),"PASS","ANGLE_ALERT")</f>
        <v/>
      </c>
      <c r="Q14" t="inlineStr">
        <is>
          <t>样品42</t>
        </is>
      </c>
    </row>
    <row r="15">
      <c r="A15" t="inlineStr">
        <is>
          <t>42(3)-P01</t>
        </is>
      </c>
      <c r="B15" t="inlineStr">
        <is>
          <t>42 (3).tif</t>
        </is>
      </c>
      <c r="C15" t="inlineStr">
        <is>
          <t>L2</t>
        </is>
      </c>
      <c r="D15" t="n">
        <v>486</v>
      </c>
      <c r="E15" t="n">
        <v>368</v>
      </c>
      <c r="F15" t="n">
        <v>472</v>
      </c>
      <c r="G15" t="n">
        <v>387</v>
      </c>
      <c r="H15">
        <f>SQRT((F15-D15)^2+(G15-E15)^2)</f>
        <v/>
      </c>
      <c r="I15" t="n">
        <v>0.2173913043478261</v>
      </c>
      <c r="J15">
        <f>H15*I15</f>
        <v/>
      </c>
      <c r="M15">
        <f>IF(OR(K15="",L15=""),"",MAX(K15,L15))</f>
        <v/>
      </c>
      <c r="N15" t="n">
        <v>0.5</v>
      </c>
      <c r="O15" t="inlineStr">
        <is>
          <t>是</t>
        </is>
      </c>
      <c r="P15">
        <f>IF(OR(M15="",M15&lt;=18),"PASS","ANGLE_ALERT")</f>
        <v/>
      </c>
      <c r="Q15" t="inlineStr">
        <is>
          <t>样品42</t>
        </is>
      </c>
    </row>
    <row r="16">
      <c r="A16" t="inlineStr">
        <is>
          <t>42(5)-P01</t>
        </is>
      </c>
      <c r="B16" t="inlineStr">
        <is>
          <t>42 (5).tif</t>
        </is>
      </c>
      <c r="C16" t="inlineStr">
        <is>
          <t>L1</t>
        </is>
      </c>
      <c r="D16" t="n">
        <v>488</v>
      </c>
      <c r="E16" t="n">
        <v>378</v>
      </c>
      <c r="F16" t="n">
        <v>493</v>
      </c>
      <c r="G16" t="n">
        <v>368</v>
      </c>
      <c r="H16">
        <f>SQRT((F16-D16)^2+(G16-E16)^2)</f>
        <v/>
      </c>
      <c r="I16" t="n">
        <v>0.2173913043478261</v>
      </c>
      <c r="J16">
        <f>H16*I16</f>
        <v/>
      </c>
      <c r="M16">
        <f>IF(OR(K16="",L16=""),"",MAX(K16,L16))</f>
        <v/>
      </c>
      <c r="N16" t="n">
        <v>0.5</v>
      </c>
      <c r="O16" t="inlineStr">
        <is>
          <t>是</t>
        </is>
      </c>
      <c r="P16">
        <f>IF(OR(M16="",M16&lt;=18),"PASS","ANGLE_ALERT")</f>
        <v/>
      </c>
      <c r="Q16" t="inlineStr">
        <is>
          <t>样品42</t>
        </is>
      </c>
    </row>
    <row r="17">
      <c r="A17" t="inlineStr">
        <is>
          <t>42(5)-P01</t>
        </is>
      </c>
      <c r="B17" t="inlineStr">
        <is>
          <t>42 (5).tif</t>
        </is>
      </c>
      <c r="C17" t="inlineStr">
        <is>
          <t>L2</t>
        </is>
      </c>
      <c r="D17" t="n">
        <v>472</v>
      </c>
      <c r="E17" t="n">
        <v>374</v>
      </c>
      <c r="F17" t="n">
        <v>456</v>
      </c>
      <c r="G17" t="n">
        <v>340</v>
      </c>
      <c r="H17">
        <f>SQRT((F17-D17)^2+(G17-E17)^2)</f>
        <v/>
      </c>
      <c r="I17" t="n">
        <v>0.2173913043478261</v>
      </c>
      <c r="J17">
        <f>H17*I17</f>
        <v/>
      </c>
      <c r="M17">
        <f>IF(OR(K17="",L17=""),"",MAX(K17,L17))</f>
        <v/>
      </c>
      <c r="N17" t="n">
        <v>0.5</v>
      </c>
      <c r="O17" t="inlineStr">
        <is>
          <t>是</t>
        </is>
      </c>
      <c r="P17">
        <f>IF(OR(M17="",M17&lt;=18),"PASS","ANGLE_ALERT")</f>
        <v/>
      </c>
      <c r="Q17" t="inlineStr">
        <is>
          <t>样品42</t>
        </is>
      </c>
    </row>
    <row r="18">
      <c r="A18" t="inlineStr">
        <is>
          <t>42(6)-P01</t>
        </is>
      </c>
      <c r="B18" t="inlineStr">
        <is>
          <t>42 (6).tif</t>
        </is>
      </c>
      <c r="C18" t="inlineStr">
        <is>
          <t>L1</t>
        </is>
      </c>
      <c r="D18" t="n">
        <v>474</v>
      </c>
      <c r="E18" t="n">
        <v>381</v>
      </c>
      <c r="F18" t="n">
        <v>478</v>
      </c>
      <c r="G18" t="n">
        <v>369</v>
      </c>
      <c r="H18">
        <f>SQRT((F18-D18)^2+(G18-E18)^2)</f>
        <v/>
      </c>
      <c r="I18" t="n">
        <v>0.2173913043478261</v>
      </c>
      <c r="J18">
        <f>H18*I18</f>
        <v/>
      </c>
      <c r="M18">
        <f>IF(OR(K18="",L18=""),"",MAX(K18,L18))</f>
        <v/>
      </c>
      <c r="N18" t="n">
        <v>0.5</v>
      </c>
      <c r="O18" t="inlineStr">
        <is>
          <t>是</t>
        </is>
      </c>
      <c r="P18">
        <f>IF(OR(M18="",M18&lt;=18),"PASS","ANGLE_ALERT")</f>
        <v/>
      </c>
      <c r="Q18" t="inlineStr">
        <is>
          <t>样品42</t>
        </is>
      </c>
    </row>
    <row r="19">
      <c r="A19" t="inlineStr">
        <is>
          <t>42(6)-P01</t>
        </is>
      </c>
      <c r="B19" t="inlineStr">
        <is>
          <t>42 (6).tif</t>
        </is>
      </c>
      <c r="C19" t="inlineStr">
        <is>
          <t>L2</t>
        </is>
      </c>
      <c r="D19" t="n">
        <v>468</v>
      </c>
      <c r="E19" t="n">
        <v>379</v>
      </c>
      <c r="F19" t="n">
        <v>462</v>
      </c>
      <c r="G19" t="n">
        <v>356</v>
      </c>
      <c r="H19">
        <f>SQRT((F19-D19)^2+(G19-E19)^2)</f>
        <v/>
      </c>
      <c r="I19" t="n">
        <v>0.2173913043478261</v>
      </c>
      <c r="J19">
        <f>H19*I19</f>
        <v/>
      </c>
      <c r="M19">
        <f>IF(OR(K19="",L19=""),"",MAX(K19,L19))</f>
        <v/>
      </c>
      <c r="N19" t="n">
        <v>0.5</v>
      </c>
      <c r="O19" t="inlineStr">
        <is>
          <t>是</t>
        </is>
      </c>
      <c r="P19">
        <f>IF(OR(M19="",M19&lt;=18),"PASS","ANGLE_ALERT")</f>
        <v/>
      </c>
      <c r="Q19" t="inlineStr">
        <is>
          <t>样品42</t>
        </is>
      </c>
    </row>
    <row r="20">
      <c r="A20" t="inlineStr">
        <is>
          <t>42(7)-P01</t>
        </is>
      </c>
      <c r="B20" t="inlineStr">
        <is>
          <t>42 (7).tif</t>
        </is>
      </c>
      <c r="C20" t="inlineStr">
        <is>
          <t>L1</t>
        </is>
      </c>
      <c r="D20" t="n">
        <v>801</v>
      </c>
      <c r="E20" t="n">
        <v>412</v>
      </c>
      <c r="F20" t="n">
        <v>820</v>
      </c>
      <c r="G20" t="n">
        <v>420</v>
      </c>
      <c r="H20">
        <f>SQRT((F20-D20)^2+(G20-E20)^2)</f>
        <v/>
      </c>
      <c r="I20" t="n">
        <v>0.2173913043478261</v>
      </c>
      <c r="J20">
        <f>H20*I20</f>
        <v/>
      </c>
      <c r="M20">
        <f>IF(OR(K20="",L20=""),"",MAX(K20,L20))</f>
        <v/>
      </c>
      <c r="N20" t="n">
        <v>0.5</v>
      </c>
      <c r="O20" t="inlineStr">
        <is>
          <t>是</t>
        </is>
      </c>
      <c r="P20">
        <f>IF(OR(M20="",M20&lt;=18),"PASS","ANGLE_ALERT")</f>
        <v/>
      </c>
      <c r="Q20" t="inlineStr">
        <is>
          <t>样品42</t>
        </is>
      </c>
    </row>
    <row r="21">
      <c r="A21" t="inlineStr">
        <is>
          <t>42(8)-P01</t>
        </is>
      </c>
      <c r="B21" t="inlineStr">
        <is>
          <t>42 (8).tif</t>
        </is>
      </c>
      <c r="C21" t="inlineStr">
        <is>
          <t>L1</t>
        </is>
      </c>
      <c r="D21" t="n">
        <v>458</v>
      </c>
      <c r="E21" t="n">
        <v>84</v>
      </c>
      <c r="F21" t="n">
        <v>446</v>
      </c>
      <c r="G21" t="n">
        <v>82</v>
      </c>
      <c r="H21">
        <f>SQRT((F21-D21)^2+(G21-E21)^2)</f>
        <v/>
      </c>
      <c r="I21" t="n">
        <v>0.2173913043478261</v>
      </c>
      <c r="J21">
        <f>H21*I21</f>
        <v/>
      </c>
      <c r="M21">
        <f>IF(OR(K21="",L21=""),"",MAX(K21,L21))</f>
        <v/>
      </c>
      <c r="N21" t="n">
        <v>0.5</v>
      </c>
      <c r="O21" t="inlineStr">
        <is>
          <t>是</t>
        </is>
      </c>
      <c r="P21">
        <f>IF(OR(M21="",M21&lt;=18),"PASS","ANGLE_ALERT")</f>
        <v/>
      </c>
      <c r="Q21" t="inlineStr">
        <is>
          <t>样品42</t>
        </is>
      </c>
    </row>
    <row r="22">
      <c r="A22" t="inlineStr">
        <is>
          <t>43(3)-P01</t>
        </is>
      </c>
      <c r="B22" t="inlineStr">
        <is>
          <t>43 (3).tif</t>
        </is>
      </c>
      <c r="C22" t="inlineStr">
        <is>
          <t>L1</t>
        </is>
      </c>
      <c r="D22" t="n">
        <v>486</v>
      </c>
      <c r="E22" t="n">
        <v>344</v>
      </c>
      <c r="F22" t="n">
        <v>492</v>
      </c>
      <c r="G22" t="n">
        <v>368</v>
      </c>
      <c r="H22">
        <f>SQRT((F22-D22)^2+(G22-E22)^2)</f>
        <v/>
      </c>
      <c r="I22" t="n">
        <v>0.2173913043478261</v>
      </c>
      <c r="J22">
        <f>H22*I22</f>
        <v/>
      </c>
      <c r="M22">
        <f>IF(OR(K22="",L22=""),"",MAX(K22,L22))</f>
        <v/>
      </c>
      <c r="N22" t="n">
        <v>0.5</v>
      </c>
      <c r="O22" t="inlineStr">
        <is>
          <t>是</t>
        </is>
      </c>
      <c r="P22">
        <f>IF(OR(M22="",M22&lt;=18),"PASS","ANGLE_ALERT")</f>
        <v/>
      </c>
      <c r="Q22" t="inlineStr">
        <is>
          <t>样品43</t>
        </is>
      </c>
    </row>
    <row r="23">
      <c r="A23" t="inlineStr">
        <is>
          <t>43(4)-P01</t>
        </is>
      </c>
      <c r="B23" t="inlineStr">
        <is>
          <t>43 (4).tif</t>
        </is>
      </c>
      <c r="C23" t="inlineStr">
        <is>
          <t>L1</t>
        </is>
      </c>
      <c r="D23" t="n">
        <v>546</v>
      </c>
      <c r="E23" t="n">
        <v>359</v>
      </c>
      <c r="F23" t="n">
        <v>515</v>
      </c>
      <c r="G23" t="n">
        <v>354</v>
      </c>
      <c r="H23">
        <f>SQRT((F23-D23)^2+(G23-E23)^2)</f>
        <v/>
      </c>
      <c r="I23" t="n">
        <v>0.2173913043478261</v>
      </c>
      <c r="J23">
        <f>H23*I23</f>
        <v/>
      </c>
      <c r="M23">
        <f>IF(OR(K23="",L23=""),"",MAX(K23,L23))</f>
        <v/>
      </c>
      <c r="N23" t="n">
        <v>0.5</v>
      </c>
      <c r="O23" t="inlineStr">
        <is>
          <t>是</t>
        </is>
      </c>
      <c r="P23">
        <f>IF(OR(M23="",M23&lt;=18),"PASS","ANGLE_ALERT")</f>
        <v/>
      </c>
      <c r="Q23" t="inlineStr">
        <is>
          <t>样品43</t>
        </is>
      </c>
    </row>
    <row r="24">
      <c r="A24" t="inlineStr">
        <is>
          <t>43(4)-P01</t>
        </is>
      </c>
      <c r="B24" t="inlineStr">
        <is>
          <t>43 (4).tif</t>
        </is>
      </c>
      <c r="C24" t="inlineStr">
        <is>
          <t>L2</t>
        </is>
      </c>
      <c r="D24" t="n">
        <v>510</v>
      </c>
      <c r="E24" t="n">
        <v>384</v>
      </c>
      <c r="F24" t="n">
        <v>494</v>
      </c>
      <c r="G24" t="n">
        <v>376</v>
      </c>
      <c r="H24">
        <f>SQRT((F24-D24)^2+(G24-E24)^2)</f>
        <v/>
      </c>
      <c r="I24" t="n">
        <v>0.2173913043478261</v>
      </c>
      <c r="J24">
        <f>H24*I24</f>
        <v/>
      </c>
      <c r="M24">
        <f>IF(OR(K24="",L24=""),"",MAX(K24,L24))</f>
        <v/>
      </c>
      <c r="N24" t="n">
        <v>0.5</v>
      </c>
      <c r="O24" t="inlineStr">
        <is>
          <t>是</t>
        </is>
      </c>
      <c r="P24">
        <f>IF(OR(M24="",M24&lt;=18),"PASS","ANGLE_ALERT")</f>
        <v/>
      </c>
      <c r="Q24" t="inlineStr">
        <is>
          <t>样品43</t>
        </is>
      </c>
    </row>
    <row r="25">
      <c r="A25" t="inlineStr">
        <is>
          <t>43(5)-P01</t>
        </is>
      </c>
      <c r="B25" t="inlineStr">
        <is>
          <t>43 (5).tif</t>
        </is>
      </c>
      <c r="C25" t="inlineStr">
        <is>
          <t>L1</t>
        </is>
      </c>
      <c r="D25" t="n">
        <v>525</v>
      </c>
      <c r="E25" t="n">
        <v>387</v>
      </c>
      <c r="F25" t="n">
        <v>529</v>
      </c>
      <c r="G25" t="n">
        <v>370</v>
      </c>
      <c r="H25">
        <f>SQRT((F25-D25)^2+(G25-E25)^2)</f>
        <v/>
      </c>
      <c r="I25" t="n">
        <v>0.2173913043478261</v>
      </c>
      <c r="J25">
        <f>H25*I25</f>
        <v/>
      </c>
      <c r="M25">
        <f>IF(OR(K25="",L25=""),"",MAX(K25,L25))</f>
        <v/>
      </c>
      <c r="N25" t="n">
        <v>0.5</v>
      </c>
      <c r="O25" t="inlineStr">
        <is>
          <t>是</t>
        </is>
      </c>
      <c r="P25">
        <f>IF(OR(M25="",M25&lt;=18),"PASS","ANGLE_ALERT")</f>
        <v/>
      </c>
      <c r="Q25" t="inlineStr">
        <is>
          <t>样品43</t>
        </is>
      </c>
    </row>
    <row r="26">
      <c r="A26" t="inlineStr">
        <is>
          <t>44(1)-P01</t>
        </is>
      </c>
      <c r="B26" t="inlineStr">
        <is>
          <t>44 (1).tif</t>
        </is>
      </c>
      <c r="C26" t="inlineStr">
        <is>
          <t>L1</t>
        </is>
      </c>
      <c r="D26" t="n">
        <v>405</v>
      </c>
      <c r="E26" t="n">
        <v>324</v>
      </c>
      <c r="F26" t="n">
        <v>402</v>
      </c>
      <c r="G26" t="n">
        <v>320</v>
      </c>
      <c r="H26">
        <f>SQRT((F26-D26)^2+(G26-E26)^2)</f>
        <v/>
      </c>
      <c r="I26" t="n">
        <v>0.2173913043478261</v>
      </c>
      <c r="J26">
        <f>H26*I26</f>
        <v/>
      </c>
      <c r="M26">
        <f>IF(OR(K26="",L26=""),"",MAX(K26,L26))</f>
        <v/>
      </c>
      <c r="N26" t="n">
        <v>0.5</v>
      </c>
      <c r="O26" t="inlineStr">
        <is>
          <t>是</t>
        </is>
      </c>
      <c r="P26">
        <f>IF(OR(M26="",M26&lt;=18),"PASS","ANGLE_ALERT")</f>
        <v/>
      </c>
      <c r="Q26" t="inlineStr">
        <is>
          <t>样品44</t>
        </is>
      </c>
    </row>
    <row r="27">
      <c r="A27" t="inlineStr">
        <is>
          <t>44(2)-P01</t>
        </is>
      </c>
      <c r="B27" t="inlineStr">
        <is>
          <t>44 (2).tif</t>
        </is>
      </c>
      <c r="C27" t="inlineStr">
        <is>
          <t>L1</t>
        </is>
      </c>
      <c r="D27" t="n">
        <v>525</v>
      </c>
      <c r="E27" t="n">
        <v>363</v>
      </c>
      <c r="F27" t="n">
        <v>504</v>
      </c>
      <c r="G27" t="n">
        <v>354</v>
      </c>
      <c r="H27">
        <f>SQRT((F27-D27)^2+(G27-E27)^2)</f>
        <v/>
      </c>
      <c r="I27" t="n">
        <v>0.2173913043478261</v>
      </c>
      <c r="J27">
        <f>H27*I27</f>
        <v/>
      </c>
      <c r="M27">
        <f>IF(OR(K27="",L27=""),"",MAX(K27,L27))</f>
        <v/>
      </c>
      <c r="N27" t="n">
        <v>0.5</v>
      </c>
      <c r="O27" t="inlineStr">
        <is>
          <t>是</t>
        </is>
      </c>
      <c r="P27">
        <f>IF(OR(M27="",M27&lt;=18),"PASS","ANGLE_ALERT")</f>
        <v/>
      </c>
      <c r="Q27" t="inlineStr">
        <is>
          <t>样品44</t>
        </is>
      </c>
    </row>
    <row r="28">
      <c r="A28" t="inlineStr">
        <is>
          <t>44(2)-P01</t>
        </is>
      </c>
      <c r="B28" t="inlineStr">
        <is>
          <t>44 (2).tif</t>
        </is>
      </c>
      <c r="C28" t="inlineStr">
        <is>
          <t>L2</t>
        </is>
      </c>
      <c r="D28" t="n">
        <v>535</v>
      </c>
      <c r="E28" t="n">
        <v>339</v>
      </c>
      <c r="F28" t="n">
        <v>516</v>
      </c>
      <c r="G28" t="n">
        <v>330</v>
      </c>
      <c r="H28">
        <f>SQRT((F28-D28)^2+(G28-E28)^2)</f>
        <v/>
      </c>
      <c r="I28" t="n">
        <v>0.2173913043478261</v>
      </c>
      <c r="J28">
        <f>H28*I28</f>
        <v/>
      </c>
      <c r="M28">
        <f>IF(OR(K28="",L28=""),"",MAX(K28,L28))</f>
        <v/>
      </c>
      <c r="N28" t="n">
        <v>0.5</v>
      </c>
      <c r="O28" t="inlineStr">
        <is>
          <t>是</t>
        </is>
      </c>
      <c r="P28">
        <f>IF(OR(M28="",M28&lt;=18),"PASS","ANGLE_ALERT")</f>
        <v/>
      </c>
      <c r="Q28" t="inlineStr">
        <is>
          <t>样品44</t>
        </is>
      </c>
    </row>
    <row r="29">
      <c r="A29" t="inlineStr">
        <is>
          <t>44(3)-P01</t>
        </is>
      </c>
      <c r="B29" t="inlineStr">
        <is>
          <t>44 (3).tif</t>
        </is>
      </c>
      <c r="C29" t="inlineStr">
        <is>
          <t>L1</t>
        </is>
      </c>
      <c r="D29" t="n">
        <v>508</v>
      </c>
      <c r="E29" t="n">
        <v>369</v>
      </c>
      <c r="F29" t="n">
        <v>537</v>
      </c>
      <c r="G29" t="n">
        <v>361</v>
      </c>
      <c r="H29">
        <f>SQRT((F29-D29)^2+(G29-E29)^2)</f>
        <v/>
      </c>
      <c r="I29" t="n">
        <v>0.2173913043478261</v>
      </c>
      <c r="J29">
        <f>H29*I29</f>
        <v/>
      </c>
      <c r="M29">
        <f>IF(OR(K29="",L29=""),"",MAX(K29,L29))</f>
        <v/>
      </c>
      <c r="N29" t="n">
        <v>0.5</v>
      </c>
      <c r="O29" t="inlineStr">
        <is>
          <t>是</t>
        </is>
      </c>
      <c r="P29">
        <f>IF(OR(M29="",M29&lt;=18),"PASS","ANGLE_ALERT")</f>
        <v/>
      </c>
      <c r="Q29" t="inlineStr">
        <is>
          <t>样品44</t>
        </is>
      </c>
    </row>
    <row r="30">
      <c r="A30" t="inlineStr">
        <is>
          <t>44(4)-P01</t>
        </is>
      </c>
      <c r="B30" t="inlineStr">
        <is>
          <t>44 (4).tif</t>
        </is>
      </c>
      <c r="C30" t="inlineStr">
        <is>
          <t>L1</t>
        </is>
      </c>
      <c r="D30" t="n">
        <v>656</v>
      </c>
      <c r="E30" t="n">
        <v>338</v>
      </c>
      <c r="F30" t="n">
        <v>659</v>
      </c>
      <c r="G30" t="n">
        <v>340</v>
      </c>
      <c r="H30">
        <f>SQRT((F30-D30)^2+(G30-E30)^2)</f>
        <v/>
      </c>
      <c r="I30" t="n">
        <v>0.2173913043478261</v>
      </c>
      <c r="J30">
        <f>H30*I30</f>
        <v/>
      </c>
      <c r="M30">
        <f>IF(OR(K30="",L30=""),"",MAX(K30,L30))</f>
        <v/>
      </c>
      <c r="N30" t="n">
        <v>0.5</v>
      </c>
      <c r="O30" t="inlineStr">
        <is>
          <t>是</t>
        </is>
      </c>
      <c r="P30">
        <f>IF(OR(M30="",M30&lt;=18),"PASS","ANGLE_ALERT")</f>
        <v/>
      </c>
      <c r="Q30" t="inlineStr">
        <is>
          <t>样品44</t>
        </is>
      </c>
    </row>
    <row r="31">
      <c r="A31" t="inlineStr">
        <is>
          <t>44(5)-P01</t>
        </is>
      </c>
      <c r="B31" t="inlineStr">
        <is>
          <t>44 (5).tif</t>
        </is>
      </c>
      <c r="C31" t="inlineStr">
        <is>
          <t>L1</t>
        </is>
      </c>
      <c r="D31" t="n">
        <v>643</v>
      </c>
      <c r="E31" t="n">
        <v>394</v>
      </c>
      <c r="F31" t="n">
        <v>637</v>
      </c>
      <c r="G31" t="n">
        <v>393</v>
      </c>
      <c r="H31">
        <f>SQRT((F31-D31)^2+(G31-E31)^2)</f>
        <v/>
      </c>
      <c r="I31" t="n">
        <v>0.2173913043478261</v>
      </c>
      <c r="J31">
        <f>H31*I31</f>
        <v/>
      </c>
      <c r="M31">
        <f>IF(OR(K31="",L31=""),"",MAX(K31,L31))</f>
        <v/>
      </c>
      <c r="N31" t="n">
        <v>0.5</v>
      </c>
      <c r="O31" t="inlineStr">
        <is>
          <t>是</t>
        </is>
      </c>
      <c r="P31">
        <f>IF(OR(M31="",M31&lt;=18),"PASS","ANGLE_ALERT")</f>
        <v/>
      </c>
      <c r="Q31" t="inlineStr">
        <is>
          <t>样品44</t>
        </is>
      </c>
    </row>
    <row r="32">
      <c r="A32" t="inlineStr">
        <is>
          <t>44(6)-P01</t>
        </is>
      </c>
      <c r="B32" t="inlineStr">
        <is>
          <t>44 (6).tif</t>
        </is>
      </c>
      <c r="C32" t="inlineStr">
        <is>
          <t>L1</t>
        </is>
      </c>
      <c r="D32" t="n">
        <v>405</v>
      </c>
      <c r="E32" t="n">
        <v>456</v>
      </c>
      <c r="F32" t="n">
        <v>370</v>
      </c>
      <c r="G32" t="n">
        <v>463</v>
      </c>
      <c r="H32">
        <f>SQRT((F32-D32)^2+(G32-E32)^2)</f>
        <v/>
      </c>
      <c r="I32" t="n">
        <v>0.2173913043478261</v>
      </c>
      <c r="J32">
        <f>H32*I32</f>
        <v/>
      </c>
      <c r="M32">
        <f>IF(OR(K32="",L32=""),"",MAX(K32,L32))</f>
        <v/>
      </c>
      <c r="N32" t="n">
        <v>0.5</v>
      </c>
      <c r="O32" t="inlineStr">
        <is>
          <t>是</t>
        </is>
      </c>
      <c r="P32">
        <f>IF(OR(M32="",M32&lt;=18),"PASS","ANGLE_ALERT")</f>
        <v/>
      </c>
      <c r="Q32" t="inlineStr">
        <is>
          <t>样品44</t>
        </is>
      </c>
    </row>
    <row r="33">
      <c r="A33" t="inlineStr">
        <is>
          <t>44(6)-P01</t>
        </is>
      </c>
      <c r="B33" t="inlineStr">
        <is>
          <t>44 (6).tif</t>
        </is>
      </c>
      <c r="C33" t="inlineStr">
        <is>
          <t>L2</t>
        </is>
      </c>
      <c r="D33" t="n">
        <v>405</v>
      </c>
      <c r="E33" t="n">
        <v>456</v>
      </c>
      <c r="F33" t="n">
        <v>382</v>
      </c>
      <c r="G33" t="n">
        <v>473</v>
      </c>
      <c r="H33">
        <f>SQRT((F33-D33)^2+(G33-E33)^2)</f>
        <v/>
      </c>
      <c r="I33" t="n">
        <v>0.2173913043478261</v>
      </c>
      <c r="J33">
        <f>H33*I33</f>
        <v/>
      </c>
      <c r="M33">
        <f>IF(OR(K33="",L33=""),"",MAX(K33,L33))</f>
        <v/>
      </c>
      <c r="N33" t="n">
        <v>0.5</v>
      </c>
      <c r="O33" t="inlineStr">
        <is>
          <t>是</t>
        </is>
      </c>
      <c r="P33">
        <f>IF(OR(M33="",M33&lt;=18),"PASS","ANGLE_ALERT")</f>
        <v/>
      </c>
      <c r="Q33" t="inlineStr">
        <is>
          <t>样品44</t>
        </is>
      </c>
    </row>
    <row r="34">
      <c r="A34" t="inlineStr">
        <is>
          <t>44(6)-P01</t>
        </is>
      </c>
      <c r="B34" t="inlineStr">
        <is>
          <t>44 (6).tif</t>
        </is>
      </c>
      <c r="C34" t="inlineStr">
        <is>
          <t>L3</t>
        </is>
      </c>
      <c r="D34" t="n">
        <v>403</v>
      </c>
      <c r="E34" t="n">
        <v>452</v>
      </c>
      <c r="F34" t="n">
        <v>376</v>
      </c>
      <c r="G34" t="n">
        <v>467</v>
      </c>
      <c r="H34">
        <f>SQRT((F34-D34)^2+(G34-E34)^2)</f>
        <v/>
      </c>
      <c r="I34" t="n">
        <v>0.2173913043478261</v>
      </c>
      <c r="J34">
        <f>H34*I34</f>
        <v/>
      </c>
      <c r="M34">
        <f>IF(OR(K34="",L34=""),"",MAX(K34,L34))</f>
        <v/>
      </c>
      <c r="N34" t="n">
        <v>0.5</v>
      </c>
      <c r="O34" t="inlineStr">
        <is>
          <t>是</t>
        </is>
      </c>
      <c r="P34">
        <f>IF(OR(M34="",M34&lt;=18),"PASS","ANGLE_ALERT")</f>
        <v/>
      </c>
      <c r="Q34" t="inlineStr">
        <is>
          <t>样品44</t>
        </is>
      </c>
    </row>
    <row r="35">
      <c r="A35" t="inlineStr">
        <is>
          <t>44(7)-P01</t>
        </is>
      </c>
      <c r="B35" t="inlineStr">
        <is>
          <t>44 (7).tif</t>
        </is>
      </c>
      <c r="C35" t="inlineStr">
        <is>
          <t>L1</t>
        </is>
      </c>
      <c r="D35" t="n">
        <v>559</v>
      </c>
      <c r="E35" t="n">
        <v>376</v>
      </c>
      <c r="F35" t="n">
        <v>532</v>
      </c>
      <c r="G35" t="n">
        <v>398</v>
      </c>
      <c r="H35">
        <f>SQRT((F35-D35)^2+(G35-E35)^2)</f>
        <v/>
      </c>
      <c r="I35" t="n">
        <v>0.2173913043478261</v>
      </c>
      <c r="J35">
        <f>H35*I35</f>
        <v/>
      </c>
      <c r="M35">
        <f>IF(OR(K35="",L35=""),"",MAX(K35,L35))</f>
        <v/>
      </c>
      <c r="N35" t="n">
        <v>0.5</v>
      </c>
      <c r="O35" t="inlineStr">
        <is>
          <t>是</t>
        </is>
      </c>
      <c r="P35">
        <f>IF(OR(M35="",M35&lt;=18),"PASS","ANGLE_ALERT")</f>
        <v/>
      </c>
      <c r="Q35" t="inlineStr">
        <is>
          <t>样品44</t>
        </is>
      </c>
    </row>
    <row r="36">
      <c r="A36" t="inlineStr">
        <is>
          <t>44(7)-P01</t>
        </is>
      </c>
      <c r="B36" t="inlineStr">
        <is>
          <t>44 (7).tif</t>
        </is>
      </c>
      <c r="C36" t="inlineStr">
        <is>
          <t>L2</t>
        </is>
      </c>
      <c r="D36" t="n">
        <v>545</v>
      </c>
      <c r="E36" t="n">
        <v>353</v>
      </c>
      <c r="F36" t="n">
        <v>515</v>
      </c>
      <c r="G36" t="n">
        <v>380</v>
      </c>
      <c r="H36">
        <f>SQRT((F36-D36)^2+(G36-E36)^2)</f>
        <v/>
      </c>
      <c r="I36" t="n">
        <v>0.2173913043478261</v>
      </c>
      <c r="J36">
        <f>H36*I36</f>
        <v/>
      </c>
      <c r="M36">
        <f>IF(OR(K36="",L36=""),"",MAX(K36,L36))</f>
        <v/>
      </c>
      <c r="N36" t="n">
        <v>0.5</v>
      </c>
      <c r="O36" t="inlineStr">
        <is>
          <t>是</t>
        </is>
      </c>
      <c r="P36">
        <f>IF(OR(M36="",M36&lt;=18),"PASS","ANGLE_ALERT")</f>
        <v/>
      </c>
      <c r="Q36" t="inlineStr">
        <is>
          <t>样品44</t>
        </is>
      </c>
    </row>
    <row r="37">
      <c r="A37" t="inlineStr">
        <is>
          <t>44(8)-P01</t>
        </is>
      </c>
      <c r="B37" t="inlineStr">
        <is>
          <t>44 (8).tif</t>
        </is>
      </c>
      <c r="C37" t="inlineStr">
        <is>
          <t>L1</t>
        </is>
      </c>
      <c r="D37" t="n">
        <v>473</v>
      </c>
      <c r="E37" t="n">
        <v>375</v>
      </c>
      <c r="F37" t="n">
        <v>470</v>
      </c>
      <c r="G37" t="n">
        <v>411</v>
      </c>
      <c r="H37">
        <f>SQRT((F37-D37)^2+(G37-E37)^2)</f>
        <v/>
      </c>
      <c r="I37" t="n">
        <v>0.2173913043478261</v>
      </c>
      <c r="J37">
        <f>H37*I37</f>
        <v/>
      </c>
      <c r="M37">
        <f>IF(OR(K37="",L37=""),"",MAX(K37,L37))</f>
        <v/>
      </c>
      <c r="N37" t="n">
        <v>0.5</v>
      </c>
      <c r="O37" t="inlineStr">
        <is>
          <t>是</t>
        </is>
      </c>
      <c r="P37">
        <f>IF(OR(M37="",M37&lt;=18),"PASS","ANGLE_ALERT")</f>
        <v/>
      </c>
      <c r="Q37" t="inlineStr">
        <is>
          <t>样品44</t>
        </is>
      </c>
    </row>
    <row r="38">
      <c r="A38" t="inlineStr">
        <is>
          <t>45(1)-P01</t>
        </is>
      </c>
      <c r="B38" t="inlineStr">
        <is>
          <t>45 (1).tif</t>
        </is>
      </c>
      <c r="C38" t="inlineStr">
        <is>
          <t>L1</t>
        </is>
      </c>
      <c r="D38" t="n">
        <v>521</v>
      </c>
      <c r="E38" t="n">
        <v>382</v>
      </c>
      <c r="F38" t="n">
        <v>501</v>
      </c>
      <c r="G38" t="n">
        <v>371</v>
      </c>
      <c r="H38">
        <f>SQRT((F38-D38)^2+(G38-E38)^2)</f>
        <v/>
      </c>
      <c r="I38" t="n">
        <v>0.2173913043478261</v>
      </c>
      <c r="J38">
        <f>H38*I38</f>
        <v/>
      </c>
      <c r="M38">
        <f>IF(OR(K38="",L38=""),"",MAX(K38,L38))</f>
        <v/>
      </c>
      <c r="N38" t="n">
        <v>0.5</v>
      </c>
      <c r="O38" t="inlineStr">
        <is>
          <t>是</t>
        </is>
      </c>
      <c r="P38">
        <f>IF(OR(M38="",M38&lt;=18),"PASS","ANGLE_ALERT")</f>
        <v/>
      </c>
      <c r="Q38" t="inlineStr">
        <is>
          <t>样品45</t>
        </is>
      </c>
    </row>
    <row r="39">
      <c r="A39" t="inlineStr">
        <is>
          <t>45(1)-P02</t>
        </is>
      </c>
      <c r="B39" t="inlineStr">
        <is>
          <t>45 (1).tif</t>
        </is>
      </c>
      <c r="C39" t="inlineStr">
        <is>
          <t>L1</t>
        </is>
      </c>
      <c r="D39" t="n">
        <v>1003</v>
      </c>
      <c r="E39" t="n">
        <v>179</v>
      </c>
      <c r="F39" t="n">
        <v>1003</v>
      </c>
      <c r="G39" t="n">
        <v>179</v>
      </c>
      <c r="H39">
        <f>SQRT((F39-D39)^2+(G39-E39)^2)</f>
        <v/>
      </c>
      <c r="I39" t="n">
        <v>0.2173913043478261</v>
      </c>
      <c r="J39">
        <f>H39*I39</f>
        <v/>
      </c>
      <c r="M39">
        <f>IF(OR(K39="",L39=""),"",MAX(K39,L39))</f>
        <v/>
      </c>
      <c r="N39" t="n">
        <v>0.5</v>
      </c>
      <c r="O39" t="inlineStr">
        <is>
          <t>是</t>
        </is>
      </c>
      <c r="P39">
        <f>IF(OR(M39="",M39&lt;=18),"PASS","ANGLE_ALERT")</f>
        <v/>
      </c>
      <c r="Q39" t="inlineStr">
        <is>
          <t>样品45</t>
        </is>
      </c>
    </row>
    <row r="40">
      <c r="A40" t="inlineStr">
        <is>
          <t>45(2)-P01</t>
        </is>
      </c>
      <c r="B40" t="inlineStr">
        <is>
          <t>45 (2).tif</t>
        </is>
      </c>
      <c r="C40" t="inlineStr">
        <is>
          <t>L1</t>
        </is>
      </c>
      <c r="D40" t="n">
        <v>450</v>
      </c>
      <c r="E40" t="n">
        <v>357</v>
      </c>
      <c r="F40" t="n">
        <v>448</v>
      </c>
      <c r="G40" t="n">
        <v>357</v>
      </c>
      <c r="H40">
        <f>SQRT((F40-D40)^2+(G40-E40)^2)</f>
        <v/>
      </c>
      <c r="I40" t="n">
        <v>0.2173913043478261</v>
      </c>
      <c r="J40">
        <f>H40*I40</f>
        <v/>
      </c>
      <c r="M40">
        <f>IF(OR(K40="",L40=""),"",MAX(K40,L40))</f>
        <v/>
      </c>
      <c r="N40" t="n">
        <v>0.5</v>
      </c>
      <c r="O40" t="inlineStr">
        <is>
          <t>是</t>
        </is>
      </c>
      <c r="P40">
        <f>IF(OR(M40="",M40&lt;=18),"PASS","ANGLE_ALERT")</f>
        <v/>
      </c>
      <c r="Q40" t="inlineStr">
        <is>
          <t>样品45</t>
        </is>
      </c>
    </row>
    <row r="41">
      <c r="A41" t="inlineStr">
        <is>
          <t>45(4)-P01</t>
        </is>
      </c>
      <c r="B41" t="inlineStr">
        <is>
          <t>45 (4).tif</t>
        </is>
      </c>
      <c r="C41" t="inlineStr">
        <is>
          <t>L1</t>
        </is>
      </c>
      <c r="D41" t="n">
        <v>542</v>
      </c>
      <c r="E41" t="n">
        <v>381</v>
      </c>
      <c r="F41" t="n">
        <v>548</v>
      </c>
      <c r="G41" t="n">
        <v>413</v>
      </c>
      <c r="H41">
        <f>SQRT((F41-D41)^2+(G41-E41)^2)</f>
        <v/>
      </c>
      <c r="I41" t="n">
        <v>0.2173913043478261</v>
      </c>
      <c r="J41">
        <f>H41*I41</f>
        <v/>
      </c>
      <c r="M41">
        <f>IF(OR(K41="",L41=""),"",MAX(K41,L41))</f>
        <v/>
      </c>
      <c r="N41" t="n">
        <v>0.5</v>
      </c>
      <c r="O41" t="inlineStr">
        <is>
          <t>是</t>
        </is>
      </c>
      <c r="P41">
        <f>IF(OR(M41="",M41&lt;=18),"PASS","ANGLE_ALERT")</f>
        <v/>
      </c>
      <c r="Q41" t="inlineStr">
        <is>
          <t>样品45</t>
        </is>
      </c>
    </row>
    <row r="42">
      <c r="A42" t="inlineStr">
        <is>
          <t>45(4)-P01</t>
        </is>
      </c>
      <c r="B42" t="inlineStr">
        <is>
          <t>45 (4).tif</t>
        </is>
      </c>
      <c r="C42" t="inlineStr">
        <is>
          <t>L2</t>
        </is>
      </c>
      <c r="D42" t="n">
        <v>542</v>
      </c>
      <c r="E42" t="n">
        <v>404</v>
      </c>
      <c r="F42" t="n">
        <v>545</v>
      </c>
      <c r="G42" t="n">
        <v>414</v>
      </c>
      <c r="H42">
        <f>SQRT((F42-D42)^2+(G42-E42)^2)</f>
        <v/>
      </c>
      <c r="I42" t="n">
        <v>0.2173913043478261</v>
      </c>
      <c r="J42">
        <f>H42*I42</f>
        <v/>
      </c>
      <c r="M42">
        <f>IF(OR(K42="",L42=""),"",MAX(K42,L42))</f>
        <v/>
      </c>
      <c r="N42" t="n">
        <v>0.5</v>
      </c>
      <c r="O42" t="inlineStr">
        <is>
          <t>是</t>
        </is>
      </c>
      <c r="P42">
        <f>IF(OR(M42="",M42&lt;=18),"PASS","ANGLE_ALERT")</f>
        <v/>
      </c>
      <c r="Q42" t="inlineStr">
        <is>
          <t>样品45</t>
        </is>
      </c>
    </row>
    <row r="43">
      <c r="A43" t="inlineStr">
        <is>
          <t>45(5)-P01</t>
        </is>
      </c>
      <c r="B43" t="inlineStr">
        <is>
          <t>45 (5).tif</t>
        </is>
      </c>
      <c r="C43" t="inlineStr">
        <is>
          <t>L1</t>
        </is>
      </c>
      <c r="D43" t="n">
        <v>537</v>
      </c>
      <c r="E43" t="n">
        <v>349</v>
      </c>
      <c r="F43" t="n">
        <v>537</v>
      </c>
      <c r="G43" t="n">
        <v>349</v>
      </c>
      <c r="H43">
        <f>SQRT((F43-D43)^2+(G43-E43)^2)</f>
        <v/>
      </c>
      <c r="I43" t="n">
        <v>0.2173913043478261</v>
      </c>
      <c r="J43">
        <f>H43*I43</f>
        <v/>
      </c>
      <c r="M43">
        <f>IF(OR(K43="",L43=""),"",MAX(K43,L43))</f>
        <v/>
      </c>
      <c r="N43" t="n">
        <v>0.5</v>
      </c>
      <c r="O43" t="inlineStr">
        <is>
          <t>是</t>
        </is>
      </c>
      <c r="P43">
        <f>IF(OR(M43="",M43&lt;=18),"PASS","ANGLE_ALERT")</f>
        <v/>
      </c>
      <c r="Q43" t="inlineStr">
        <is>
          <t>样品45</t>
        </is>
      </c>
    </row>
    <row r="44">
      <c r="A44" t="inlineStr">
        <is>
          <t>45(6)-P01</t>
        </is>
      </c>
      <c r="B44" t="inlineStr">
        <is>
          <t>45 (6).tif</t>
        </is>
      </c>
      <c r="C44" t="inlineStr">
        <is>
          <t>L1</t>
        </is>
      </c>
      <c r="D44" t="n">
        <v>484</v>
      </c>
      <c r="E44" t="n">
        <v>346</v>
      </c>
      <c r="F44" t="n">
        <v>508</v>
      </c>
      <c r="G44" t="n">
        <v>349</v>
      </c>
      <c r="H44">
        <f>SQRT((F44-D44)^2+(G44-E44)^2)</f>
        <v/>
      </c>
      <c r="I44" t="n">
        <v>0.2173913043478261</v>
      </c>
      <c r="J44">
        <f>H44*I44</f>
        <v/>
      </c>
      <c r="M44">
        <f>IF(OR(K44="",L44=""),"",MAX(K44,L44))</f>
        <v/>
      </c>
      <c r="N44" t="n">
        <v>0.5</v>
      </c>
      <c r="O44" t="inlineStr">
        <is>
          <t>是</t>
        </is>
      </c>
      <c r="P44">
        <f>IF(OR(M44="",M44&lt;=18),"PASS","ANGLE_ALERT")</f>
        <v/>
      </c>
      <c r="Q44" t="inlineStr">
        <is>
          <t>样品45</t>
        </is>
      </c>
    </row>
    <row r="45">
      <c r="A45" t="inlineStr">
        <is>
          <t>45(6)-P01</t>
        </is>
      </c>
      <c r="B45" t="inlineStr">
        <is>
          <t>45 (6).tif</t>
        </is>
      </c>
      <c r="C45" t="inlineStr">
        <is>
          <t>L2</t>
        </is>
      </c>
      <c r="D45" t="n">
        <v>483</v>
      </c>
      <c r="E45" t="n">
        <v>363</v>
      </c>
      <c r="F45" t="n">
        <v>508</v>
      </c>
      <c r="G45" t="n">
        <v>363</v>
      </c>
      <c r="H45">
        <f>SQRT((F45-D45)^2+(G45-E45)^2)</f>
        <v/>
      </c>
      <c r="I45" t="n">
        <v>0.2173913043478261</v>
      </c>
      <c r="J45">
        <f>H45*I45</f>
        <v/>
      </c>
      <c r="M45">
        <f>IF(OR(K45="",L45=""),"",MAX(K45,L45))</f>
        <v/>
      </c>
      <c r="N45" t="n">
        <v>0.5</v>
      </c>
      <c r="O45" t="inlineStr">
        <is>
          <t>是</t>
        </is>
      </c>
      <c r="P45">
        <f>IF(OR(M45="",M45&lt;=18),"PASS","ANGLE_ALERT")</f>
        <v/>
      </c>
      <c r="Q45" t="inlineStr">
        <is>
          <t>样品45</t>
        </is>
      </c>
    </row>
    <row r="46">
      <c r="A46" t="inlineStr">
        <is>
          <t>45(7)-P01</t>
        </is>
      </c>
      <c r="B46" t="inlineStr">
        <is>
          <t>45 (7).tif</t>
        </is>
      </c>
      <c r="C46" t="inlineStr">
        <is>
          <t>L1</t>
        </is>
      </c>
      <c r="D46" t="n">
        <v>503</v>
      </c>
      <c r="E46" t="n">
        <v>395</v>
      </c>
      <c r="F46" t="n">
        <v>505</v>
      </c>
      <c r="G46" t="n">
        <v>360</v>
      </c>
      <c r="H46">
        <f>SQRT((F46-D46)^2+(G46-E46)^2)</f>
        <v/>
      </c>
      <c r="I46" t="n">
        <v>0.2173913043478261</v>
      </c>
      <c r="J46">
        <f>H46*I46</f>
        <v/>
      </c>
      <c r="M46">
        <f>IF(OR(K46="",L46=""),"",MAX(K46,L46))</f>
        <v/>
      </c>
      <c r="N46" t="n">
        <v>0.5</v>
      </c>
      <c r="O46" t="inlineStr">
        <is>
          <t>是</t>
        </is>
      </c>
      <c r="P46">
        <f>IF(OR(M46="",M46&lt;=18),"PASS","ANGLE_ALERT")</f>
        <v/>
      </c>
      <c r="Q46" t="inlineStr">
        <is>
          <t>样品45</t>
        </is>
      </c>
    </row>
    <row r="47">
      <c r="A47" t="inlineStr">
        <is>
          <t>45(7)-P01</t>
        </is>
      </c>
      <c r="B47" t="inlineStr">
        <is>
          <t>45 (7).tif</t>
        </is>
      </c>
      <c r="C47" t="inlineStr">
        <is>
          <t>L2</t>
        </is>
      </c>
      <c r="D47" t="n">
        <v>528</v>
      </c>
      <c r="E47" t="n">
        <v>399</v>
      </c>
      <c r="F47" t="n">
        <v>531</v>
      </c>
      <c r="G47" t="n">
        <v>364</v>
      </c>
      <c r="H47">
        <f>SQRT((F47-D47)^2+(G47-E47)^2)</f>
        <v/>
      </c>
      <c r="I47" t="n">
        <v>0.2173913043478261</v>
      </c>
      <c r="J47">
        <f>H47*I47</f>
        <v/>
      </c>
      <c r="M47">
        <f>IF(OR(K47="",L47=""),"",MAX(K47,L47))</f>
        <v/>
      </c>
      <c r="N47" t="n">
        <v>0.5</v>
      </c>
      <c r="O47" t="inlineStr">
        <is>
          <t>是</t>
        </is>
      </c>
      <c r="P47">
        <f>IF(OR(M47="",M47&lt;=18),"PASS","ANGLE_ALERT")</f>
        <v/>
      </c>
      <c r="Q47" t="inlineStr">
        <is>
          <t>样品45</t>
        </is>
      </c>
    </row>
    <row r="48">
      <c r="A48" t="inlineStr">
        <is>
          <t>46(1)-P01</t>
        </is>
      </c>
      <c r="B48" t="inlineStr">
        <is>
          <t>46 (1).tif</t>
        </is>
      </c>
      <c r="C48" t="inlineStr">
        <is>
          <t>L1</t>
        </is>
      </c>
      <c r="D48" t="n">
        <v>542</v>
      </c>
      <c r="E48" t="n">
        <v>397</v>
      </c>
      <c r="F48" t="n">
        <v>517</v>
      </c>
      <c r="G48" t="n">
        <v>385</v>
      </c>
      <c r="H48">
        <f>SQRT((F48-D48)^2+(G48-E48)^2)</f>
        <v/>
      </c>
      <c r="I48" t="n">
        <v>0.2173913043478261</v>
      </c>
      <c r="J48">
        <f>H48*I48</f>
        <v/>
      </c>
      <c r="M48">
        <f>IF(OR(K48="",L48=""),"",MAX(K48,L48))</f>
        <v/>
      </c>
      <c r="N48" t="n">
        <v>0.5</v>
      </c>
      <c r="O48" t="inlineStr">
        <is>
          <t>是</t>
        </is>
      </c>
      <c r="P48">
        <f>IF(OR(M48="",M48&lt;=18),"PASS","ANGLE_ALERT")</f>
        <v/>
      </c>
      <c r="Q48" t="inlineStr">
        <is>
          <t>样品46</t>
        </is>
      </c>
    </row>
    <row r="49">
      <c r="A49" t="inlineStr">
        <is>
          <t>46(3)-P01</t>
        </is>
      </c>
      <c r="B49" t="inlineStr">
        <is>
          <t>46 (3).tif</t>
        </is>
      </c>
      <c r="C49" t="inlineStr">
        <is>
          <t>L1</t>
        </is>
      </c>
      <c r="D49" t="n">
        <v>514</v>
      </c>
      <c r="E49" t="n">
        <v>387</v>
      </c>
      <c r="F49" t="n">
        <v>510</v>
      </c>
      <c r="G49" t="n">
        <v>397</v>
      </c>
      <c r="H49">
        <f>SQRT((F49-D49)^2+(G49-E49)^2)</f>
        <v/>
      </c>
      <c r="I49" t="n">
        <v>0.2173913043478261</v>
      </c>
      <c r="J49">
        <f>H49*I49</f>
        <v/>
      </c>
      <c r="M49">
        <f>IF(OR(K49="",L49=""),"",MAX(K49,L49))</f>
        <v/>
      </c>
      <c r="N49" t="n">
        <v>0.5</v>
      </c>
      <c r="O49" t="inlineStr">
        <is>
          <t>是</t>
        </is>
      </c>
      <c r="P49">
        <f>IF(OR(M49="",M49&lt;=18),"PASS","ANGLE_ALERT")</f>
        <v/>
      </c>
      <c r="Q49" t="inlineStr">
        <is>
          <t>样品46</t>
        </is>
      </c>
    </row>
    <row r="50">
      <c r="A50" t="inlineStr">
        <is>
          <t>46(5)-P01</t>
        </is>
      </c>
      <c r="B50" t="inlineStr">
        <is>
          <t>46 (5).tif</t>
        </is>
      </c>
      <c r="C50" t="inlineStr">
        <is>
          <t>L1</t>
        </is>
      </c>
      <c r="D50" t="n">
        <v>446</v>
      </c>
      <c r="E50" t="n">
        <v>338</v>
      </c>
      <c r="F50" t="n">
        <v>483</v>
      </c>
      <c r="G50" t="n">
        <v>336</v>
      </c>
      <c r="H50">
        <f>SQRT((F50-D50)^2+(G50-E50)^2)</f>
        <v/>
      </c>
      <c r="I50" t="n">
        <v>0.2173913043478261</v>
      </c>
      <c r="J50">
        <f>H50*I50</f>
        <v/>
      </c>
      <c r="M50">
        <f>IF(OR(K50="",L50=""),"",MAX(K50,L50))</f>
        <v/>
      </c>
      <c r="N50" t="n">
        <v>0.5</v>
      </c>
      <c r="O50" t="inlineStr">
        <is>
          <t>是</t>
        </is>
      </c>
      <c r="P50">
        <f>IF(OR(M50="",M50&lt;=18),"PASS","ANGLE_ALERT")</f>
        <v/>
      </c>
      <c r="Q50" t="inlineStr">
        <is>
          <t>样品46</t>
        </is>
      </c>
    </row>
    <row r="51">
      <c r="A51" t="inlineStr">
        <is>
          <t>46(5)-P01</t>
        </is>
      </c>
      <c r="B51" t="inlineStr">
        <is>
          <t>46 (5).tif</t>
        </is>
      </c>
      <c r="C51" t="inlineStr">
        <is>
          <t>L2</t>
        </is>
      </c>
      <c r="D51" t="n">
        <v>465</v>
      </c>
      <c r="E51" t="n">
        <v>356</v>
      </c>
      <c r="F51" t="n">
        <v>485</v>
      </c>
      <c r="G51" t="n">
        <v>344</v>
      </c>
      <c r="H51">
        <f>SQRT((F51-D51)^2+(G51-E51)^2)</f>
        <v/>
      </c>
      <c r="I51" t="n">
        <v>0.2173913043478261</v>
      </c>
      <c r="J51">
        <f>H51*I51</f>
        <v/>
      </c>
      <c r="M51">
        <f>IF(OR(K51="",L51=""),"",MAX(K51,L51))</f>
        <v/>
      </c>
      <c r="N51" t="n">
        <v>0.5</v>
      </c>
      <c r="O51" t="inlineStr">
        <is>
          <t>是</t>
        </is>
      </c>
      <c r="P51">
        <f>IF(OR(M51="",M51&lt;=18),"PASS","ANGLE_ALERT")</f>
        <v/>
      </c>
      <c r="Q51" t="inlineStr">
        <is>
          <t>样品46</t>
        </is>
      </c>
    </row>
    <row r="52">
      <c r="A52" t="inlineStr">
        <is>
          <t>46(5)-P01</t>
        </is>
      </c>
      <c r="B52" t="inlineStr">
        <is>
          <t>46 (5).tif</t>
        </is>
      </c>
      <c r="C52" t="inlineStr">
        <is>
          <t>L3</t>
        </is>
      </c>
      <c r="D52" t="n">
        <v>472</v>
      </c>
      <c r="E52" t="n">
        <v>366</v>
      </c>
      <c r="F52" t="n">
        <v>492</v>
      </c>
      <c r="G52" t="n">
        <v>351</v>
      </c>
      <c r="H52">
        <f>SQRT((F52-D52)^2+(G52-E52)^2)</f>
        <v/>
      </c>
      <c r="I52" t="n">
        <v>0.2173913043478261</v>
      </c>
      <c r="J52">
        <f>H52*I52</f>
        <v/>
      </c>
      <c r="M52">
        <f>IF(OR(K52="",L52=""),"",MAX(K52,L52))</f>
        <v/>
      </c>
      <c r="N52" t="n">
        <v>0.5</v>
      </c>
      <c r="O52" t="inlineStr">
        <is>
          <t>是</t>
        </is>
      </c>
      <c r="P52">
        <f>IF(OR(M52="",M52&lt;=18),"PASS","ANGLE_ALERT")</f>
        <v/>
      </c>
      <c r="Q52" t="inlineStr">
        <is>
          <t>样品46</t>
        </is>
      </c>
    </row>
    <row r="53">
      <c r="A53" t="inlineStr">
        <is>
          <t>46(7)-P01</t>
        </is>
      </c>
      <c r="B53" t="inlineStr">
        <is>
          <t>46 (7).tif</t>
        </is>
      </c>
      <c r="C53" t="inlineStr">
        <is>
          <t>L1</t>
        </is>
      </c>
      <c r="D53" t="n">
        <v>509</v>
      </c>
      <c r="E53" t="n">
        <v>337</v>
      </c>
      <c r="F53" t="n">
        <v>526</v>
      </c>
      <c r="G53" t="n">
        <v>329</v>
      </c>
      <c r="H53">
        <f>SQRT((F53-D53)^2+(G53-E53)^2)</f>
        <v/>
      </c>
      <c r="I53" t="n">
        <v>0.2173913043478261</v>
      </c>
      <c r="J53">
        <f>H53*I53</f>
        <v/>
      </c>
      <c r="M53">
        <f>IF(OR(K53="",L53=""),"",MAX(K53,L53))</f>
        <v/>
      </c>
      <c r="N53" t="n">
        <v>0</v>
      </c>
      <c r="O53" t="inlineStr">
        <is>
          <t>是</t>
        </is>
      </c>
      <c r="P53">
        <f>IF(OR(M53="",M53&lt;=18),"PASS","ANGLE_ALERT")</f>
        <v/>
      </c>
      <c r="Q53" t="inlineStr">
        <is>
          <t>样品46</t>
        </is>
      </c>
    </row>
    <row r="54">
      <c r="A54" t="inlineStr">
        <is>
          <t>46(7)-P01</t>
        </is>
      </c>
      <c r="B54" t="inlineStr">
        <is>
          <t>46 (7).tif</t>
        </is>
      </c>
      <c r="C54" t="inlineStr">
        <is>
          <t>L2</t>
        </is>
      </c>
      <c r="D54" t="n">
        <v>506</v>
      </c>
      <c r="E54" t="n">
        <v>331</v>
      </c>
      <c r="F54" t="n">
        <v>522</v>
      </c>
      <c r="G54" t="n">
        <v>323</v>
      </c>
      <c r="H54">
        <f>SQRT((F54-D54)^2+(G54-E54)^2)</f>
        <v/>
      </c>
      <c r="I54" t="n">
        <v>0.2173913043478261</v>
      </c>
      <c r="J54">
        <f>H54*I54</f>
        <v/>
      </c>
      <c r="M54">
        <f>IF(OR(K54="",L54=""),"",MAX(K54,L54))</f>
        <v/>
      </c>
      <c r="N54" t="n">
        <v>0.3333333333333333</v>
      </c>
      <c r="O54" t="inlineStr">
        <is>
          <t>是</t>
        </is>
      </c>
      <c r="P54">
        <f>IF(OR(M54="",M54&lt;=18),"PASS","ANGLE_ALERT")</f>
        <v/>
      </c>
      <c r="Q54" t="inlineStr">
        <is>
          <t>样品46</t>
        </is>
      </c>
    </row>
    <row r="55">
      <c r="A55" t="inlineStr">
        <is>
          <t>46(7)-P01</t>
        </is>
      </c>
      <c r="B55" t="inlineStr">
        <is>
          <t>46 (7).tif</t>
        </is>
      </c>
      <c r="C55" t="inlineStr">
        <is>
          <t>L3</t>
        </is>
      </c>
      <c r="D55" t="n">
        <v>502</v>
      </c>
      <c r="E55" t="n">
        <v>323</v>
      </c>
      <c r="F55" t="n">
        <v>518</v>
      </c>
      <c r="G55" t="n">
        <v>315</v>
      </c>
      <c r="H55">
        <f>SQRT((F55-D55)^2+(G55-E55)^2)</f>
        <v/>
      </c>
      <c r="I55" t="n">
        <v>0.2173913043478261</v>
      </c>
      <c r="J55">
        <f>H55*I55</f>
        <v/>
      </c>
      <c r="M55">
        <f>IF(OR(K55="",L55=""),"",MAX(K55,L55))</f>
        <v/>
      </c>
      <c r="N55" t="n">
        <v>0.6666666666666666</v>
      </c>
      <c r="O55" t="inlineStr">
        <is>
          <t>是</t>
        </is>
      </c>
      <c r="P55">
        <f>IF(OR(M55="",M55&lt;=18),"PASS","ANGLE_ALERT")</f>
        <v/>
      </c>
      <c r="Q55" t="inlineStr">
        <is>
          <t>样品46</t>
        </is>
      </c>
    </row>
    <row r="56">
      <c r="A56" t="inlineStr">
        <is>
          <t>46(7)-P01</t>
        </is>
      </c>
      <c r="B56" t="inlineStr">
        <is>
          <t>46 (7).tif</t>
        </is>
      </c>
      <c r="C56" t="inlineStr">
        <is>
          <t>L4</t>
        </is>
      </c>
      <c r="D56" t="n">
        <v>499</v>
      </c>
      <c r="E56" t="n">
        <v>318</v>
      </c>
      <c r="F56" t="n">
        <v>516</v>
      </c>
      <c r="G56" t="n">
        <v>311</v>
      </c>
      <c r="H56">
        <f>SQRT((F56-D56)^2+(G56-E56)^2)</f>
        <v/>
      </c>
      <c r="I56" t="n">
        <v>0.2173913043478261</v>
      </c>
      <c r="J56">
        <f>H56*I56</f>
        <v/>
      </c>
      <c r="M56">
        <f>IF(OR(K56="",L56=""),"",MAX(K56,L56))</f>
        <v/>
      </c>
      <c r="N56" t="n">
        <v>1</v>
      </c>
      <c r="O56" t="inlineStr">
        <is>
          <t>是</t>
        </is>
      </c>
      <c r="P56">
        <f>IF(OR(M56="",M56&lt;=18),"PASS","ANGLE_ALERT")</f>
        <v/>
      </c>
      <c r="Q56" t="inlineStr">
        <is>
          <t>样品46</t>
        </is>
      </c>
    </row>
    <row r="57">
      <c r="A57" t="inlineStr">
        <is>
          <t>47(1)-P01</t>
        </is>
      </c>
      <c r="B57" t="inlineStr">
        <is>
          <t>47 (1).tif</t>
        </is>
      </c>
      <c r="C57" t="inlineStr">
        <is>
          <t>L1</t>
        </is>
      </c>
      <c r="D57" t="n">
        <v>186</v>
      </c>
      <c r="E57" t="n">
        <v>503</v>
      </c>
      <c r="F57" t="n">
        <v>212</v>
      </c>
      <c r="G57" t="n">
        <v>491</v>
      </c>
      <c r="H57">
        <f>SQRT((F57-D57)^2+(G57-E57)^2)</f>
        <v/>
      </c>
      <c r="I57" t="n">
        <v>0.2173913043478261</v>
      </c>
      <c r="J57">
        <f>H57*I57</f>
        <v/>
      </c>
      <c r="M57">
        <f>IF(OR(K57="",L57=""),"",MAX(K57,L57))</f>
        <v/>
      </c>
      <c r="N57" t="n">
        <v>0.5</v>
      </c>
      <c r="O57" t="inlineStr">
        <is>
          <t>是</t>
        </is>
      </c>
      <c r="P57">
        <f>IF(OR(M57="",M57&lt;=18),"PASS","ANGLE_ALERT")</f>
        <v/>
      </c>
      <c r="Q57" t="inlineStr">
        <is>
          <t>样品47</t>
        </is>
      </c>
    </row>
    <row r="58">
      <c r="A58" t="inlineStr">
        <is>
          <t>47(1)-P01</t>
        </is>
      </c>
      <c r="B58" t="inlineStr">
        <is>
          <t>47 (1).tif</t>
        </is>
      </c>
      <c r="C58" t="inlineStr">
        <is>
          <t>L2</t>
        </is>
      </c>
      <c r="D58" t="n">
        <v>186</v>
      </c>
      <c r="E58" t="n">
        <v>539</v>
      </c>
      <c r="F58" t="n">
        <v>219</v>
      </c>
      <c r="G58" t="n">
        <v>499</v>
      </c>
      <c r="H58">
        <f>SQRT((F58-D58)^2+(G58-E58)^2)</f>
        <v/>
      </c>
      <c r="I58" t="n">
        <v>0.2173913043478261</v>
      </c>
      <c r="J58">
        <f>H58*I58</f>
        <v/>
      </c>
      <c r="M58">
        <f>IF(OR(K58="",L58=""),"",MAX(K58,L58))</f>
        <v/>
      </c>
      <c r="N58" t="n">
        <v>0.5</v>
      </c>
      <c r="O58" t="inlineStr">
        <is>
          <t>是</t>
        </is>
      </c>
      <c r="P58">
        <f>IF(OR(M58="",M58&lt;=18),"PASS","ANGLE_ALERT")</f>
        <v/>
      </c>
      <c r="Q58" t="inlineStr">
        <is>
          <t>样品47</t>
        </is>
      </c>
    </row>
    <row r="59">
      <c r="A59" t="inlineStr">
        <is>
          <t>47(3)-P01</t>
        </is>
      </c>
      <c r="B59" t="inlineStr">
        <is>
          <t>47 (3).tif</t>
        </is>
      </c>
      <c r="C59" t="inlineStr">
        <is>
          <t>L1</t>
        </is>
      </c>
      <c r="D59" t="n">
        <v>503</v>
      </c>
      <c r="E59" t="n">
        <v>403</v>
      </c>
      <c r="F59" t="n">
        <v>485</v>
      </c>
      <c r="G59" t="n">
        <v>420</v>
      </c>
      <c r="H59">
        <f>SQRT((F59-D59)^2+(G59-E59)^2)</f>
        <v/>
      </c>
      <c r="I59" t="n">
        <v>0.2173913043478261</v>
      </c>
      <c r="J59">
        <f>H59*I59</f>
        <v/>
      </c>
      <c r="M59">
        <f>IF(OR(K59="",L59=""),"",MAX(K59,L59))</f>
        <v/>
      </c>
      <c r="N59" t="n">
        <v>0.5</v>
      </c>
      <c r="O59" t="inlineStr">
        <is>
          <t>是</t>
        </is>
      </c>
      <c r="P59">
        <f>IF(OR(M59="",M59&lt;=18),"PASS","ANGLE_ALERT")</f>
        <v/>
      </c>
      <c r="Q59" t="inlineStr">
        <is>
          <t>样品47</t>
        </is>
      </c>
    </row>
    <row r="60">
      <c r="A60" t="inlineStr">
        <is>
          <t>47(3)-P01</t>
        </is>
      </c>
      <c r="B60" t="inlineStr">
        <is>
          <t>47 (3).tif</t>
        </is>
      </c>
      <c r="C60" t="inlineStr">
        <is>
          <t>L2</t>
        </is>
      </c>
      <c r="D60" t="n">
        <v>488</v>
      </c>
      <c r="E60" t="n">
        <v>388</v>
      </c>
      <c r="F60" t="n">
        <v>470</v>
      </c>
      <c r="G60" t="n">
        <v>404</v>
      </c>
      <c r="H60">
        <f>SQRT((F60-D60)^2+(G60-E60)^2)</f>
        <v/>
      </c>
      <c r="I60" t="n">
        <v>0.2173913043478261</v>
      </c>
      <c r="J60">
        <f>H60*I60</f>
        <v/>
      </c>
      <c r="M60">
        <f>IF(OR(K60="",L60=""),"",MAX(K60,L60))</f>
        <v/>
      </c>
      <c r="N60" t="n">
        <v>0.5</v>
      </c>
      <c r="O60" t="inlineStr">
        <is>
          <t>是</t>
        </is>
      </c>
      <c r="P60">
        <f>IF(OR(M60="",M60&lt;=18),"PASS","ANGLE_ALERT")</f>
        <v/>
      </c>
      <c r="Q60" t="inlineStr">
        <is>
          <t>样品47</t>
        </is>
      </c>
    </row>
    <row r="61">
      <c r="A61" t="inlineStr">
        <is>
          <t>47(3)-P01</t>
        </is>
      </c>
      <c r="B61" t="inlineStr">
        <is>
          <t>47 (3).tif</t>
        </is>
      </c>
      <c r="C61" t="inlineStr">
        <is>
          <t>L3</t>
        </is>
      </c>
      <c r="D61" t="n">
        <v>481</v>
      </c>
      <c r="E61" t="n">
        <v>378</v>
      </c>
      <c r="F61" t="n">
        <v>461</v>
      </c>
      <c r="G61" t="n">
        <v>398</v>
      </c>
      <c r="H61">
        <f>SQRT((F61-D61)^2+(G61-E61)^2)</f>
        <v/>
      </c>
      <c r="I61" t="n">
        <v>0.2173913043478261</v>
      </c>
      <c r="J61">
        <f>H61*I61</f>
        <v/>
      </c>
      <c r="M61">
        <f>IF(OR(K61="",L61=""),"",MAX(K61,L61))</f>
        <v/>
      </c>
      <c r="N61" t="n">
        <v>0.5</v>
      </c>
      <c r="O61" t="inlineStr">
        <is>
          <t>是</t>
        </is>
      </c>
      <c r="P61">
        <f>IF(OR(M61="",M61&lt;=18),"PASS","ANGLE_ALERT")</f>
        <v/>
      </c>
      <c r="Q61" t="inlineStr">
        <is>
          <t>样品47</t>
        </is>
      </c>
    </row>
    <row r="62">
      <c r="A62" t="inlineStr">
        <is>
          <t>47(5)-P01</t>
        </is>
      </c>
      <c r="B62" t="inlineStr">
        <is>
          <t>47 (5).tif</t>
        </is>
      </c>
      <c r="C62" t="inlineStr">
        <is>
          <t>L1</t>
        </is>
      </c>
      <c r="D62" t="n">
        <v>446</v>
      </c>
      <c r="E62" t="n">
        <v>442</v>
      </c>
      <c r="F62" t="n">
        <v>446</v>
      </c>
      <c r="G62" t="n">
        <v>442</v>
      </c>
      <c r="H62">
        <f>SQRT((F62-D62)^2+(G62-E62)^2)</f>
        <v/>
      </c>
      <c r="I62" t="n">
        <v>0.2173913043478261</v>
      </c>
      <c r="J62">
        <f>H62*I62</f>
        <v/>
      </c>
      <c r="M62">
        <f>IF(OR(K62="",L62=""),"",MAX(K62,L62))</f>
        <v/>
      </c>
      <c r="N62" t="n">
        <v>0.5</v>
      </c>
      <c r="O62" t="inlineStr">
        <is>
          <t>是</t>
        </is>
      </c>
      <c r="P62">
        <f>IF(OR(M62="",M62&lt;=18),"PASS","ANGLE_ALERT")</f>
        <v/>
      </c>
      <c r="Q62" t="inlineStr">
        <is>
          <t>样品47</t>
        </is>
      </c>
    </row>
    <row r="63">
      <c r="A63" t="inlineStr">
        <is>
          <t>47(6)-P01</t>
        </is>
      </c>
      <c r="B63" t="inlineStr">
        <is>
          <t>47 (6).tif</t>
        </is>
      </c>
      <c r="C63" t="inlineStr">
        <is>
          <t>L1</t>
        </is>
      </c>
      <c r="D63" t="n">
        <v>527</v>
      </c>
      <c r="E63" t="n">
        <v>236</v>
      </c>
      <c r="F63" t="n">
        <v>527</v>
      </c>
      <c r="G63" t="n">
        <v>236</v>
      </c>
      <c r="H63">
        <f>SQRT((F63-D63)^2+(G63-E63)^2)</f>
        <v/>
      </c>
      <c r="I63" t="n">
        <v>0.2173913043478261</v>
      </c>
      <c r="J63">
        <f>H63*I63</f>
        <v/>
      </c>
      <c r="M63">
        <f>IF(OR(K63="",L63=""),"",MAX(K63,L63))</f>
        <v/>
      </c>
      <c r="N63" t="n">
        <v>0.5</v>
      </c>
      <c r="O63" t="inlineStr">
        <is>
          <t>是</t>
        </is>
      </c>
      <c r="P63">
        <f>IF(OR(M63="",M63&lt;=18),"PASS","ANGLE_ALERT")</f>
        <v/>
      </c>
      <c r="Q63" t="inlineStr">
        <is>
          <t>样品47</t>
        </is>
      </c>
    </row>
    <row r="64">
      <c r="A64" t="inlineStr">
        <is>
          <t>47(7)-P01</t>
        </is>
      </c>
      <c r="B64" t="inlineStr">
        <is>
          <t>47 (7).tif</t>
        </is>
      </c>
      <c r="C64" t="inlineStr">
        <is>
          <t>L1</t>
        </is>
      </c>
      <c r="D64" t="n">
        <v>167</v>
      </c>
      <c r="E64" t="n">
        <v>350</v>
      </c>
      <c r="F64" t="n">
        <v>167</v>
      </c>
      <c r="G64" t="n">
        <v>350</v>
      </c>
      <c r="H64">
        <f>SQRT((F64-D64)^2+(G64-E64)^2)</f>
        <v/>
      </c>
      <c r="I64" t="n">
        <v>0.2173913043478261</v>
      </c>
      <c r="J64">
        <f>H64*I64</f>
        <v/>
      </c>
      <c r="M64">
        <f>IF(OR(K64="",L64=""),"",MAX(K64,L64))</f>
        <v/>
      </c>
      <c r="N64" t="n">
        <v>0.5</v>
      </c>
      <c r="O64" t="inlineStr">
        <is>
          <t>是</t>
        </is>
      </c>
      <c r="P64">
        <f>IF(OR(M64="",M64&lt;=18),"PASS","ANGLE_ALERT")</f>
        <v/>
      </c>
      <c r="Q64" t="inlineStr">
        <is>
          <t>样品47</t>
        </is>
      </c>
    </row>
    <row r="65">
      <c r="A65" t="inlineStr">
        <is>
          <t>47(8)-P01</t>
        </is>
      </c>
      <c r="B65" t="inlineStr">
        <is>
          <t>47 (8).tif</t>
        </is>
      </c>
      <c r="C65" t="inlineStr">
        <is>
          <t>L1</t>
        </is>
      </c>
      <c r="D65" t="n">
        <v>675</v>
      </c>
      <c r="E65" t="n">
        <v>313</v>
      </c>
      <c r="F65" t="n">
        <v>713</v>
      </c>
      <c r="G65" t="n">
        <v>318</v>
      </c>
      <c r="H65">
        <f>SQRT((F65-D65)^2+(G65-E65)^2)</f>
        <v/>
      </c>
      <c r="I65" t="n">
        <v>0.2173913043478261</v>
      </c>
      <c r="J65">
        <f>H65*I65</f>
        <v/>
      </c>
      <c r="M65">
        <f>IF(OR(K65="",L65=""),"",MAX(K65,L65))</f>
        <v/>
      </c>
      <c r="N65" t="n">
        <v>0.5</v>
      </c>
      <c r="O65" t="inlineStr">
        <is>
          <t>是</t>
        </is>
      </c>
      <c r="P65">
        <f>IF(OR(M65="",M65&lt;=18),"PASS","ANGLE_ALERT")</f>
        <v/>
      </c>
      <c r="Q65" t="inlineStr">
        <is>
          <t>样品47</t>
        </is>
      </c>
    </row>
    <row r="66">
      <c r="A66" t="inlineStr">
        <is>
          <t>47(8)-P01</t>
        </is>
      </c>
      <c r="B66" t="inlineStr">
        <is>
          <t>47 (8).tif</t>
        </is>
      </c>
      <c r="C66" t="inlineStr">
        <is>
          <t>L2</t>
        </is>
      </c>
      <c r="D66" t="n">
        <v>629</v>
      </c>
      <c r="E66" t="n">
        <v>397</v>
      </c>
      <c r="F66" t="n">
        <v>707</v>
      </c>
      <c r="G66" t="n">
        <v>363</v>
      </c>
      <c r="H66">
        <f>SQRT((F66-D66)^2+(G66-E66)^2)</f>
        <v/>
      </c>
      <c r="I66" t="n">
        <v>0.2173913043478261</v>
      </c>
      <c r="J66">
        <f>H66*I66</f>
        <v/>
      </c>
      <c r="M66">
        <f>IF(OR(K66="",L66=""),"",MAX(K66,L66))</f>
        <v/>
      </c>
      <c r="N66" t="n">
        <v>0.5</v>
      </c>
      <c r="O66" t="inlineStr">
        <is>
          <t>是</t>
        </is>
      </c>
      <c r="P66">
        <f>IF(OR(M66="",M66&lt;=18),"PASS","ANGLE_ALERT")</f>
        <v/>
      </c>
      <c r="Q66" t="inlineStr">
        <is>
          <t>样品47</t>
        </is>
      </c>
    </row>
    <row r="67">
      <c r="A67" t="inlineStr">
        <is>
          <t>48(1)-P01</t>
        </is>
      </c>
      <c r="B67" t="inlineStr">
        <is>
          <t>48 (1).tif</t>
        </is>
      </c>
      <c r="C67" t="inlineStr">
        <is>
          <t>L1</t>
        </is>
      </c>
      <c r="D67" t="n">
        <v>497</v>
      </c>
      <c r="E67" t="n">
        <v>390</v>
      </c>
      <c r="F67" t="n">
        <v>506</v>
      </c>
      <c r="G67" t="n">
        <v>359</v>
      </c>
      <c r="H67">
        <f>SQRT((F67-D67)^2+(G67-E67)^2)</f>
        <v/>
      </c>
      <c r="I67" t="n">
        <v>0.2173913043478261</v>
      </c>
      <c r="J67">
        <f>H67*I67</f>
        <v/>
      </c>
      <c r="M67">
        <f>IF(OR(K67="",L67=""),"",MAX(K67,L67))</f>
        <v/>
      </c>
      <c r="N67" t="n">
        <v>0.5</v>
      </c>
      <c r="O67" t="inlineStr">
        <is>
          <t>是</t>
        </is>
      </c>
      <c r="P67">
        <f>IF(OR(M67="",M67&lt;=18),"PASS","ANGLE_ALERT")</f>
        <v/>
      </c>
      <c r="Q67" t="inlineStr">
        <is>
          <t>样品48</t>
        </is>
      </c>
    </row>
    <row r="68">
      <c r="A68" t="inlineStr">
        <is>
          <t>48(2)-P01</t>
        </is>
      </c>
      <c r="B68" t="inlineStr">
        <is>
          <t>48 (2).tif</t>
        </is>
      </c>
      <c r="C68" t="inlineStr">
        <is>
          <t>L1</t>
        </is>
      </c>
      <c r="D68" t="n">
        <v>509</v>
      </c>
      <c r="E68" t="n">
        <v>354</v>
      </c>
      <c r="F68" t="n">
        <v>480</v>
      </c>
      <c r="G68" t="n">
        <v>366</v>
      </c>
      <c r="H68">
        <f>SQRT((F68-D68)^2+(G68-E68)^2)</f>
        <v/>
      </c>
      <c r="I68" t="n">
        <v>0.2173913043478261</v>
      </c>
      <c r="J68">
        <f>H68*I68</f>
        <v/>
      </c>
      <c r="M68">
        <f>IF(OR(K68="",L68=""),"",MAX(K68,L68))</f>
        <v/>
      </c>
      <c r="N68" t="n">
        <v>0.5</v>
      </c>
      <c r="O68" t="inlineStr">
        <is>
          <t>是</t>
        </is>
      </c>
      <c r="P68">
        <f>IF(OR(M68="",M68&lt;=18),"PASS","ANGLE_ALERT")</f>
        <v/>
      </c>
      <c r="Q68" t="inlineStr">
        <is>
          <t>样品48</t>
        </is>
      </c>
    </row>
    <row r="69">
      <c r="A69" t="inlineStr">
        <is>
          <t>48(3)-P01</t>
        </is>
      </c>
      <c r="B69" t="inlineStr">
        <is>
          <t>48 (3).tif</t>
        </is>
      </c>
      <c r="C69" t="inlineStr">
        <is>
          <t>L1</t>
        </is>
      </c>
      <c r="D69" t="n">
        <v>521</v>
      </c>
      <c r="E69" t="n">
        <v>361</v>
      </c>
      <c r="F69" t="n">
        <v>492</v>
      </c>
      <c r="G69" t="n">
        <v>367</v>
      </c>
      <c r="H69">
        <f>SQRT((F69-D69)^2+(G69-E69)^2)</f>
        <v/>
      </c>
      <c r="I69" t="n">
        <v>0.2173913043478261</v>
      </c>
      <c r="J69">
        <f>H69*I69</f>
        <v/>
      </c>
      <c r="M69">
        <f>IF(OR(K69="",L69=""),"",MAX(K69,L69))</f>
        <v/>
      </c>
      <c r="N69" t="n">
        <v>0.5</v>
      </c>
      <c r="O69" t="inlineStr">
        <is>
          <t>是</t>
        </is>
      </c>
      <c r="P69">
        <f>IF(OR(M69="",M69&lt;=18),"PASS","ANGLE_ALERT")</f>
        <v/>
      </c>
      <c r="Q69" t="inlineStr">
        <is>
          <t>样品48</t>
        </is>
      </c>
    </row>
    <row r="70">
      <c r="A70" t="inlineStr">
        <is>
          <t>48(5)-P01</t>
        </is>
      </c>
      <c r="B70" t="inlineStr">
        <is>
          <t>48 (5).tif</t>
        </is>
      </c>
      <c r="C70" t="inlineStr">
        <is>
          <t>L1</t>
        </is>
      </c>
      <c r="D70" t="n">
        <v>564</v>
      </c>
      <c r="E70" t="n">
        <v>281</v>
      </c>
      <c r="F70" t="n">
        <v>562</v>
      </c>
      <c r="G70" t="n">
        <v>281</v>
      </c>
      <c r="H70">
        <f>SQRT((F70-D70)^2+(G70-E70)^2)</f>
        <v/>
      </c>
      <c r="I70" t="n">
        <v>0.2173913043478261</v>
      </c>
      <c r="J70">
        <f>H70*I70</f>
        <v/>
      </c>
      <c r="M70">
        <f>IF(OR(K70="",L70=""),"",MAX(K70,L70))</f>
        <v/>
      </c>
      <c r="N70" t="n">
        <v>0.5</v>
      </c>
      <c r="O70" t="inlineStr">
        <is>
          <t>是</t>
        </is>
      </c>
      <c r="P70">
        <f>IF(OR(M70="",M70&lt;=18),"PASS","ANGLE_ALERT")</f>
        <v/>
      </c>
      <c r="Q70" t="inlineStr">
        <is>
          <t>样品48</t>
        </is>
      </c>
    </row>
    <row r="71">
      <c r="A71" t="inlineStr">
        <is>
          <t>48(6)-P01</t>
        </is>
      </c>
      <c r="B71" t="inlineStr">
        <is>
          <t>48 (6).tif</t>
        </is>
      </c>
      <c r="C71" t="inlineStr">
        <is>
          <t>L1</t>
        </is>
      </c>
      <c r="D71" t="n">
        <v>520</v>
      </c>
      <c r="E71" t="n">
        <v>349</v>
      </c>
      <c r="F71" t="n">
        <v>510</v>
      </c>
      <c r="G71" t="n">
        <v>310</v>
      </c>
      <c r="H71">
        <f>SQRT((F71-D71)^2+(G71-E71)^2)</f>
        <v/>
      </c>
      <c r="I71" t="n">
        <v>0.2173913043478261</v>
      </c>
      <c r="J71">
        <f>H71*I71</f>
        <v/>
      </c>
      <c r="M71">
        <f>IF(OR(K71="",L71=""),"",MAX(K71,L71))</f>
        <v/>
      </c>
      <c r="N71" t="n">
        <v>0.5</v>
      </c>
      <c r="O71" t="inlineStr">
        <is>
          <t>是</t>
        </is>
      </c>
      <c r="P71">
        <f>IF(OR(M71="",M71&lt;=18),"PASS","ANGLE_ALERT")</f>
        <v/>
      </c>
      <c r="Q71" t="inlineStr">
        <is>
          <t>样品48</t>
        </is>
      </c>
    </row>
    <row r="72">
      <c r="A72" t="inlineStr">
        <is>
          <t>48(6)-P01</t>
        </is>
      </c>
      <c r="B72" t="inlineStr">
        <is>
          <t>48 (6).tif</t>
        </is>
      </c>
      <c r="C72" t="inlineStr">
        <is>
          <t>L2</t>
        </is>
      </c>
      <c r="D72" t="n">
        <v>506</v>
      </c>
      <c r="E72" t="n">
        <v>354</v>
      </c>
      <c r="F72" t="n">
        <v>491</v>
      </c>
      <c r="G72" t="n">
        <v>333</v>
      </c>
      <c r="H72">
        <f>SQRT((F72-D72)^2+(G72-E72)^2)</f>
        <v/>
      </c>
      <c r="I72" t="n">
        <v>0.2173913043478261</v>
      </c>
      <c r="J72">
        <f>H72*I72</f>
        <v/>
      </c>
      <c r="M72">
        <f>IF(OR(K72="",L72=""),"",MAX(K72,L72))</f>
        <v/>
      </c>
      <c r="N72" t="n">
        <v>0.5</v>
      </c>
      <c r="O72" t="inlineStr">
        <is>
          <t>是</t>
        </is>
      </c>
      <c r="P72">
        <f>IF(OR(M72="",M72&lt;=18),"PASS","ANGLE_ALERT")</f>
        <v/>
      </c>
      <c r="Q72" t="inlineStr">
        <is>
          <t>样品48</t>
        </is>
      </c>
    </row>
    <row r="73">
      <c r="A73" t="inlineStr">
        <is>
          <t>48(8)-P01</t>
        </is>
      </c>
      <c r="B73" t="inlineStr">
        <is>
          <t>48 (8).tif</t>
        </is>
      </c>
      <c r="C73" t="inlineStr">
        <is>
          <t>L1</t>
        </is>
      </c>
      <c r="D73" t="n">
        <v>561</v>
      </c>
      <c r="E73" t="n">
        <v>386</v>
      </c>
      <c r="F73" t="n">
        <v>537</v>
      </c>
      <c r="G73" t="n">
        <v>386</v>
      </c>
      <c r="H73">
        <f>SQRT((F73-D73)^2+(G73-E73)^2)</f>
        <v/>
      </c>
      <c r="I73" t="n">
        <v>0.2173913043478261</v>
      </c>
      <c r="J73">
        <f>H73*I73</f>
        <v/>
      </c>
      <c r="M73">
        <f>IF(OR(K73="",L73=""),"",MAX(K73,L73))</f>
        <v/>
      </c>
      <c r="N73" t="n">
        <v>0.5</v>
      </c>
      <c r="O73" t="inlineStr">
        <is>
          <t>是</t>
        </is>
      </c>
      <c r="P73">
        <f>IF(OR(M73="",M73&lt;=18),"PASS","ANGLE_ALERT")</f>
        <v/>
      </c>
      <c r="Q73" t="inlineStr">
        <is>
          <t>样品48</t>
        </is>
      </c>
    </row>
    <row r="74">
      <c r="A74" t="inlineStr">
        <is>
          <t>49(3)-P01</t>
        </is>
      </c>
      <c r="B74" t="inlineStr">
        <is>
          <t>49 (3).tif</t>
        </is>
      </c>
      <c r="C74" t="inlineStr">
        <is>
          <t>L1</t>
        </is>
      </c>
      <c r="D74" t="n">
        <v>586</v>
      </c>
      <c r="E74" t="n">
        <v>372</v>
      </c>
      <c r="F74" t="n">
        <v>565</v>
      </c>
      <c r="G74" t="n">
        <v>366</v>
      </c>
      <c r="H74">
        <f>SQRT((F74-D74)^2+(G74-E74)^2)</f>
        <v/>
      </c>
      <c r="I74" t="n">
        <v>0.2173913043478261</v>
      </c>
      <c r="J74">
        <f>H74*I74</f>
        <v/>
      </c>
      <c r="M74">
        <f>IF(OR(K74="",L74=""),"",MAX(K74,L74))</f>
        <v/>
      </c>
      <c r="N74" t="n">
        <v>0.5</v>
      </c>
      <c r="O74" t="inlineStr">
        <is>
          <t>是</t>
        </is>
      </c>
      <c r="P74">
        <f>IF(OR(M74="",M74&lt;=18),"PASS","ANGLE_ALERT")</f>
        <v/>
      </c>
      <c r="Q74" t="inlineStr">
        <is>
          <t>样品49</t>
        </is>
      </c>
    </row>
    <row r="75">
      <c r="A75" t="inlineStr">
        <is>
          <t>49(3)-P01</t>
        </is>
      </c>
      <c r="B75" t="inlineStr">
        <is>
          <t>49 (3).tif</t>
        </is>
      </c>
      <c r="C75" t="inlineStr">
        <is>
          <t>L2</t>
        </is>
      </c>
      <c r="D75" t="n">
        <v>585</v>
      </c>
      <c r="E75" t="n">
        <v>396</v>
      </c>
      <c r="F75" t="n">
        <v>547</v>
      </c>
      <c r="G75" t="n">
        <v>394</v>
      </c>
      <c r="H75">
        <f>SQRT((F75-D75)^2+(G75-E75)^2)</f>
        <v/>
      </c>
      <c r="I75" t="n">
        <v>0.2173913043478261</v>
      </c>
      <c r="J75">
        <f>H75*I75</f>
        <v/>
      </c>
      <c r="M75">
        <f>IF(OR(K75="",L75=""),"",MAX(K75,L75))</f>
        <v/>
      </c>
      <c r="N75" t="n">
        <v>0.5</v>
      </c>
      <c r="O75" t="inlineStr">
        <is>
          <t>是</t>
        </is>
      </c>
      <c r="P75">
        <f>IF(OR(M75="",M75&lt;=18),"PASS","ANGLE_ALERT")</f>
        <v/>
      </c>
      <c r="Q75" t="inlineStr">
        <is>
          <t>样品49</t>
        </is>
      </c>
    </row>
    <row r="76">
      <c r="A76" t="inlineStr">
        <is>
          <t>49(8)-P01</t>
        </is>
      </c>
      <c r="B76" t="inlineStr">
        <is>
          <t>49 (8).tif</t>
        </is>
      </c>
      <c r="C76" t="inlineStr">
        <is>
          <t>L1</t>
        </is>
      </c>
      <c r="D76" t="n">
        <v>476</v>
      </c>
      <c r="E76" t="n">
        <v>370</v>
      </c>
      <c r="F76" t="n">
        <v>485</v>
      </c>
      <c r="G76" t="n">
        <v>408</v>
      </c>
      <c r="H76">
        <f>SQRT((F76-D76)^2+(G76-E76)^2)</f>
        <v/>
      </c>
      <c r="I76" t="n">
        <v>0.2173913043478261</v>
      </c>
      <c r="J76">
        <f>H76*I76</f>
        <v/>
      </c>
      <c r="M76">
        <f>IF(OR(K76="",L76=""),"",MAX(K76,L76))</f>
        <v/>
      </c>
      <c r="N76" t="n">
        <v>0.5</v>
      </c>
      <c r="O76" t="inlineStr">
        <is>
          <t>是</t>
        </is>
      </c>
      <c r="P76">
        <f>IF(OR(M76="",M76&lt;=18),"PASS","ANGLE_ALERT")</f>
        <v/>
      </c>
      <c r="Q76" t="inlineStr">
        <is>
          <t>样品49</t>
        </is>
      </c>
    </row>
    <row r="77">
      <c r="A77" t="inlineStr">
        <is>
          <t>50(2)-P01</t>
        </is>
      </c>
      <c r="B77" t="inlineStr">
        <is>
          <t>50 (2).tif</t>
        </is>
      </c>
      <c r="C77" t="inlineStr">
        <is>
          <t>L1</t>
        </is>
      </c>
      <c r="D77" t="n">
        <v>486</v>
      </c>
      <c r="E77" t="n">
        <v>374</v>
      </c>
      <c r="F77" t="n">
        <v>503</v>
      </c>
      <c r="G77" t="n">
        <v>346</v>
      </c>
      <c r="H77">
        <f>SQRT((F77-D77)^2+(G77-E77)^2)</f>
        <v/>
      </c>
      <c r="I77" t="n">
        <v>0.2173913043478261</v>
      </c>
      <c r="J77">
        <f>H77*I77</f>
        <v/>
      </c>
      <c r="M77">
        <f>IF(OR(K77="",L77=""),"",MAX(K77,L77))</f>
        <v/>
      </c>
      <c r="N77" t="n">
        <v>0.5</v>
      </c>
      <c r="O77" t="inlineStr">
        <is>
          <t>是</t>
        </is>
      </c>
      <c r="P77">
        <f>IF(OR(M77="",M77&lt;=18),"PASS","ANGLE_ALERT")</f>
        <v/>
      </c>
      <c r="Q77" t="inlineStr">
        <is>
          <t>样品50</t>
        </is>
      </c>
    </row>
    <row r="78">
      <c r="A78" t="inlineStr">
        <is>
          <t>50(2)-P01</t>
        </is>
      </c>
      <c r="B78" t="inlineStr">
        <is>
          <t>50 (2).tif</t>
        </is>
      </c>
      <c r="C78" t="inlineStr">
        <is>
          <t>L2</t>
        </is>
      </c>
      <c r="D78" t="n">
        <v>497</v>
      </c>
      <c r="E78" t="n">
        <v>379</v>
      </c>
      <c r="F78" t="n">
        <v>512</v>
      </c>
      <c r="G78" t="n">
        <v>354</v>
      </c>
      <c r="H78">
        <f>SQRT((F78-D78)^2+(G78-E78)^2)</f>
        <v/>
      </c>
      <c r="I78" t="n">
        <v>0.2173913043478261</v>
      </c>
      <c r="J78">
        <f>H78*I78</f>
        <v/>
      </c>
      <c r="M78">
        <f>IF(OR(K78="",L78=""),"",MAX(K78,L78))</f>
        <v/>
      </c>
      <c r="N78" t="n">
        <v>0.5</v>
      </c>
      <c r="O78" t="inlineStr">
        <is>
          <t>是</t>
        </is>
      </c>
      <c r="P78">
        <f>IF(OR(M78="",M78&lt;=18),"PASS","ANGLE_ALERT")</f>
        <v/>
      </c>
      <c r="Q78" t="inlineStr">
        <is>
          <t>样品50</t>
        </is>
      </c>
    </row>
    <row r="79">
      <c r="A79" t="inlineStr">
        <is>
          <t>50(3)-P01</t>
        </is>
      </c>
      <c r="B79" t="inlineStr">
        <is>
          <t>50 (3).tif</t>
        </is>
      </c>
      <c r="C79" t="inlineStr">
        <is>
          <t>L1</t>
        </is>
      </c>
      <c r="D79" t="n">
        <v>526</v>
      </c>
      <c r="E79" t="n">
        <v>348</v>
      </c>
      <c r="F79" t="n">
        <v>511</v>
      </c>
      <c r="G79" t="n">
        <v>368</v>
      </c>
      <c r="H79">
        <f>SQRT((F79-D79)^2+(G79-E79)^2)</f>
        <v/>
      </c>
      <c r="I79" t="n">
        <v>0.2173913043478261</v>
      </c>
      <c r="J79">
        <f>H79*I79</f>
        <v/>
      </c>
      <c r="M79">
        <f>IF(OR(K79="",L79=""),"",MAX(K79,L79))</f>
        <v/>
      </c>
      <c r="N79" t="n">
        <v>0.5</v>
      </c>
      <c r="O79" t="inlineStr">
        <is>
          <t>是</t>
        </is>
      </c>
      <c r="P79">
        <f>IF(OR(M79="",M79&lt;=18),"PASS","ANGLE_ALERT")</f>
        <v/>
      </c>
      <c r="Q79" t="inlineStr">
        <is>
          <t>样品50</t>
        </is>
      </c>
    </row>
    <row r="80">
      <c r="A80" t="inlineStr">
        <is>
          <t>50(3)-P01</t>
        </is>
      </c>
      <c r="B80" t="inlineStr">
        <is>
          <t>50 (3).tif</t>
        </is>
      </c>
      <c r="C80" t="inlineStr">
        <is>
          <t>L2</t>
        </is>
      </c>
      <c r="D80" t="n">
        <v>515</v>
      </c>
      <c r="E80" t="n">
        <v>343</v>
      </c>
      <c r="F80" t="n">
        <v>501</v>
      </c>
      <c r="G80" t="n">
        <v>362</v>
      </c>
      <c r="H80">
        <f>SQRT((F80-D80)^2+(G80-E80)^2)</f>
        <v/>
      </c>
      <c r="I80" t="n">
        <v>0.2173913043478261</v>
      </c>
      <c r="J80">
        <f>H80*I80</f>
        <v/>
      </c>
      <c r="M80">
        <f>IF(OR(K80="",L80=""),"",MAX(K80,L80))</f>
        <v/>
      </c>
      <c r="N80" t="n">
        <v>0.5</v>
      </c>
      <c r="O80" t="inlineStr">
        <is>
          <t>是</t>
        </is>
      </c>
      <c r="P80">
        <f>IF(OR(M80="",M80&lt;=18),"PASS","ANGLE_ALERT")</f>
        <v/>
      </c>
      <c r="Q80" t="inlineStr">
        <is>
          <t>样品50</t>
        </is>
      </c>
    </row>
    <row r="81">
      <c r="A81" t="inlineStr">
        <is>
          <t>50(3)-P01</t>
        </is>
      </c>
      <c r="B81" t="inlineStr">
        <is>
          <t>50 (3).tif</t>
        </is>
      </c>
      <c r="C81" t="inlineStr">
        <is>
          <t>L3</t>
        </is>
      </c>
      <c r="D81" t="n">
        <v>508</v>
      </c>
      <c r="E81" t="n">
        <v>338</v>
      </c>
      <c r="F81" t="n">
        <v>494</v>
      </c>
      <c r="G81" t="n">
        <v>359</v>
      </c>
      <c r="H81">
        <f>SQRT((F81-D81)^2+(G81-E81)^2)</f>
        <v/>
      </c>
      <c r="I81" t="n">
        <v>0.2173913043478261</v>
      </c>
      <c r="J81">
        <f>H81*I81</f>
        <v/>
      </c>
      <c r="M81">
        <f>IF(OR(K81="",L81=""),"",MAX(K81,L81))</f>
        <v/>
      </c>
      <c r="N81" t="n">
        <v>0.5</v>
      </c>
      <c r="O81" t="inlineStr">
        <is>
          <t>是</t>
        </is>
      </c>
      <c r="P81">
        <f>IF(OR(M81="",M81&lt;=18),"PASS","ANGLE_ALERT")</f>
        <v/>
      </c>
      <c r="Q81" t="inlineStr">
        <is>
          <t>样品50</t>
        </is>
      </c>
    </row>
    <row r="82">
      <c r="A82" t="inlineStr">
        <is>
          <t>50(6)-P01</t>
        </is>
      </c>
      <c r="B82" t="inlineStr">
        <is>
          <t>50 (6).tif</t>
        </is>
      </c>
      <c r="C82" t="inlineStr">
        <is>
          <t>L1</t>
        </is>
      </c>
      <c r="D82" t="n">
        <v>512</v>
      </c>
      <c r="E82" t="n">
        <v>382</v>
      </c>
      <c r="F82" t="n">
        <v>499</v>
      </c>
      <c r="G82" t="n">
        <v>439</v>
      </c>
      <c r="H82">
        <f>SQRT((F82-D82)^2+(G82-E82)^2)</f>
        <v/>
      </c>
      <c r="I82" t="n">
        <v>0.2173913043478261</v>
      </c>
      <c r="J82">
        <f>H82*I82</f>
        <v/>
      </c>
      <c r="M82">
        <f>IF(OR(K82="",L82=""),"",MAX(K82,L82))</f>
        <v/>
      </c>
      <c r="N82" t="n">
        <v>0.5</v>
      </c>
      <c r="O82" t="inlineStr">
        <is>
          <t>是</t>
        </is>
      </c>
      <c r="P82">
        <f>IF(OR(M82="",M82&lt;=18),"PASS","ANGLE_ALERT")</f>
        <v/>
      </c>
      <c r="Q82" t="inlineStr">
        <is>
          <t>样品50</t>
        </is>
      </c>
    </row>
    <row r="83">
      <c r="A83" t="inlineStr">
        <is>
          <t>50(6)-P01</t>
        </is>
      </c>
      <c r="B83" t="inlineStr">
        <is>
          <t>50 (6).tif</t>
        </is>
      </c>
      <c r="C83" t="inlineStr">
        <is>
          <t>L2</t>
        </is>
      </c>
      <c r="D83" t="n">
        <v>459</v>
      </c>
      <c r="E83" t="n">
        <v>340</v>
      </c>
      <c r="F83" t="n">
        <v>462</v>
      </c>
      <c r="G83" t="n">
        <v>377</v>
      </c>
      <c r="H83">
        <f>SQRT((F83-D83)^2+(G83-E83)^2)</f>
        <v/>
      </c>
      <c r="I83" t="n">
        <v>0.2173913043478261</v>
      </c>
      <c r="J83">
        <f>H83*I83</f>
        <v/>
      </c>
      <c r="M83">
        <f>IF(OR(K83="",L83=""),"",MAX(K83,L83))</f>
        <v/>
      </c>
      <c r="N83" t="n">
        <v>0.5</v>
      </c>
      <c r="O83" t="inlineStr">
        <is>
          <t>是</t>
        </is>
      </c>
      <c r="P83">
        <f>IF(OR(M83="",M83&lt;=18),"PASS","ANGLE_ALERT")</f>
        <v/>
      </c>
      <c r="Q83" t="inlineStr">
        <is>
          <t>样品50</t>
        </is>
      </c>
    </row>
    <row r="84">
      <c r="A84" t="inlineStr">
        <is>
          <t>50(7)-P01</t>
        </is>
      </c>
      <c r="B84" t="inlineStr">
        <is>
          <t>50 (7).tif</t>
        </is>
      </c>
      <c r="C84" t="inlineStr">
        <is>
          <t>L1</t>
        </is>
      </c>
      <c r="D84" t="n">
        <v>484</v>
      </c>
      <c r="E84" t="n">
        <v>394</v>
      </c>
      <c r="F84" t="n">
        <v>484</v>
      </c>
      <c r="G84" t="n">
        <v>367</v>
      </c>
      <c r="H84">
        <f>SQRT((F84-D84)^2+(G84-E84)^2)</f>
        <v/>
      </c>
      <c r="I84" t="n">
        <v>0.2173913043478261</v>
      </c>
      <c r="J84">
        <f>H84*I84</f>
        <v/>
      </c>
      <c r="M84">
        <f>IF(OR(K84="",L84=""),"",MAX(K84,L84))</f>
        <v/>
      </c>
      <c r="N84" t="n">
        <v>0.5</v>
      </c>
      <c r="O84" t="inlineStr">
        <is>
          <t>是</t>
        </is>
      </c>
      <c r="P84">
        <f>IF(OR(M84="",M84&lt;=18),"PASS","ANGLE_ALERT")</f>
        <v/>
      </c>
      <c r="Q84" t="inlineStr">
        <is>
          <t>样品50</t>
        </is>
      </c>
    </row>
    <row r="85">
      <c r="A85" t="inlineStr">
        <is>
          <t>50(7)-P01</t>
        </is>
      </c>
      <c r="B85" t="inlineStr">
        <is>
          <t>50 (7).tif</t>
        </is>
      </c>
      <c r="C85" t="inlineStr">
        <is>
          <t>L2</t>
        </is>
      </c>
      <c r="D85" t="n">
        <v>530</v>
      </c>
      <c r="E85" t="n">
        <v>392</v>
      </c>
      <c r="F85" t="n">
        <v>571</v>
      </c>
      <c r="G85" t="n">
        <v>318</v>
      </c>
      <c r="H85">
        <f>SQRT((F85-D85)^2+(G85-E85)^2)</f>
        <v/>
      </c>
      <c r="I85" t="n">
        <v>0.2173913043478261</v>
      </c>
      <c r="J85">
        <f>H85*I85</f>
        <v/>
      </c>
      <c r="M85">
        <f>IF(OR(K85="",L85=""),"",MAX(K85,L85))</f>
        <v/>
      </c>
      <c r="N85" t="n">
        <v>0.5</v>
      </c>
      <c r="O85" t="inlineStr">
        <is>
          <t>是</t>
        </is>
      </c>
      <c r="P85">
        <f>IF(OR(M85="",M85&lt;=18),"PASS","ANGLE_ALERT")</f>
        <v/>
      </c>
      <c r="Q85" t="inlineStr">
        <is>
          <t>样品50</t>
        </is>
      </c>
    </row>
    <row r="86">
      <c r="A86" t="inlineStr">
        <is>
          <t>50(8)-P01</t>
        </is>
      </c>
      <c r="B86" t="inlineStr">
        <is>
          <t>50 (8).tif</t>
        </is>
      </c>
      <c r="C86" t="inlineStr">
        <is>
          <t>L1</t>
        </is>
      </c>
      <c r="D86" t="n">
        <v>486</v>
      </c>
      <c r="E86" t="n">
        <v>377</v>
      </c>
      <c r="F86" t="n">
        <v>466</v>
      </c>
      <c r="G86" t="n">
        <v>390</v>
      </c>
      <c r="H86">
        <f>SQRT((F86-D86)^2+(G86-E86)^2)</f>
        <v/>
      </c>
      <c r="I86" t="n">
        <v>0.2173913043478261</v>
      </c>
      <c r="J86">
        <f>H86*I86</f>
        <v/>
      </c>
      <c r="M86">
        <f>IF(OR(K86="",L86=""),"",MAX(K86,L86))</f>
        <v/>
      </c>
      <c r="N86" t="n">
        <v>0.5</v>
      </c>
      <c r="O86" t="inlineStr">
        <is>
          <t>是</t>
        </is>
      </c>
      <c r="P86">
        <f>IF(OR(M86="",M86&lt;=18),"PASS","ANGLE_ALERT")</f>
        <v/>
      </c>
      <c r="Q86" t="inlineStr">
        <is>
          <t>样品50</t>
        </is>
      </c>
    </row>
    <row r="87">
      <c r="A87" t="inlineStr">
        <is>
          <t>51(5)-P01</t>
        </is>
      </c>
      <c r="B87" t="inlineStr">
        <is>
          <t>51 (5).tif</t>
        </is>
      </c>
      <c r="C87" t="inlineStr">
        <is>
          <t>L1</t>
        </is>
      </c>
      <c r="D87" t="n">
        <v>530</v>
      </c>
      <c r="E87" t="n">
        <v>388</v>
      </c>
      <c r="F87" t="n">
        <v>510</v>
      </c>
      <c r="G87" t="n">
        <v>376</v>
      </c>
      <c r="H87">
        <f>SQRT((F87-D87)^2+(G87-E87)^2)</f>
        <v/>
      </c>
      <c r="I87" t="n">
        <v>0.2173913043478261</v>
      </c>
      <c r="J87">
        <f>H87*I87</f>
        <v/>
      </c>
      <c r="M87">
        <f>IF(OR(K87="",L87=""),"",MAX(K87,L87))</f>
        <v/>
      </c>
      <c r="N87" t="n">
        <v>0.5</v>
      </c>
      <c r="O87" t="inlineStr">
        <is>
          <t>是</t>
        </is>
      </c>
      <c r="P87">
        <f>IF(OR(M87="",M87&lt;=18),"PASS","ANGLE_ALERT")</f>
        <v/>
      </c>
      <c r="Q87" t="inlineStr">
        <is>
          <t>样品51</t>
        </is>
      </c>
    </row>
    <row r="88">
      <c r="A88" t="inlineStr">
        <is>
          <t>51(6)-P01</t>
        </is>
      </c>
      <c r="B88" t="inlineStr">
        <is>
          <t>51 (6).tif</t>
        </is>
      </c>
      <c r="C88" t="inlineStr">
        <is>
          <t>L1</t>
        </is>
      </c>
      <c r="D88" t="n">
        <v>430</v>
      </c>
      <c r="E88" t="n">
        <v>347</v>
      </c>
      <c r="F88" t="n">
        <v>410</v>
      </c>
      <c r="G88" t="n">
        <v>328</v>
      </c>
      <c r="H88">
        <f>SQRT((F88-D88)^2+(G88-E88)^2)</f>
        <v/>
      </c>
      <c r="I88" t="n">
        <v>0.2173913043478261</v>
      </c>
      <c r="J88">
        <f>H88*I88</f>
        <v/>
      </c>
      <c r="M88">
        <f>IF(OR(K88="",L88=""),"",MAX(K88,L88))</f>
        <v/>
      </c>
      <c r="N88" t="n">
        <v>0.5</v>
      </c>
      <c r="O88" t="inlineStr">
        <is>
          <t>是</t>
        </is>
      </c>
      <c r="P88">
        <f>IF(OR(M88="",M88&lt;=18),"PASS","ANGLE_ALERT")</f>
        <v/>
      </c>
      <c r="Q88" t="inlineStr">
        <is>
          <t>样品51</t>
        </is>
      </c>
    </row>
    <row r="89">
      <c r="A89" t="inlineStr">
        <is>
          <t>51(6)-P01</t>
        </is>
      </c>
      <c r="B89" t="inlineStr">
        <is>
          <t>51 (6).tif</t>
        </is>
      </c>
      <c r="C89" t="inlineStr">
        <is>
          <t>L2</t>
        </is>
      </c>
      <c r="D89" t="n">
        <v>440</v>
      </c>
      <c r="E89" t="n">
        <v>337</v>
      </c>
      <c r="F89" t="n">
        <v>421</v>
      </c>
      <c r="G89" t="n">
        <v>318</v>
      </c>
      <c r="H89">
        <f>SQRT((F89-D89)^2+(G89-E89)^2)</f>
        <v/>
      </c>
      <c r="I89" t="n">
        <v>0.2173913043478261</v>
      </c>
      <c r="J89">
        <f>H89*I89</f>
        <v/>
      </c>
      <c r="M89">
        <f>IF(OR(K89="",L89=""),"",MAX(K89,L89))</f>
        <v/>
      </c>
      <c r="N89" t="n">
        <v>0.5</v>
      </c>
      <c r="O89" t="inlineStr">
        <is>
          <t>是</t>
        </is>
      </c>
      <c r="P89">
        <f>IF(OR(M89="",M89&lt;=18),"PASS","ANGLE_ALERT")</f>
        <v/>
      </c>
      <c r="Q89" t="inlineStr">
        <is>
          <t>样品51</t>
        </is>
      </c>
    </row>
    <row r="90">
      <c r="A90" t="inlineStr">
        <is>
          <t>51(6)-P01</t>
        </is>
      </c>
      <c r="B90" t="inlineStr">
        <is>
          <t>51 (6).tif</t>
        </is>
      </c>
      <c r="C90" t="inlineStr">
        <is>
          <t>L3</t>
        </is>
      </c>
      <c r="D90" t="n">
        <v>450</v>
      </c>
      <c r="E90" t="n">
        <v>328</v>
      </c>
      <c r="F90" t="n">
        <v>429</v>
      </c>
      <c r="G90" t="n">
        <v>310</v>
      </c>
      <c r="H90">
        <f>SQRT((F90-D90)^2+(G90-E90)^2)</f>
        <v/>
      </c>
      <c r="I90" t="n">
        <v>0.2173913043478261</v>
      </c>
      <c r="J90">
        <f>H90*I90</f>
        <v/>
      </c>
      <c r="M90">
        <f>IF(OR(K90="",L90=""),"",MAX(K90,L90))</f>
        <v/>
      </c>
      <c r="N90" t="n">
        <v>0.5</v>
      </c>
      <c r="O90" t="inlineStr">
        <is>
          <t>是</t>
        </is>
      </c>
      <c r="P90">
        <f>IF(OR(M90="",M90&lt;=18),"PASS","ANGLE_ALERT")</f>
        <v/>
      </c>
      <c r="Q90" t="inlineStr">
        <is>
          <t>样品51</t>
        </is>
      </c>
    </row>
    <row r="91">
      <c r="A91" t="inlineStr">
        <is>
          <t>52(2)-P01</t>
        </is>
      </c>
      <c r="B91" t="inlineStr">
        <is>
          <t>52 (2).tif</t>
        </is>
      </c>
      <c r="C91" t="inlineStr">
        <is>
          <t>L1</t>
        </is>
      </c>
      <c r="D91" t="n">
        <v>475</v>
      </c>
      <c r="E91" t="n">
        <v>348</v>
      </c>
      <c r="F91" t="n">
        <v>508</v>
      </c>
      <c r="G91" t="n">
        <v>328</v>
      </c>
      <c r="H91">
        <f>SQRT((F91-D91)^2+(G91-E91)^2)</f>
        <v/>
      </c>
      <c r="I91" t="n">
        <v>0.2173913043478261</v>
      </c>
      <c r="J91">
        <f>H91*I91</f>
        <v/>
      </c>
      <c r="M91">
        <f>IF(OR(K91="",L91=""),"",MAX(K91,L91))</f>
        <v/>
      </c>
      <c r="N91" t="n">
        <v>0.5</v>
      </c>
      <c r="O91" t="inlineStr">
        <is>
          <t>是</t>
        </is>
      </c>
      <c r="P91">
        <f>IF(OR(M91="",M91&lt;=18),"PASS","ANGLE_ALERT")</f>
        <v/>
      </c>
      <c r="Q91" t="inlineStr">
        <is>
          <t>样品52</t>
        </is>
      </c>
    </row>
    <row r="92">
      <c r="A92" t="inlineStr">
        <is>
          <t>52(2)-P01</t>
        </is>
      </c>
      <c r="B92" t="inlineStr">
        <is>
          <t>52 (2).tif</t>
        </is>
      </c>
      <c r="C92" t="inlineStr">
        <is>
          <t>L2</t>
        </is>
      </c>
      <c r="D92" t="n">
        <v>482</v>
      </c>
      <c r="E92" t="n">
        <v>363</v>
      </c>
      <c r="F92" t="n">
        <v>535</v>
      </c>
      <c r="G92" t="n">
        <v>351</v>
      </c>
      <c r="H92">
        <f>SQRT((F92-D92)^2+(G92-E92)^2)</f>
        <v/>
      </c>
      <c r="I92" t="n">
        <v>0.2173913043478261</v>
      </c>
      <c r="J92">
        <f>H92*I92</f>
        <v/>
      </c>
      <c r="M92">
        <f>IF(OR(K92="",L92=""),"",MAX(K92,L92))</f>
        <v/>
      </c>
      <c r="N92" t="n">
        <v>0.5</v>
      </c>
      <c r="O92" t="inlineStr">
        <is>
          <t>是</t>
        </is>
      </c>
      <c r="P92">
        <f>IF(OR(M92="",M92&lt;=18),"PASS","ANGLE_ALERT")</f>
        <v/>
      </c>
      <c r="Q92" t="inlineStr">
        <is>
          <t>样品52</t>
        </is>
      </c>
    </row>
    <row r="93">
      <c r="A93" t="inlineStr">
        <is>
          <t>52(2)-P01</t>
        </is>
      </c>
      <c r="B93" t="inlineStr">
        <is>
          <t>52 (2).tif</t>
        </is>
      </c>
      <c r="C93" t="inlineStr">
        <is>
          <t>L3</t>
        </is>
      </c>
      <c r="D93" t="n">
        <v>479</v>
      </c>
      <c r="E93" t="n">
        <v>355</v>
      </c>
      <c r="F93" t="n">
        <v>515</v>
      </c>
      <c r="G93" t="n">
        <v>338</v>
      </c>
      <c r="H93">
        <f>SQRT((F93-D93)^2+(G93-E93)^2)</f>
        <v/>
      </c>
      <c r="I93" t="n">
        <v>0.2173913043478261</v>
      </c>
      <c r="J93">
        <f>H93*I93</f>
        <v/>
      </c>
      <c r="M93">
        <f>IF(OR(K93="",L93=""),"",MAX(K93,L93))</f>
        <v/>
      </c>
      <c r="N93" t="n">
        <v>0.5</v>
      </c>
      <c r="O93" t="inlineStr">
        <is>
          <t>是</t>
        </is>
      </c>
      <c r="P93">
        <f>IF(OR(M93="",M93&lt;=18),"PASS","ANGLE_ALERT")</f>
        <v/>
      </c>
      <c r="Q93" t="inlineStr">
        <is>
          <t>样品52</t>
        </is>
      </c>
    </row>
    <row r="94">
      <c r="A94" t="inlineStr">
        <is>
          <t>52(3)-P01</t>
        </is>
      </c>
      <c r="B94" t="inlineStr">
        <is>
          <t>52 (3).tif</t>
        </is>
      </c>
      <c r="C94" t="inlineStr">
        <is>
          <t>L1</t>
        </is>
      </c>
      <c r="D94" t="n">
        <v>492</v>
      </c>
      <c r="E94" t="n">
        <v>329</v>
      </c>
      <c r="F94" t="n">
        <v>488</v>
      </c>
      <c r="G94" t="n">
        <v>352</v>
      </c>
      <c r="H94">
        <f>SQRT((F94-D94)^2+(G94-E94)^2)</f>
        <v/>
      </c>
      <c r="I94" t="n">
        <v>0.2173913043478261</v>
      </c>
      <c r="J94">
        <f>H94*I94</f>
        <v/>
      </c>
      <c r="M94">
        <f>IF(OR(K94="",L94=""),"",MAX(K94,L94))</f>
        <v/>
      </c>
      <c r="N94" t="n">
        <v>0.5</v>
      </c>
      <c r="O94" t="inlineStr">
        <is>
          <t>是</t>
        </is>
      </c>
      <c r="P94">
        <f>IF(OR(M94="",M94&lt;=18),"PASS","ANGLE_ALERT")</f>
        <v/>
      </c>
      <c r="Q94" t="inlineStr">
        <is>
          <t>样品52</t>
        </is>
      </c>
    </row>
    <row r="95">
      <c r="A95" t="inlineStr">
        <is>
          <t>52(3)-P01</t>
        </is>
      </c>
      <c r="B95" t="inlineStr">
        <is>
          <t>52 (3).tif</t>
        </is>
      </c>
      <c r="C95" t="inlineStr">
        <is>
          <t>L2</t>
        </is>
      </c>
      <c r="D95" t="n">
        <v>510</v>
      </c>
      <c r="E95" t="n">
        <v>329</v>
      </c>
      <c r="F95" t="n">
        <v>524</v>
      </c>
      <c r="G95" t="n">
        <v>407</v>
      </c>
      <c r="H95">
        <f>SQRT((F95-D95)^2+(G95-E95)^2)</f>
        <v/>
      </c>
      <c r="I95" t="n">
        <v>0.2173913043478261</v>
      </c>
      <c r="J95">
        <f>H95*I95</f>
        <v/>
      </c>
      <c r="M95">
        <f>IF(OR(K95="",L95=""),"",MAX(K95,L95))</f>
        <v/>
      </c>
      <c r="N95" t="n">
        <v>0.5</v>
      </c>
      <c r="O95" t="inlineStr">
        <is>
          <t>是</t>
        </is>
      </c>
      <c r="P95">
        <f>IF(OR(M95="",M95&lt;=18),"PASS","ANGLE_ALERT")</f>
        <v/>
      </c>
      <c r="Q95" t="inlineStr">
        <is>
          <t>样品52</t>
        </is>
      </c>
    </row>
    <row r="96">
      <c r="A96" t="inlineStr">
        <is>
          <t>52(3)-P01</t>
        </is>
      </c>
      <c r="B96" t="inlineStr">
        <is>
          <t>52 (3).tif</t>
        </is>
      </c>
      <c r="C96" t="inlineStr">
        <is>
          <t>L3</t>
        </is>
      </c>
      <c r="D96" t="n">
        <v>485</v>
      </c>
      <c r="E96" t="n">
        <v>328</v>
      </c>
      <c r="F96" t="n">
        <v>480</v>
      </c>
      <c r="G96" t="n">
        <v>350</v>
      </c>
      <c r="H96">
        <f>SQRT((F96-D96)^2+(G96-E96)^2)</f>
        <v/>
      </c>
      <c r="I96" t="n">
        <v>0.2173913043478261</v>
      </c>
      <c r="J96">
        <f>H96*I96</f>
        <v/>
      </c>
      <c r="M96">
        <f>IF(OR(K96="",L96=""),"",MAX(K96,L96))</f>
        <v/>
      </c>
      <c r="N96" t="n">
        <v>0.5</v>
      </c>
      <c r="O96" t="inlineStr">
        <is>
          <t>是</t>
        </is>
      </c>
      <c r="P96">
        <f>IF(OR(M96="",M96&lt;=18),"PASS","ANGLE_ALERT")</f>
        <v/>
      </c>
      <c r="Q96" t="inlineStr">
        <is>
          <t>样品52</t>
        </is>
      </c>
    </row>
    <row r="97">
      <c r="A97" t="inlineStr">
        <is>
          <t>52(4)-P01</t>
        </is>
      </c>
      <c r="B97" t="inlineStr">
        <is>
          <t>52 (4).tif</t>
        </is>
      </c>
      <c r="C97" t="inlineStr">
        <is>
          <t>L1</t>
        </is>
      </c>
      <c r="D97" t="n">
        <v>553</v>
      </c>
      <c r="E97" t="n">
        <v>386</v>
      </c>
      <c r="F97" t="n">
        <v>555</v>
      </c>
      <c r="G97" t="n">
        <v>416</v>
      </c>
      <c r="H97">
        <f>SQRT((F97-D97)^2+(G97-E97)^2)</f>
        <v/>
      </c>
      <c r="I97" t="n">
        <v>0.2173913043478261</v>
      </c>
      <c r="J97">
        <f>H97*I97</f>
        <v/>
      </c>
      <c r="M97">
        <f>IF(OR(K97="",L97=""),"",MAX(K97,L97))</f>
        <v/>
      </c>
      <c r="N97" t="n">
        <v>0.5</v>
      </c>
      <c r="O97" t="inlineStr">
        <is>
          <t>是</t>
        </is>
      </c>
      <c r="P97">
        <f>IF(OR(M97="",M97&lt;=18),"PASS","ANGLE_ALERT")</f>
        <v/>
      </c>
      <c r="Q97" t="inlineStr">
        <is>
          <t>样品52</t>
        </is>
      </c>
    </row>
    <row r="98">
      <c r="A98" t="inlineStr">
        <is>
          <t>52(4)-P01</t>
        </is>
      </c>
      <c r="B98" t="inlineStr">
        <is>
          <t>52 (4).tif</t>
        </is>
      </c>
      <c r="C98" t="inlineStr">
        <is>
          <t>L2</t>
        </is>
      </c>
      <c r="D98" t="n">
        <v>524</v>
      </c>
      <c r="E98" t="n">
        <v>385</v>
      </c>
      <c r="F98" t="n">
        <v>486</v>
      </c>
      <c r="G98" t="n">
        <v>475</v>
      </c>
      <c r="H98">
        <f>SQRT((F98-D98)^2+(G98-E98)^2)</f>
        <v/>
      </c>
      <c r="I98" t="n">
        <v>0.2173913043478261</v>
      </c>
      <c r="J98">
        <f>H98*I98</f>
        <v/>
      </c>
      <c r="M98">
        <f>IF(OR(K98="",L98=""),"",MAX(K98,L98))</f>
        <v/>
      </c>
      <c r="N98" t="n">
        <v>0.5</v>
      </c>
      <c r="O98" t="inlineStr">
        <is>
          <t>是</t>
        </is>
      </c>
      <c r="P98">
        <f>IF(OR(M98="",M98&lt;=18),"PASS","ANGLE_ALERT")</f>
        <v/>
      </c>
      <c r="Q98" t="inlineStr">
        <is>
          <t>样品52</t>
        </is>
      </c>
    </row>
    <row r="99">
      <c r="A99" t="inlineStr">
        <is>
          <t>52(4)-P01</t>
        </is>
      </c>
      <c r="B99" t="inlineStr">
        <is>
          <t>52 (4).tif</t>
        </is>
      </c>
      <c r="C99" t="inlineStr">
        <is>
          <t>L3</t>
        </is>
      </c>
      <c r="D99" t="n">
        <v>544</v>
      </c>
      <c r="E99" t="n">
        <v>387</v>
      </c>
      <c r="F99" t="n">
        <v>544</v>
      </c>
      <c r="G99" t="n">
        <v>416</v>
      </c>
      <c r="H99">
        <f>SQRT((F99-D99)^2+(G99-E99)^2)</f>
        <v/>
      </c>
      <c r="I99" t="n">
        <v>0.2173913043478261</v>
      </c>
      <c r="J99">
        <f>H99*I99</f>
        <v/>
      </c>
      <c r="M99">
        <f>IF(OR(K99="",L99=""),"",MAX(K99,L99))</f>
        <v/>
      </c>
      <c r="N99" t="n">
        <v>0.5</v>
      </c>
      <c r="O99" t="inlineStr">
        <is>
          <t>是</t>
        </is>
      </c>
      <c r="P99">
        <f>IF(OR(M99="",M99&lt;=18),"PASS","ANGLE_ALERT")</f>
        <v/>
      </c>
      <c r="Q99" t="inlineStr">
        <is>
          <t>样品52</t>
        </is>
      </c>
    </row>
    <row r="100">
      <c r="A100" t="inlineStr">
        <is>
          <t>52(4)-P01</t>
        </is>
      </c>
      <c r="B100" t="inlineStr">
        <is>
          <t>52 (4).tif</t>
        </is>
      </c>
      <c r="C100" t="inlineStr">
        <is>
          <t>L4</t>
        </is>
      </c>
      <c r="D100" t="n">
        <v>536</v>
      </c>
      <c r="E100" t="n">
        <v>387</v>
      </c>
      <c r="F100" t="n">
        <v>536</v>
      </c>
      <c r="G100" t="n">
        <v>417</v>
      </c>
      <c r="H100">
        <f>SQRT((F100-D100)^2+(G100-E100)^2)</f>
        <v/>
      </c>
      <c r="I100" t="n">
        <v>0.2173913043478261</v>
      </c>
      <c r="J100">
        <f>H100*I100</f>
        <v/>
      </c>
      <c r="M100">
        <f>IF(OR(K100="",L100=""),"",MAX(K100,L100))</f>
        <v/>
      </c>
      <c r="N100" t="n">
        <v>0.5</v>
      </c>
      <c r="O100" t="inlineStr">
        <is>
          <t>是</t>
        </is>
      </c>
      <c r="P100">
        <f>IF(OR(M100="",M100&lt;=18),"PASS","ANGLE_ALERT")</f>
        <v/>
      </c>
      <c r="Q100" t="inlineStr">
        <is>
          <t>样品52</t>
        </is>
      </c>
    </row>
    <row r="101">
      <c r="A101" t="inlineStr">
        <is>
          <t>52(6)-P01</t>
        </is>
      </c>
      <c r="B101" t="inlineStr">
        <is>
          <t>52 (6).tif</t>
        </is>
      </c>
      <c r="C101" t="inlineStr">
        <is>
          <t>L1</t>
        </is>
      </c>
      <c r="D101" t="n">
        <v>462</v>
      </c>
      <c r="E101" t="n">
        <v>394</v>
      </c>
      <c r="F101" t="n">
        <v>512</v>
      </c>
      <c r="G101" t="n">
        <v>387</v>
      </c>
      <c r="H101">
        <f>SQRT((F101-D101)^2+(G101-E101)^2)</f>
        <v/>
      </c>
      <c r="I101" t="n">
        <v>0.2173913043478261</v>
      </c>
      <c r="J101">
        <f>H101*I101</f>
        <v/>
      </c>
      <c r="M101">
        <f>IF(OR(K101="",L101=""),"",MAX(K101,L101))</f>
        <v/>
      </c>
      <c r="N101" t="n">
        <v>0.5</v>
      </c>
      <c r="O101" t="inlineStr">
        <is>
          <t>是</t>
        </is>
      </c>
      <c r="P101">
        <f>IF(OR(M101="",M101&lt;=18),"PASS","ANGLE_ALERT")</f>
        <v/>
      </c>
      <c r="Q101" t="inlineStr">
        <is>
          <t>样品52</t>
        </is>
      </c>
    </row>
    <row r="102">
      <c r="A102" t="inlineStr">
        <is>
          <t>52(6)-P01</t>
        </is>
      </c>
      <c r="B102" t="inlineStr">
        <is>
          <t>52 (6).tif</t>
        </is>
      </c>
      <c r="C102" t="inlineStr">
        <is>
          <t>L2</t>
        </is>
      </c>
      <c r="D102" t="n">
        <v>518</v>
      </c>
      <c r="E102" t="n">
        <v>334</v>
      </c>
      <c r="F102" t="n">
        <v>566</v>
      </c>
      <c r="G102" t="n">
        <v>334</v>
      </c>
      <c r="H102">
        <f>SQRT((F102-D102)^2+(G102-E102)^2)</f>
        <v/>
      </c>
      <c r="I102" t="n">
        <v>0.2173913043478261</v>
      </c>
      <c r="J102">
        <f>H102*I102</f>
        <v/>
      </c>
      <c r="M102">
        <f>IF(OR(K102="",L102=""),"",MAX(K102,L102))</f>
        <v/>
      </c>
      <c r="N102" t="n">
        <v>0.5</v>
      </c>
      <c r="O102" t="inlineStr">
        <is>
          <t>是</t>
        </is>
      </c>
      <c r="P102">
        <f>IF(OR(M102="",M102&lt;=18),"PASS","ANGLE_ALERT")</f>
        <v/>
      </c>
      <c r="Q102" t="inlineStr">
        <is>
          <t>样品52</t>
        </is>
      </c>
    </row>
    <row r="103">
      <c r="A103" t="inlineStr">
        <is>
          <t>52(8)-P01</t>
        </is>
      </c>
      <c r="B103" t="inlineStr">
        <is>
          <t>52 (8).tif</t>
        </is>
      </c>
      <c r="C103" t="inlineStr">
        <is>
          <t>L1</t>
        </is>
      </c>
      <c r="D103" t="n">
        <v>455</v>
      </c>
      <c r="E103" t="n">
        <v>460</v>
      </c>
      <c r="F103" t="n">
        <v>518</v>
      </c>
      <c r="G103" t="n">
        <v>430</v>
      </c>
      <c r="H103">
        <f>SQRT((F103-D103)^2+(G103-E103)^2)</f>
        <v/>
      </c>
      <c r="I103" t="n">
        <v>0.2173913043478261</v>
      </c>
      <c r="J103">
        <f>H103*I103</f>
        <v/>
      </c>
      <c r="M103">
        <f>IF(OR(K103="",L103=""),"",MAX(K103,L103))</f>
        <v/>
      </c>
      <c r="N103" t="n">
        <v>0.5</v>
      </c>
      <c r="O103" t="inlineStr">
        <is>
          <t>是</t>
        </is>
      </c>
      <c r="P103">
        <f>IF(OR(M103="",M103&lt;=18),"PASS","ANGLE_ALERT")</f>
        <v/>
      </c>
      <c r="Q103" t="inlineStr">
        <is>
          <t>样品52</t>
        </is>
      </c>
    </row>
    <row r="104">
      <c r="A104" t="inlineStr">
        <is>
          <t>52(8)-P01</t>
        </is>
      </c>
      <c r="B104" t="inlineStr">
        <is>
          <t>52 (8).tif</t>
        </is>
      </c>
      <c r="C104" t="inlineStr">
        <is>
          <t>L2</t>
        </is>
      </c>
      <c r="D104" t="n">
        <v>507</v>
      </c>
      <c r="E104" t="n">
        <v>365</v>
      </c>
      <c r="F104" t="n">
        <v>574</v>
      </c>
      <c r="G104" t="n">
        <v>337</v>
      </c>
      <c r="H104">
        <f>SQRT((F104-D104)^2+(G104-E104)^2)</f>
        <v/>
      </c>
      <c r="I104" t="n">
        <v>0.2173913043478261</v>
      </c>
      <c r="J104">
        <f>H104*I104</f>
        <v/>
      </c>
      <c r="M104">
        <f>IF(OR(K104="",L104=""),"",MAX(K104,L104))</f>
        <v/>
      </c>
      <c r="N104" t="n">
        <v>0.5</v>
      </c>
      <c r="O104" t="inlineStr">
        <is>
          <t>是</t>
        </is>
      </c>
      <c r="P104">
        <f>IF(OR(M104="",M104&lt;=18),"PASS","ANGLE_ALERT")</f>
        <v/>
      </c>
      <c r="Q104" t="inlineStr">
        <is>
          <t>样品52</t>
        </is>
      </c>
    </row>
    <row r="105">
      <c r="A105" t="inlineStr">
        <is>
          <t>52(8)-P01</t>
        </is>
      </c>
      <c r="B105" t="inlineStr">
        <is>
          <t>52 (8).tif</t>
        </is>
      </c>
      <c r="C105" t="inlineStr">
        <is>
          <t>L3</t>
        </is>
      </c>
      <c r="D105" t="n">
        <v>508</v>
      </c>
      <c r="E105" t="n">
        <v>399</v>
      </c>
      <c r="F105" t="n">
        <v>517</v>
      </c>
      <c r="G105" t="n">
        <v>403</v>
      </c>
      <c r="H105">
        <f>SQRT((F105-D105)^2+(G105-E105)^2)</f>
        <v/>
      </c>
      <c r="I105" t="n">
        <v>0.2173913043478261</v>
      </c>
      <c r="J105">
        <f>H105*I105</f>
        <v/>
      </c>
      <c r="M105">
        <f>IF(OR(K105="",L105=""),"",MAX(K105,L105))</f>
        <v/>
      </c>
      <c r="N105" t="n">
        <v>0.5</v>
      </c>
      <c r="O105" t="inlineStr">
        <is>
          <t>是</t>
        </is>
      </c>
      <c r="P105">
        <f>IF(OR(M105="",M105&lt;=18),"PASS","ANGLE_ALERT")</f>
        <v/>
      </c>
      <c r="Q105" t="inlineStr">
        <is>
          <t>样品52</t>
        </is>
      </c>
    </row>
    <row r="106">
      <c r="A106" t="inlineStr">
        <is>
          <t>53(1)-P01</t>
        </is>
      </c>
      <c r="B106" t="inlineStr">
        <is>
          <t>53 (1).tif</t>
        </is>
      </c>
      <c r="C106" t="inlineStr">
        <is>
          <t>L1</t>
        </is>
      </c>
      <c r="D106" t="n">
        <v>492</v>
      </c>
      <c r="E106" t="n">
        <v>369</v>
      </c>
      <c r="F106" t="n">
        <v>472</v>
      </c>
      <c r="G106" t="n">
        <v>343</v>
      </c>
      <c r="H106">
        <f>SQRT((F106-D106)^2+(G106-E106)^2)</f>
        <v/>
      </c>
      <c r="I106" t="n">
        <v>0.2173913043478261</v>
      </c>
      <c r="J106">
        <f>H106*I106</f>
        <v/>
      </c>
      <c r="M106">
        <f>IF(OR(K106="",L106=""),"",MAX(K106,L106))</f>
        <v/>
      </c>
      <c r="N106" t="n">
        <v>0.5</v>
      </c>
      <c r="O106" t="inlineStr">
        <is>
          <t>是</t>
        </is>
      </c>
      <c r="P106">
        <f>IF(OR(M106="",M106&lt;=18),"PASS","ANGLE_ALERT")</f>
        <v/>
      </c>
      <c r="Q106" t="inlineStr">
        <is>
          <t>样品53</t>
        </is>
      </c>
    </row>
    <row r="107">
      <c r="A107" t="inlineStr">
        <is>
          <t>53(1)-P01</t>
        </is>
      </c>
      <c r="B107" t="inlineStr">
        <is>
          <t>53 (1).tif</t>
        </is>
      </c>
      <c r="C107" t="inlineStr">
        <is>
          <t>L2</t>
        </is>
      </c>
      <c r="D107" t="n">
        <v>485</v>
      </c>
      <c r="E107" t="n">
        <v>378</v>
      </c>
      <c r="F107" t="n">
        <v>456</v>
      </c>
      <c r="G107" t="n">
        <v>349</v>
      </c>
      <c r="H107">
        <f>SQRT((F107-D107)^2+(G107-E107)^2)</f>
        <v/>
      </c>
      <c r="I107" t="n">
        <v>0.2173913043478261</v>
      </c>
      <c r="J107">
        <f>H107*I107</f>
        <v/>
      </c>
      <c r="M107">
        <f>IF(OR(K107="",L107=""),"",MAX(K107,L107))</f>
        <v/>
      </c>
      <c r="N107" t="n">
        <v>0.5</v>
      </c>
      <c r="O107" t="inlineStr">
        <is>
          <t>是</t>
        </is>
      </c>
      <c r="P107">
        <f>IF(OR(M107="",M107&lt;=18),"PASS","ANGLE_ALERT")</f>
        <v/>
      </c>
      <c r="Q107" t="inlineStr">
        <is>
          <t>样品53</t>
        </is>
      </c>
    </row>
    <row r="108">
      <c r="A108" t="inlineStr">
        <is>
          <t>53(1)-P01</t>
        </is>
      </c>
      <c r="B108" t="inlineStr">
        <is>
          <t>53 (1).tif</t>
        </is>
      </c>
      <c r="C108" t="inlineStr">
        <is>
          <t>L3</t>
        </is>
      </c>
      <c r="D108" t="n">
        <v>500</v>
      </c>
      <c r="E108" t="n">
        <v>361</v>
      </c>
      <c r="F108" t="n">
        <v>481</v>
      </c>
      <c r="G108" t="n">
        <v>337</v>
      </c>
      <c r="H108">
        <f>SQRT((F108-D108)^2+(G108-E108)^2)</f>
        <v/>
      </c>
      <c r="I108" t="n">
        <v>0.2173913043478261</v>
      </c>
      <c r="J108">
        <f>H108*I108</f>
        <v/>
      </c>
      <c r="M108">
        <f>IF(OR(K108="",L108=""),"",MAX(K108,L108))</f>
        <v/>
      </c>
      <c r="N108" t="n">
        <v>0.5</v>
      </c>
      <c r="O108" t="inlineStr">
        <is>
          <t>是</t>
        </is>
      </c>
      <c r="P108">
        <f>IF(OR(M108="",M108&lt;=18),"PASS","ANGLE_ALERT")</f>
        <v/>
      </c>
      <c r="Q108" t="inlineStr">
        <is>
          <t>样品53</t>
        </is>
      </c>
    </row>
    <row r="109">
      <c r="A109" t="inlineStr">
        <is>
          <t>53(1)-P01</t>
        </is>
      </c>
      <c r="B109" t="inlineStr">
        <is>
          <t>53 (1).tif</t>
        </is>
      </c>
      <c r="C109" t="inlineStr">
        <is>
          <t>L4</t>
        </is>
      </c>
      <c r="D109" t="n">
        <v>508</v>
      </c>
      <c r="E109" t="n">
        <v>356</v>
      </c>
      <c r="F109" t="n">
        <v>486</v>
      </c>
      <c r="G109" t="n">
        <v>332</v>
      </c>
      <c r="H109">
        <f>SQRT((F109-D109)^2+(G109-E109)^2)</f>
        <v/>
      </c>
      <c r="I109" t="n">
        <v>0.2173913043478261</v>
      </c>
      <c r="J109">
        <f>H109*I109</f>
        <v/>
      </c>
      <c r="M109">
        <f>IF(OR(K109="",L109=""),"",MAX(K109,L109))</f>
        <v/>
      </c>
      <c r="N109" t="n">
        <v>0.5</v>
      </c>
      <c r="O109" t="inlineStr">
        <is>
          <t>是</t>
        </is>
      </c>
      <c r="P109">
        <f>IF(OR(M109="",M109&lt;=18),"PASS","ANGLE_ALERT")</f>
        <v/>
      </c>
      <c r="Q109" t="inlineStr">
        <is>
          <t>样品53</t>
        </is>
      </c>
    </row>
    <row r="110">
      <c r="A110" t="inlineStr">
        <is>
          <t>53(3)-P01</t>
        </is>
      </c>
      <c r="B110" t="inlineStr">
        <is>
          <t>53 (3).tif</t>
        </is>
      </c>
      <c r="C110" t="inlineStr">
        <is>
          <t>L1</t>
        </is>
      </c>
      <c r="D110" t="n">
        <v>505</v>
      </c>
      <c r="E110" t="n">
        <v>374</v>
      </c>
      <c r="F110" t="n">
        <v>518</v>
      </c>
      <c r="G110" t="n">
        <v>373</v>
      </c>
      <c r="H110">
        <f>SQRT((F110-D110)^2+(G110-E110)^2)</f>
        <v/>
      </c>
      <c r="I110" t="n">
        <v>0.2173913043478261</v>
      </c>
      <c r="J110">
        <f>H110*I110</f>
        <v/>
      </c>
      <c r="M110">
        <f>IF(OR(K110="",L110=""),"",MAX(K110,L110))</f>
        <v/>
      </c>
      <c r="N110" t="n">
        <v>0.5</v>
      </c>
      <c r="O110" t="inlineStr">
        <is>
          <t>是</t>
        </is>
      </c>
      <c r="P110">
        <f>IF(OR(M110="",M110&lt;=18),"PASS","ANGLE_ALERT")</f>
        <v/>
      </c>
      <c r="Q110" t="inlineStr">
        <is>
          <t>样品53</t>
        </is>
      </c>
    </row>
    <row r="111">
      <c r="A111" t="inlineStr">
        <is>
          <t>53(3)-P01</t>
        </is>
      </c>
      <c r="B111" t="inlineStr">
        <is>
          <t>53 (3).tif</t>
        </is>
      </c>
      <c r="C111" t="inlineStr">
        <is>
          <t>L2</t>
        </is>
      </c>
      <c r="D111" t="n">
        <v>504</v>
      </c>
      <c r="E111" t="n">
        <v>358</v>
      </c>
      <c r="F111" t="n">
        <v>574</v>
      </c>
      <c r="G111" t="n">
        <v>330</v>
      </c>
      <c r="H111">
        <f>SQRT((F111-D111)^2+(G111-E111)^2)</f>
        <v/>
      </c>
      <c r="I111" t="n">
        <v>0.2173913043478261</v>
      </c>
      <c r="J111">
        <f>H111*I111</f>
        <v/>
      </c>
      <c r="M111">
        <f>IF(OR(K111="",L111=""),"",MAX(K111,L111))</f>
        <v/>
      </c>
      <c r="N111" t="n">
        <v>0.5</v>
      </c>
      <c r="O111" t="inlineStr">
        <is>
          <t>是</t>
        </is>
      </c>
      <c r="P111">
        <f>IF(OR(M111="",M111&lt;=18),"PASS","ANGLE_ALERT")</f>
        <v/>
      </c>
      <c r="Q111" t="inlineStr">
        <is>
          <t>样品53</t>
        </is>
      </c>
    </row>
    <row r="112">
      <c r="A112" t="inlineStr">
        <is>
          <t>53(3)-P01</t>
        </is>
      </c>
      <c r="B112" t="inlineStr">
        <is>
          <t>53 (3).tif</t>
        </is>
      </c>
      <c r="C112" t="inlineStr">
        <is>
          <t>L3</t>
        </is>
      </c>
      <c r="D112" t="n">
        <v>505</v>
      </c>
      <c r="E112" t="n">
        <v>385</v>
      </c>
      <c r="F112" t="n">
        <v>517</v>
      </c>
      <c r="G112" t="n">
        <v>386</v>
      </c>
      <c r="H112">
        <f>SQRT((F112-D112)^2+(G112-E112)^2)</f>
        <v/>
      </c>
      <c r="I112" t="n">
        <v>0.2173913043478261</v>
      </c>
      <c r="J112">
        <f>H112*I112</f>
        <v/>
      </c>
      <c r="M112">
        <f>IF(OR(K112="",L112=""),"",MAX(K112,L112))</f>
        <v/>
      </c>
      <c r="N112" t="n">
        <v>0.5</v>
      </c>
      <c r="O112" t="inlineStr">
        <is>
          <t>是</t>
        </is>
      </c>
      <c r="P112">
        <f>IF(OR(M112="",M112&lt;=18),"PASS","ANGLE_ALERT")</f>
        <v/>
      </c>
      <c r="Q112" t="inlineStr">
        <is>
          <t>样品53</t>
        </is>
      </c>
    </row>
    <row r="113">
      <c r="A113" t="inlineStr">
        <is>
          <t>53(6)-P01</t>
        </is>
      </c>
      <c r="B113" t="inlineStr">
        <is>
          <t>53 (6).tif</t>
        </is>
      </c>
      <c r="C113" t="inlineStr">
        <is>
          <t>L1</t>
        </is>
      </c>
      <c r="D113" t="n">
        <v>514</v>
      </c>
      <c r="E113" t="n">
        <v>369</v>
      </c>
      <c r="F113" t="n">
        <v>509</v>
      </c>
      <c r="G113" t="n">
        <v>348</v>
      </c>
      <c r="H113">
        <f>SQRT((F113-D113)^2+(G113-E113)^2)</f>
        <v/>
      </c>
      <c r="I113" t="n">
        <v>0.2173913043478261</v>
      </c>
      <c r="J113">
        <f>H113*I113</f>
        <v/>
      </c>
      <c r="M113">
        <f>IF(OR(K113="",L113=""),"",MAX(K113,L113))</f>
        <v/>
      </c>
      <c r="N113" t="n">
        <v>0.5</v>
      </c>
      <c r="O113" t="inlineStr">
        <is>
          <t>是</t>
        </is>
      </c>
      <c r="P113">
        <f>IF(OR(M113="",M113&lt;=18),"PASS","ANGLE_ALERT")</f>
        <v/>
      </c>
      <c r="Q113" t="inlineStr">
        <is>
          <t>样品53</t>
        </is>
      </c>
    </row>
    <row r="114">
      <c r="A114" t="inlineStr">
        <is>
          <t>53(6)-P01</t>
        </is>
      </c>
      <c r="B114" t="inlineStr">
        <is>
          <t>53 (6).tif</t>
        </is>
      </c>
      <c r="C114" t="inlineStr">
        <is>
          <t>L2</t>
        </is>
      </c>
      <c r="D114" t="n">
        <v>545</v>
      </c>
      <c r="E114" t="n">
        <v>368</v>
      </c>
      <c r="F114" t="n">
        <v>563</v>
      </c>
      <c r="G114" t="n">
        <v>291</v>
      </c>
      <c r="H114">
        <f>SQRT((F114-D114)^2+(G114-E114)^2)</f>
        <v/>
      </c>
      <c r="I114" t="n">
        <v>0.2173913043478261</v>
      </c>
      <c r="J114">
        <f>H114*I114</f>
        <v/>
      </c>
      <c r="M114">
        <f>IF(OR(K114="",L114=""),"",MAX(K114,L114))</f>
        <v/>
      </c>
      <c r="N114" t="n">
        <v>0.5</v>
      </c>
      <c r="O114" t="inlineStr">
        <is>
          <t>是</t>
        </is>
      </c>
      <c r="P114">
        <f>IF(OR(M114="",M114&lt;=18),"PASS","ANGLE_ALERT")</f>
        <v/>
      </c>
      <c r="Q114" t="inlineStr">
        <is>
          <t>样品53</t>
        </is>
      </c>
    </row>
    <row r="115">
      <c r="A115" t="inlineStr">
        <is>
          <t>53(7)-P01</t>
        </is>
      </c>
      <c r="B115" t="inlineStr">
        <is>
          <t>53 (7).tif</t>
        </is>
      </c>
      <c r="C115" t="inlineStr">
        <is>
          <t>L1</t>
        </is>
      </c>
      <c r="D115" t="n">
        <v>487</v>
      </c>
      <c r="E115" t="n">
        <v>286</v>
      </c>
      <c r="F115" t="n">
        <v>483</v>
      </c>
      <c r="G115" t="n">
        <v>282</v>
      </c>
      <c r="H115">
        <f>SQRT((F115-D115)^2+(G115-E115)^2)</f>
        <v/>
      </c>
      <c r="I115" t="n">
        <v>0.2173913043478261</v>
      </c>
      <c r="J115">
        <f>H115*I115</f>
        <v/>
      </c>
      <c r="M115">
        <f>IF(OR(K115="",L115=""),"",MAX(K115,L115))</f>
        <v/>
      </c>
      <c r="N115" t="n">
        <v>0.5</v>
      </c>
      <c r="O115" t="inlineStr">
        <is>
          <t>是</t>
        </is>
      </c>
      <c r="P115">
        <f>IF(OR(M115="",M115&lt;=18),"PASS","ANGLE_ALERT")</f>
        <v/>
      </c>
      <c r="Q115" t="inlineStr">
        <is>
          <t>样品53</t>
        </is>
      </c>
    </row>
    <row r="116">
      <c r="A116" t="inlineStr">
        <is>
          <t>53(8)-P01</t>
        </is>
      </c>
      <c r="B116" t="inlineStr">
        <is>
          <t>53 (8).tif</t>
        </is>
      </c>
      <c r="C116" t="inlineStr">
        <is>
          <t>L1</t>
        </is>
      </c>
      <c r="D116" t="n">
        <v>481</v>
      </c>
      <c r="E116" t="n">
        <v>386</v>
      </c>
      <c r="F116" t="n">
        <v>484</v>
      </c>
      <c r="G116" t="n">
        <v>371</v>
      </c>
      <c r="H116">
        <f>SQRT((F116-D116)^2+(G116-E116)^2)</f>
        <v/>
      </c>
      <c r="I116" t="n">
        <v>0.2173913043478261</v>
      </c>
      <c r="J116">
        <f>H116*I116</f>
        <v/>
      </c>
      <c r="M116">
        <f>IF(OR(K116="",L116=""),"",MAX(K116,L116))</f>
        <v/>
      </c>
      <c r="N116" t="n">
        <v>0.5</v>
      </c>
      <c r="O116" t="inlineStr">
        <is>
          <t>是</t>
        </is>
      </c>
      <c r="P116">
        <f>IF(OR(M116="",M116&lt;=18),"PASS","ANGLE_ALERT")</f>
        <v/>
      </c>
      <c r="Q116" t="inlineStr">
        <is>
          <t>样品53</t>
        </is>
      </c>
    </row>
    <row r="117">
      <c r="A117" t="inlineStr">
        <is>
          <t>53(8)-P01</t>
        </is>
      </c>
      <c r="B117" t="inlineStr">
        <is>
          <t>53 (8).tif</t>
        </is>
      </c>
      <c r="C117" t="inlineStr">
        <is>
          <t>L2</t>
        </is>
      </c>
      <c r="D117" t="n">
        <v>456</v>
      </c>
      <c r="E117" t="n">
        <v>387</v>
      </c>
      <c r="F117" t="n">
        <v>433</v>
      </c>
      <c r="G117" t="n">
        <v>322</v>
      </c>
      <c r="H117">
        <f>SQRT((F117-D117)^2+(G117-E117)^2)</f>
        <v/>
      </c>
      <c r="I117" t="n">
        <v>0.2173913043478261</v>
      </c>
      <c r="J117">
        <f>H117*I117</f>
        <v/>
      </c>
      <c r="M117">
        <f>IF(OR(K117="",L117=""),"",MAX(K117,L117))</f>
        <v/>
      </c>
      <c r="N117" t="n">
        <v>0.5</v>
      </c>
      <c r="O117" t="inlineStr">
        <is>
          <t>是</t>
        </is>
      </c>
      <c r="P117">
        <f>IF(OR(M117="",M117&lt;=18),"PASS","ANGLE_ALERT")</f>
        <v/>
      </c>
      <c r="Q117" t="inlineStr">
        <is>
          <t>样品53</t>
        </is>
      </c>
    </row>
    <row r="118">
      <c r="A118" t="inlineStr">
        <is>
          <t>53(8)-P01</t>
        </is>
      </c>
      <c r="B118" t="inlineStr">
        <is>
          <t>53 (8).tif</t>
        </is>
      </c>
      <c r="C118" t="inlineStr">
        <is>
          <t>L3</t>
        </is>
      </c>
      <c r="D118" t="n">
        <v>500</v>
      </c>
      <c r="E118" t="n">
        <v>390</v>
      </c>
      <c r="F118" t="n">
        <v>503</v>
      </c>
      <c r="G118" t="n">
        <v>375</v>
      </c>
      <c r="H118">
        <f>SQRT((F118-D118)^2+(G118-E118)^2)</f>
        <v/>
      </c>
      <c r="I118" t="n">
        <v>0.2173913043478261</v>
      </c>
      <c r="J118">
        <f>H118*I118</f>
        <v/>
      </c>
      <c r="M118">
        <f>IF(OR(K118="",L118=""),"",MAX(K118,L118))</f>
        <v/>
      </c>
      <c r="N118" t="n">
        <v>0.5</v>
      </c>
      <c r="O118" t="inlineStr">
        <is>
          <t>是</t>
        </is>
      </c>
      <c r="P118">
        <f>IF(OR(M118="",M118&lt;=18),"PASS","ANGLE_ALERT")</f>
        <v/>
      </c>
      <c r="Q118" t="inlineStr">
        <is>
          <t>样品53</t>
        </is>
      </c>
    </row>
    <row r="119">
      <c r="A119" t="inlineStr">
        <is>
          <t>54(1)-P01</t>
        </is>
      </c>
      <c r="B119" t="inlineStr">
        <is>
          <t>54 (1).tif</t>
        </is>
      </c>
      <c r="C119" t="inlineStr">
        <is>
          <t>L1</t>
        </is>
      </c>
      <c r="D119" t="n">
        <v>805</v>
      </c>
      <c r="E119" t="n">
        <v>570</v>
      </c>
      <c r="F119" t="n">
        <v>768</v>
      </c>
      <c r="G119" t="n">
        <v>568</v>
      </c>
      <c r="H119">
        <f>SQRT((F119-D119)^2+(G119-E119)^2)</f>
        <v/>
      </c>
      <c r="I119" t="n">
        <v>0.2173913043478261</v>
      </c>
      <c r="J119">
        <f>H119*I119</f>
        <v/>
      </c>
      <c r="M119">
        <f>IF(OR(K119="",L119=""),"",MAX(K119,L119))</f>
        <v/>
      </c>
      <c r="N119" t="n">
        <v>0.5</v>
      </c>
      <c r="O119" t="inlineStr">
        <is>
          <t>是</t>
        </is>
      </c>
      <c r="P119">
        <f>IF(OR(M119="",M119&lt;=18),"PASS","ANGLE_ALERT")</f>
        <v/>
      </c>
      <c r="Q119" t="inlineStr">
        <is>
          <t>样品54</t>
        </is>
      </c>
    </row>
    <row r="120">
      <c r="A120" t="inlineStr">
        <is>
          <t>54(1)-P01</t>
        </is>
      </c>
      <c r="B120" t="inlineStr">
        <is>
          <t>54 (1).tif</t>
        </is>
      </c>
      <c r="C120" t="inlineStr">
        <is>
          <t>L2</t>
        </is>
      </c>
      <c r="D120" t="n">
        <v>871</v>
      </c>
      <c r="E120" t="n">
        <v>490</v>
      </c>
      <c r="F120" t="n">
        <v>800</v>
      </c>
      <c r="G120" t="n">
        <v>504</v>
      </c>
      <c r="H120">
        <f>SQRT((F120-D120)^2+(G120-E120)^2)</f>
        <v/>
      </c>
      <c r="I120" t="n">
        <v>0.2173913043478261</v>
      </c>
      <c r="J120">
        <f>H120*I120</f>
        <v/>
      </c>
      <c r="M120">
        <f>IF(OR(K120="",L120=""),"",MAX(K120,L120))</f>
        <v/>
      </c>
      <c r="N120" t="n">
        <v>0.5</v>
      </c>
      <c r="O120" t="inlineStr">
        <is>
          <t>是</t>
        </is>
      </c>
      <c r="P120">
        <f>IF(OR(M120="",M120&lt;=18),"PASS","ANGLE_ALERT")</f>
        <v/>
      </c>
      <c r="Q120" t="inlineStr">
        <is>
          <t>样品54</t>
        </is>
      </c>
    </row>
    <row r="121">
      <c r="A121" t="inlineStr">
        <is>
          <t>54(3)-P01</t>
        </is>
      </c>
      <c r="B121" t="inlineStr">
        <is>
          <t>54 (3).tif</t>
        </is>
      </c>
      <c r="C121" t="inlineStr">
        <is>
          <t>L1</t>
        </is>
      </c>
      <c r="D121" t="n">
        <v>483</v>
      </c>
      <c r="E121" t="n">
        <v>351</v>
      </c>
      <c r="F121" t="n">
        <v>490</v>
      </c>
      <c r="G121" t="n">
        <v>341</v>
      </c>
      <c r="H121">
        <f>SQRT((F121-D121)^2+(G121-E121)^2)</f>
        <v/>
      </c>
      <c r="I121" t="n">
        <v>0.2173913043478261</v>
      </c>
      <c r="J121">
        <f>H121*I121</f>
        <v/>
      </c>
      <c r="M121">
        <f>IF(OR(K121="",L121=""),"",MAX(K121,L121))</f>
        <v/>
      </c>
      <c r="N121" t="n">
        <v>0.5</v>
      </c>
      <c r="O121" t="inlineStr">
        <is>
          <t>是</t>
        </is>
      </c>
      <c r="P121">
        <f>IF(OR(M121="",M121&lt;=18),"PASS","ANGLE_ALERT")</f>
        <v/>
      </c>
      <c r="Q121" t="inlineStr">
        <is>
          <t>样品54</t>
        </is>
      </c>
    </row>
    <row r="122">
      <c r="A122" t="inlineStr">
        <is>
          <t>54(6)-P01</t>
        </is>
      </c>
      <c r="B122" t="inlineStr">
        <is>
          <t>54 (6).tif</t>
        </is>
      </c>
      <c r="C122" t="inlineStr">
        <is>
          <t>L1</t>
        </is>
      </c>
      <c r="D122" t="n">
        <v>456</v>
      </c>
      <c r="E122" t="n">
        <v>385</v>
      </c>
      <c r="F122" t="n">
        <v>469</v>
      </c>
      <c r="G122" t="n">
        <v>388</v>
      </c>
      <c r="H122">
        <f>SQRT((F122-D122)^2+(G122-E122)^2)</f>
        <v/>
      </c>
      <c r="I122" t="n">
        <v>0.2173913043478261</v>
      </c>
      <c r="J122">
        <f>H122*I122</f>
        <v/>
      </c>
      <c r="M122">
        <f>IF(OR(K122="",L122=""),"",MAX(K122,L122))</f>
        <v/>
      </c>
      <c r="N122" t="n">
        <v>0.5</v>
      </c>
      <c r="O122" t="inlineStr">
        <is>
          <t>是</t>
        </is>
      </c>
      <c r="P122">
        <f>IF(OR(M122="",M122&lt;=18),"PASS","ANGLE_ALERT")</f>
        <v/>
      </c>
      <c r="Q122" t="inlineStr">
        <is>
          <t>样品54</t>
        </is>
      </c>
    </row>
    <row r="123">
      <c r="A123" t="inlineStr">
        <is>
          <t>54(6)-P01</t>
        </is>
      </c>
      <c r="B123" t="inlineStr">
        <is>
          <t>54 (6).tif</t>
        </is>
      </c>
      <c r="C123" t="inlineStr">
        <is>
          <t>L2</t>
        </is>
      </c>
      <c r="D123" t="n">
        <v>455</v>
      </c>
      <c r="E123" t="n">
        <v>373</v>
      </c>
      <c r="F123" t="n">
        <v>470</v>
      </c>
      <c r="G123" t="n">
        <v>382</v>
      </c>
      <c r="H123">
        <f>SQRT((F123-D123)^2+(G123-E123)^2)</f>
        <v/>
      </c>
      <c r="I123" t="n">
        <v>0.2173913043478261</v>
      </c>
      <c r="J123">
        <f>H123*I123</f>
        <v/>
      </c>
      <c r="M123">
        <f>IF(OR(K123="",L123=""),"",MAX(K123,L123))</f>
        <v/>
      </c>
      <c r="N123" t="n">
        <v>0.5</v>
      </c>
      <c r="O123" t="inlineStr">
        <is>
          <t>是</t>
        </is>
      </c>
      <c r="P123">
        <f>IF(OR(M123="",M123&lt;=18),"PASS","ANGLE_ALERT")</f>
        <v/>
      </c>
      <c r="Q123" t="inlineStr">
        <is>
          <t>样品54</t>
        </is>
      </c>
    </row>
    <row r="124">
      <c r="A124" t="inlineStr">
        <is>
          <t>54(6)-P01</t>
        </is>
      </c>
      <c r="B124" t="inlineStr">
        <is>
          <t>54 (6).tif</t>
        </is>
      </c>
      <c r="C124" t="inlineStr">
        <is>
          <t>L3</t>
        </is>
      </c>
      <c r="D124" t="n">
        <v>455</v>
      </c>
      <c r="E124" t="n">
        <v>367</v>
      </c>
      <c r="F124" t="n">
        <v>519</v>
      </c>
      <c r="G124" t="n">
        <v>338</v>
      </c>
      <c r="H124">
        <f>SQRT((F124-D124)^2+(G124-E124)^2)</f>
        <v/>
      </c>
      <c r="I124" t="n">
        <v>0.2173913043478261</v>
      </c>
      <c r="J124">
        <f>H124*I124</f>
        <v/>
      </c>
      <c r="M124">
        <f>IF(OR(K124="",L124=""),"",MAX(K124,L124))</f>
        <v/>
      </c>
      <c r="N124" t="n">
        <v>0.5</v>
      </c>
      <c r="O124" t="inlineStr">
        <is>
          <t>是</t>
        </is>
      </c>
      <c r="P124">
        <f>IF(OR(M124="",M124&lt;=18),"PASS","ANGLE_ALERT")</f>
        <v/>
      </c>
      <c r="Q124" t="inlineStr">
        <is>
          <t>样品54</t>
        </is>
      </c>
    </row>
    <row r="125">
      <c r="A125" t="inlineStr">
        <is>
          <t>54(6)-P01</t>
        </is>
      </c>
      <c r="B125" t="inlineStr">
        <is>
          <t>54 (6).tif</t>
        </is>
      </c>
      <c r="C125" t="inlineStr">
        <is>
          <t>L4</t>
        </is>
      </c>
      <c r="D125" t="n">
        <v>454</v>
      </c>
      <c r="E125" t="n">
        <v>395</v>
      </c>
      <c r="F125" t="n">
        <v>469</v>
      </c>
      <c r="G125" t="n">
        <v>398</v>
      </c>
      <c r="H125">
        <f>SQRT((F125-D125)^2+(G125-E125)^2)</f>
        <v/>
      </c>
      <c r="I125" t="n">
        <v>0.2173913043478261</v>
      </c>
      <c r="J125">
        <f>H125*I125</f>
        <v/>
      </c>
      <c r="M125">
        <f>IF(OR(K125="",L125=""),"",MAX(K125,L125))</f>
        <v/>
      </c>
      <c r="N125" t="n">
        <v>0.5</v>
      </c>
      <c r="O125" t="inlineStr">
        <is>
          <t>是</t>
        </is>
      </c>
      <c r="P125">
        <f>IF(OR(M125="",M125&lt;=18),"PASS","ANGLE_ALERT")</f>
        <v/>
      </c>
      <c r="Q125" t="inlineStr">
        <is>
          <t>样品54</t>
        </is>
      </c>
    </row>
    <row r="126">
      <c r="A126" t="inlineStr">
        <is>
          <t>55(1)-P01</t>
        </is>
      </c>
      <c r="B126" t="inlineStr">
        <is>
          <t>55 (1).tif</t>
        </is>
      </c>
      <c r="C126" t="inlineStr">
        <is>
          <t>L1</t>
        </is>
      </c>
      <c r="D126" t="n">
        <v>532</v>
      </c>
      <c r="E126" t="n">
        <v>439</v>
      </c>
      <c r="F126" t="n">
        <v>532</v>
      </c>
      <c r="G126" t="n">
        <v>458</v>
      </c>
      <c r="H126">
        <f>SQRT((F126-D126)^2+(G126-E126)^2)</f>
        <v/>
      </c>
      <c r="I126" t="n">
        <v>0.2173913043478261</v>
      </c>
      <c r="J126">
        <f>H126*I126</f>
        <v/>
      </c>
      <c r="M126">
        <f>IF(OR(K126="",L126=""),"",MAX(K126,L126))</f>
        <v/>
      </c>
      <c r="N126" t="n">
        <v>0.5</v>
      </c>
      <c r="O126" t="inlineStr">
        <is>
          <t>是</t>
        </is>
      </c>
      <c r="P126">
        <f>IF(OR(M126="",M126&lt;=18),"PASS","ANGLE_ALERT")</f>
        <v/>
      </c>
      <c r="Q126" t="inlineStr">
        <is>
          <t>样品55</t>
        </is>
      </c>
    </row>
    <row r="127">
      <c r="A127" t="inlineStr">
        <is>
          <t>55(1)-P01</t>
        </is>
      </c>
      <c r="B127" t="inlineStr">
        <is>
          <t>55 (1).tif</t>
        </is>
      </c>
      <c r="C127" t="inlineStr">
        <is>
          <t>L2</t>
        </is>
      </c>
      <c r="D127" t="n">
        <v>549</v>
      </c>
      <c r="E127" t="n">
        <v>437</v>
      </c>
      <c r="F127" t="n">
        <v>587</v>
      </c>
      <c r="G127" t="n">
        <v>515</v>
      </c>
      <c r="H127">
        <f>SQRT((F127-D127)^2+(G127-E127)^2)</f>
        <v/>
      </c>
      <c r="I127" t="n">
        <v>0.2173913043478261</v>
      </c>
      <c r="J127">
        <f>H127*I127</f>
        <v/>
      </c>
      <c r="M127">
        <f>IF(OR(K127="",L127=""),"",MAX(K127,L127))</f>
        <v/>
      </c>
      <c r="N127" t="n">
        <v>0.5</v>
      </c>
      <c r="O127" t="inlineStr">
        <is>
          <t>是</t>
        </is>
      </c>
      <c r="P127">
        <f>IF(OR(M127="",M127&lt;=18),"PASS","ANGLE_ALERT")</f>
        <v/>
      </c>
      <c r="Q127" t="inlineStr">
        <is>
          <t>样品55</t>
        </is>
      </c>
    </row>
    <row r="128">
      <c r="A128" t="inlineStr">
        <is>
          <t>55(1)-P01</t>
        </is>
      </c>
      <c r="B128" t="inlineStr">
        <is>
          <t>55 (1).tif</t>
        </is>
      </c>
      <c r="C128" t="inlineStr">
        <is>
          <t>L3</t>
        </is>
      </c>
      <c r="D128" t="n">
        <v>522</v>
      </c>
      <c r="E128" t="n">
        <v>439</v>
      </c>
      <c r="F128" t="n">
        <v>523</v>
      </c>
      <c r="G128" t="n">
        <v>457</v>
      </c>
      <c r="H128">
        <f>SQRT((F128-D128)^2+(G128-E128)^2)</f>
        <v/>
      </c>
      <c r="I128" t="n">
        <v>0.2173913043478261</v>
      </c>
      <c r="J128">
        <f>H128*I128</f>
        <v/>
      </c>
      <c r="M128">
        <f>IF(OR(K128="",L128=""),"",MAX(K128,L128))</f>
        <v/>
      </c>
      <c r="N128" t="n">
        <v>0.5</v>
      </c>
      <c r="O128" t="inlineStr">
        <is>
          <t>是</t>
        </is>
      </c>
      <c r="P128">
        <f>IF(OR(M128="",M128&lt;=18),"PASS","ANGLE_ALERT")</f>
        <v/>
      </c>
      <c r="Q128" t="inlineStr">
        <is>
          <t>样品55</t>
        </is>
      </c>
    </row>
    <row r="129">
      <c r="A129" t="inlineStr">
        <is>
          <t>55(1)-P01</t>
        </is>
      </c>
      <c r="B129" t="inlineStr">
        <is>
          <t>55 (1).tif</t>
        </is>
      </c>
      <c r="C129" t="inlineStr">
        <is>
          <t>L4</t>
        </is>
      </c>
      <c r="D129" t="n">
        <v>513</v>
      </c>
      <c r="E129" t="n">
        <v>438</v>
      </c>
      <c r="F129" t="n">
        <v>513</v>
      </c>
      <c r="G129" t="n">
        <v>457</v>
      </c>
      <c r="H129">
        <f>SQRT((F129-D129)^2+(G129-E129)^2)</f>
        <v/>
      </c>
      <c r="I129" t="n">
        <v>0.2173913043478261</v>
      </c>
      <c r="J129">
        <f>H129*I129</f>
        <v/>
      </c>
      <c r="M129">
        <f>IF(OR(K129="",L129=""),"",MAX(K129,L129))</f>
        <v/>
      </c>
      <c r="N129" t="n">
        <v>0.5</v>
      </c>
      <c r="O129" t="inlineStr">
        <is>
          <t>是</t>
        </is>
      </c>
      <c r="P129">
        <f>IF(OR(M129="",M129&lt;=18),"PASS","ANGLE_ALERT")</f>
        <v/>
      </c>
      <c r="Q129" t="inlineStr">
        <is>
          <t>样品55</t>
        </is>
      </c>
    </row>
    <row r="130">
      <c r="A130" t="inlineStr">
        <is>
          <t>55(4)-P01</t>
        </is>
      </c>
      <c r="B130" t="inlineStr">
        <is>
          <t>55 (4).tif</t>
        </is>
      </c>
      <c r="C130" t="inlineStr">
        <is>
          <t>L1</t>
        </is>
      </c>
      <c r="D130" t="n">
        <v>488</v>
      </c>
      <c r="E130" t="n">
        <v>364</v>
      </c>
      <c r="F130" t="n">
        <v>508</v>
      </c>
      <c r="G130" t="n">
        <v>348</v>
      </c>
      <c r="H130">
        <f>SQRT((F130-D130)^2+(G130-E130)^2)</f>
        <v/>
      </c>
      <c r="I130" t="n">
        <v>0.2173913043478261</v>
      </c>
      <c r="J130">
        <f>H130*I130</f>
        <v/>
      </c>
      <c r="M130">
        <f>IF(OR(K130="",L130=""),"",MAX(K130,L130))</f>
        <v/>
      </c>
      <c r="N130" t="n">
        <v>0.5</v>
      </c>
      <c r="O130" t="inlineStr">
        <is>
          <t>是</t>
        </is>
      </c>
      <c r="P130">
        <f>IF(OR(M130="",M130&lt;=18),"PASS","ANGLE_ALERT")</f>
        <v/>
      </c>
      <c r="Q130" t="inlineStr">
        <is>
          <t>样品55</t>
        </is>
      </c>
    </row>
    <row r="131">
      <c r="A131" t="inlineStr">
        <is>
          <t>55(4)-P01</t>
        </is>
      </c>
      <c r="B131" t="inlineStr">
        <is>
          <t>55 (4).tif</t>
        </is>
      </c>
      <c r="C131" t="inlineStr">
        <is>
          <t>L2</t>
        </is>
      </c>
      <c r="D131" t="n">
        <v>498</v>
      </c>
      <c r="E131" t="n">
        <v>374</v>
      </c>
      <c r="F131" t="n">
        <v>517</v>
      </c>
      <c r="G131" t="n">
        <v>360</v>
      </c>
      <c r="H131">
        <f>SQRT((F131-D131)^2+(G131-E131)^2)</f>
        <v/>
      </c>
      <c r="I131" t="n">
        <v>0.2173913043478261</v>
      </c>
      <c r="J131">
        <f>H131*I131</f>
        <v/>
      </c>
      <c r="M131">
        <f>IF(OR(K131="",L131=""),"",MAX(K131,L131))</f>
        <v/>
      </c>
      <c r="N131" t="n">
        <v>0.5</v>
      </c>
      <c r="O131" t="inlineStr">
        <is>
          <t>是</t>
        </is>
      </c>
      <c r="P131">
        <f>IF(OR(M131="",M131&lt;=18),"PASS","ANGLE_ALERT")</f>
        <v/>
      </c>
      <c r="Q131" t="inlineStr">
        <is>
          <t>样品55</t>
        </is>
      </c>
    </row>
    <row r="132">
      <c r="A132" t="inlineStr">
        <is>
          <t>55(4)-P01</t>
        </is>
      </c>
      <c r="B132" t="inlineStr">
        <is>
          <t>55 (4).tif</t>
        </is>
      </c>
      <c r="C132" t="inlineStr">
        <is>
          <t>L3</t>
        </is>
      </c>
      <c r="D132" t="n">
        <v>504</v>
      </c>
      <c r="E132" t="n">
        <v>382</v>
      </c>
      <c r="F132" t="n">
        <v>523</v>
      </c>
      <c r="G132" t="n">
        <v>365</v>
      </c>
      <c r="H132">
        <f>SQRT((F132-D132)^2+(G132-E132)^2)</f>
        <v/>
      </c>
      <c r="I132" t="n">
        <v>0.2173913043478261</v>
      </c>
      <c r="J132">
        <f>H132*I132</f>
        <v/>
      </c>
      <c r="M132">
        <f>IF(OR(K132="",L132=""),"",MAX(K132,L132))</f>
        <v/>
      </c>
      <c r="N132" t="n">
        <v>0.5</v>
      </c>
      <c r="O132" t="inlineStr">
        <is>
          <t>是</t>
        </is>
      </c>
      <c r="P132">
        <f>IF(OR(M132="",M132&lt;=18),"PASS","ANGLE_ALERT")</f>
        <v/>
      </c>
      <c r="Q132" t="inlineStr">
        <is>
          <t>样品55</t>
        </is>
      </c>
    </row>
    <row r="133">
      <c r="A133" t="inlineStr">
        <is>
          <t>55(6)-P01</t>
        </is>
      </c>
      <c r="B133" t="inlineStr">
        <is>
          <t>55 (6).tif</t>
        </is>
      </c>
      <c r="C133" t="inlineStr">
        <is>
          <t>L1</t>
        </is>
      </c>
      <c r="D133" t="n">
        <v>511</v>
      </c>
      <c r="E133" t="n">
        <v>424</v>
      </c>
      <c r="F133" t="n">
        <v>537</v>
      </c>
      <c r="G133" t="n">
        <v>409</v>
      </c>
      <c r="H133">
        <f>SQRT((F133-D133)^2+(G133-E133)^2)</f>
        <v/>
      </c>
      <c r="I133" t="n">
        <v>0.2173913043478261</v>
      </c>
      <c r="J133">
        <f>H133*I133</f>
        <v/>
      </c>
      <c r="M133">
        <f>IF(OR(K133="",L133=""),"",MAX(K133,L133))</f>
        <v/>
      </c>
      <c r="N133" t="n">
        <v>0.5</v>
      </c>
      <c r="O133" t="inlineStr">
        <is>
          <t>是</t>
        </is>
      </c>
      <c r="P133">
        <f>IF(OR(M133="",M133&lt;=18),"PASS","ANGLE_ALERT")</f>
        <v/>
      </c>
      <c r="Q133" t="inlineStr">
        <is>
          <t>样品55</t>
        </is>
      </c>
    </row>
    <row r="134">
      <c r="A134" t="inlineStr">
        <is>
          <t>55(8)-P01</t>
        </is>
      </c>
      <c r="B134" t="inlineStr">
        <is>
          <t>55 (8).tif</t>
        </is>
      </c>
      <c r="C134" t="inlineStr">
        <is>
          <t>L1</t>
        </is>
      </c>
      <c r="D134" t="n">
        <v>531</v>
      </c>
      <c r="E134" t="n">
        <v>358</v>
      </c>
      <c r="F134" t="n">
        <v>504</v>
      </c>
      <c r="G134" t="n">
        <v>341</v>
      </c>
      <c r="H134">
        <f>SQRT((F134-D134)^2+(G134-E134)^2)</f>
        <v/>
      </c>
      <c r="I134" t="n">
        <v>0.2173913043478261</v>
      </c>
      <c r="J134">
        <f>H134*I134</f>
        <v/>
      </c>
      <c r="M134">
        <f>IF(OR(K134="",L134=""),"",MAX(K134,L134))</f>
        <v/>
      </c>
      <c r="N134" t="n">
        <v>0.5</v>
      </c>
      <c r="O134" t="inlineStr">
        <is>
          <t>是</t>
        </is>
      </c>
      <c r="P134">
        <f>IF(OR(M134="",M134&lt;=18),"PASS","ANGLE_ALERT")</f>
        <v/>
      </c>
      <c r="Q134" t="inlineStr">
        <is>
          <t>样品55</t>
        </is>
      </c>
    </row>
    <row r="135">
      <c r="A135" t="inlineStr">
        <is>
          <t>55(8)-P01</t>
        </is>
      </c>
      <c r="B135" t="inlineStr">
        <is>
          <t>55 (8).tif</t>
        </is>
      </c>
      <c r="C135" t="inlineStr">
        <is>
          <t>L2</t>
        </is>
      </c>
      <c r="D135" t="n">
        <v>538</v>
      </c>
      <c r="E135" t="n">
        <v>346</v>
      </c>
      <c r="F135" t="n">
        <v>510</v>
      </c>
      <c r="G135" t="n">
        <v>331</v>
      </c>
      <c r="H135">
        <f>SQRT((F135-D135)^2+(G135-E135)^2)</f>
        <v/>
      </c>
      <c r="I135" t="n">
        <v>0.2173913043478261</v>
      </c>
      <c r="J135">
        <f>H135*I135</f>
        <v/>
      </c>
      <c r="M135">
        <f>IF(OR(K135="",L135=""),"",MAX(K135,L135))</f>
        <v/>
      </c>
      <c r="N135" t="n">
        <v>0.5</v>
      </c>
      <c r="O135" t="inlineStr">
        <is>
          <t>是</t>
        </is>
      </c>
      <c r="P135">
        <f>IF(OR(M135="",M135&lt;=18),"PASS","ANGLE_ALERT")</f>
        <v/>
      </c>
      <c r="Q135" t="inlineStr">
        <is>
          <t>样品55</t>
        </is>
      </c>
    </row>
    <row r="136">
      <c r="A136" t="inlineStr">
        <is>
          <t>56(1)-P01</t>
        </is>
      </c>
      <c r="B136" t="inlineStr">
        <is>
          <t>56 (1).tif</t>
        </is>
      </c>
      <c r="C136" t="inlineStr">
        <is>
          <t>L1</t>
        </is>
      </c>
      <c r="D136" t="n">
        <v>552</v>
      </c>
      <c r="E136" t="n">
        <v>378</v>
      </c>
      <c r="F136" t="n">
        <v>552</v>
      </c>
      <c r="G136" t="n">
        <v>380</v>
      </c>
      <c r="H136">
        <f>SQRT((F136-D136)^2+(G136-E136)^2)</f>
        <v/>
      </c>
      <c r="I136" t="n">
        <v>0.2173913043478261</v>
      </c>
      <c r="J136">
        <f>H136*I136</f>
        <v/>
      </c>
      <c r="M136">
        <f>IF(OR(K136="",L136=""),"",MAX(K136,L136))</f>
        <v/>
      </c>
      <c r="N136" t="n">
        <v>0.5</v>
      </c>
      <c r="O136" t="inlineStr">
        <is>
          <t>是</t>
        </is>
      </c>
      <c r="P136">
        <f>IF(OR(M136="",M136&lt;=18),"PASS","ANGLE_ALERT")</f>
        <v/>
      </c>
      <c r="Q136" t="inlineStr">
        <is>
          <t>样品56</t>
        </is>
      </c>
    </row>
    <row r="137">
      <c r="A137" t="inlineStr">
        <is>
          <t>56(1)-P01</t>
        </is>
      </c>
      <c r="B137" t="inlineStr">
        <is>
          <t>56 (1).tif</t>
        </is>
      </c>
      <c r="C137" t="inlineStr">
        <is>
          <t>L2</t>
        </is>
      </c>
      <c r="D137" t="n">
        <v>521</v>
      </c>
      <c r="E137" t="n">
        <v>404</v>
      </c>
      <c r="F137" t="n">
        <v>523</v>
      </c>
      <c r="G137" t="n">
        <v>412</v>
      </c>
      <c r="H137">
        <f>SQRT((F137-D137)^2+(G137-E137)^2)</f>
        <v/>
      </c>
      <c r="I137" t="n">
        <v>0.2173913043478261</v>
      </c>
      <c r="J137">
        <f>H137*I137</f>
        <v/>
      </c>
      <c r="M137">
        <f>IF(OR(K137="",L137=""),"",MAX(K137,L137))</f>
        <v/>
      </c>
      <c r="N137" t="n">
        <v>0.5</v>
      </c>
      <c r="O137" t="inlineStr">
        <is>
          <t>是</t>
        </is>
      </c>
      <c r="P137">
        <f>IF(OR(M137="",M137&lt;=18),"PASS","ANGLE_ALERT")</f>
        <v/>
      </c>
      <c r="Q137" t="inlineStr">
        <is>
          <t>样品56</t>
        </is>
      </c>
    </row>
    <row r="138">
      <c r="A138" t="inlineStr">
        <is>
          <t>56(2)-P01</t>
        </is>
      </c>
      <c r="B138" t="inlineStr">
        <is>
          <t>56 (2).tif</t>
        </is>
      </c>
      <c r="C138" t="inlineStr">
        <is>
          <t>L1</t>
        </is>
      </c>
      <c r="D138" t="n">
        <v>767</v>
      </c>
      <c r="E138" t="n">
        <v>282</v>
      </c>
      <c r="F138" t="n">
        <v>778</v>
      </c>
      <c r="G138" t="n">
        <v>272</v>
      </c>
      <c r="H138">
        <f>SQRT((F138-D138)^2+(G138-E138)^2)</f>
        <v/>
      </c>
      <c r="I138" t="n">
        <v>0.2173913043478261</v>
      </c>
      <c r="J138">
        <f>H138*I138</f>
        <v/>
      </c>
      <c r="M138">
        <f>IF(OR(K138="",L138=""),"",MAX(K138,L138))</f>
        <v/>
      </c>
      <c r="N138" t="n">
        <v>0.5</v>
      </c>
      <c r="O138" t="inlineStr">
        <is>
          <t>是</t>
        </is>
      </c>
      <c r="P138">
        <f>IF(OR(M138="",M138&lt;=18),"PASS","ANGLE_ALERT")</f>
        <v/>
      </c>
      <c r="Q138" t="inlineStr">
        <is>
          <t>样品56</t>
        </is>
      </c>
    </row>
    <row r="139">
      <c r="A139" t="inlineStr">
        <is>
          <t>56(2)-P01</t>
        </is>
      </c>
      <c r="B139" t="inlineStr">
        <is>
          <t>56 (2).tif</t>
        </is>
      </c>
      <c r="C139" t="inlineStr">
        <is>
          <t>L2</t>
        </is>
      </c>
      <c r="D139" t="n">
        <v>777</v>
      </c>
      <c r="E139" t="n">
        <v>277</v>
      </c>
      <c r="F139" t="n">
        <v>779</v>
      </c>
      <c r="G139" t="n">
        <v>273</v>
      </c>
      <c r="H139">
        <f>SQRT((F139-D139)^2+(G139-E139)^2)</f>
        <v/>
      </c>
      <c r="I139" t="n">
        <v>0.2173913043478261</v>
      </c>
      <c r="J139">
        <f>H139*I139</f>
        <v/>
      </c>
      <c r="M139">
        <f>IF(OR(K139="",L139=""),"",MAX(K139,L139))</f>
        <v/>
      </c>
      <c r="N139" t="n">
        <v>0.5</v>
      </c>
      <c r="O139" t="inlineStr">
        <is>
          <t>是</t>
        </is>
      </c>
      <c r="P139">
        <f>IF(OR(M139="",M139&lt;=18),"PASS","ANGLE_ALERT")</f>
        <v/>
      </c>
      <c r="Q139" t="inlineStr">
        <is>
          <t>样品56</t>
        </is>
      </c>
    </row>
    <row r="140">
      <c r="A140" t="inlineStr">
        <is>
          <t>56(2)-P01</t>
        </is>
      </c>
      <c r="B140" t="inlineStr">
        <is>
          <t>56 (2).tif</t>
        </is>
      </c>
      <c r="C140" t="inlineStr">
        <is>
          <t>L3</t>
        </is>
      </c>
      <c r="D140" t="n">
        <v>760</v>
      </c>
      <c r="E140" t="n">
        <v>285</v>
      </c>
      <c r="F140" t="n">
        <v>779</v>
      </c>
      <c r="G140" t="n">
        <v>273</v>
      </c>
      <c r="H140">
        <f>SQRT((F140-D140)^2+(G140-E140)^2)</f>
        <v/>
      </c>
      <c r="I140" t="n">
        <v>0.2173913043478261</v>
      </c>
      <c r="J140">
        <f>H140*I140</f>
        <v/>
      </c>
      <c r="M140">
        <f>IF(OR(K140="",L140=""),"",MAX(K140,L140))</f>
        <v/>
      </c>
      <c r="N140" t="n">
        <v>0.5</v>
      </c>
      <c r="O140" t="inlineStr">
        <is>
          <t>是</t>
        </is>
      </c>
      <c r="P140">
        <f>IF(OR(M140="",M140&lt;=18),"PASS","ANGLE_ALERT")</f>
        <v/>
      </c>
      <c r="Q140" t="inlineStr">
        <is>
          <t>样品56</t>
        </is>
      </c>
    </row>
    <row r="141">
      <c r="A141" t="inlineStr">
        <is>
          <t>56(4)-P01</t>
        </is>
      </c>
      <c r="B141" t="inlineStr">
        <is>
          <t>56 (4).tif</t>
        </is>
      </c>
      <c r="C141" t="inlineStr">
        <is>
          <t>L1</t>
        </is>
      </c>
      <c r="D141" t="n">
        <v>511</v>
      </c>
      <c r="E141" t="n">
        <v>382</v>
      </c>
      <c r="F141" t="n">
        <v>517</v>
      </c>
      <c r="G141" t="n">
        <v>354</v>
      </c>
      <c r="H141">
        <f>SQRT((F141-D141)^2+(G141-E141)^2)</f>
        <v/>
      </c>
      <c r="I141" t="n">
        <v>0.2173913043478261</v>
      </c>
      <c r="J141">
        <f>H141*I141</f>
        <v/>
      </c>
      <c r="M141">
        <f>IF(OR(K141="",L141=""),"",MAX(K141,L141))</f>
        <v/>
      </c>
      <c r="N141" t="n">
        <v>0.5</v>
      </c>
      <c r="O141" t="inlineStr">
        <is>
          <t>是</t>
        </is>
      </c>
      <c r="P141">
        <f>IF(OR(M141="",M141&lt;=18),"PASS","ANGLE_ALERT")</f>
        <v/>
      </c>
      <c r="Q141" t="inlineStr">
        <is>
          <t>样品56</t>
        </is>
      </c>
    </row>
    <row r="142">
      <c r="A142" t="inlineStr">
        <is>
          <t>56(8)-P01</t>
        </is>
      </c>
      <c r="B142" t="inlineStr">
        <is>
          <t>56 (8).tif</t>
        </is>
      </c>
      <c r="C142" t="inlineStr">
        <is>
          <t>L1</t>
        </is>
      </c>
      <c r="D142" t="n">
        <v>486</v>
      </c>
      <c r="E142" t="n">
        <v>362</v>
      </c>
      <c r="F142" t="n">
        <v>485</v>
      </c>
      <c r="G142" t="n">
        <v>378</v>
      </c>
      <c r="H142">
        <f>SQRT((F142-D142)^2+(G142-E142)^2)</f>
        <v/>
      </c>
      <c r="I142" t="n">
        <v>0.2173913043478261</v>
      </c>
      <c r="J142">
        <f>H142*I142</f>
        <v/>
      </c>
      <c r="M142">
        <f>IF(OR(K142="",L142=""),"",MAX(K142,L142))</f>
        <v/>
      </c>
      <c r="N142" t="n">
        <v>0.5</v>
      </c>
      <c r="O142" t="inlineStr">
        <is>
          <t>是</t>
        </is>
      </c>
      <c r="P142">
        <f>IF(OR(M142="",M142&lt;=18),"PASS","ANGLE_ALERT")</f>
        <v/>
      </c>
      <c r="Q142" t="inlineStr">
        <is>
          <t>样品56</t>
        </is>
      </c>
    </row>
    <row r="143">
      <c r="A143" t="inlineStr">
        <is>
          <t>57(6)-P01</t>
        </is>
      </c>
      <c r="B143" t="inlineStr">
        <is>
          <t>57 (6).tif</t>
        </is>
      </c>
      <c r="C143" t="inlineStr">
        <is>
          <t>L1</t>
        </is>
      </c>
      <c r="D143" t="n">
        <v>523</v>
      </c>
      <c r="E143" t="n">
        <v>371</v>
      </c>
      <c r="F143" t="n">
        <v>544</v>
      </c>
      <c r="G143" t="n">
        <v>378</v>
      </c>
      <c r="H143">
        <f>SQRT((F143-D143)^2+(G143-E143)^2)</f>
        <v/>
      </c>
      <c r="I143" t="n">
        <v>0.2173913043478261</v>
      </c>
      <c r="J143">
        <f>H143*I143</f>
        <v/>
      </c>
      <c r="M143">
        <f>IF(OR(K143="",L143=""),"",MAX(K143,L143))</f>
        <v/>
      </c>
      <c r="N143" t="n">
        <v>0.5</v>
      </c>
      <c r="O143" t="inlineStr">
        <is>
          <t>是</t>
        </is>
      </c>
      <c r="P143">
        <f>IF(OR(M143="",M143&lt;=18),"PASS","ANGLE_ALERT")</f>
        <v/>
      </c>
      <c r="Q143" t="inlineStr">
        <is>
          <t>样品57</t>
        </is>
      </c>
    </row>
    <row r="144">
      <c r="A144" t="inlineStr">
        <is>
          <t>57(6)-P01</t>
        </is>
      </c>
      <c r="B144" t="inlineStr">
        <is>
          <t>57 (6).tif</t>
        </is>
      </c>
      <c r="C144" t="inlineStr">
        <is>
          <t>L2</t>
        </is>
      </c>
      <c r="D144" t="n">
        <v>470</v>
      </c>
      <c r="E144" t="n">
        <v>417</v>
      </c>
      <c r="F144" t="n">
        <v>541</v>
      </c>
      <c r="G144" t="n">
        <v>401</v>
      </c>
      <c r="H144">
        <f>SQRT((F144-D144)^2+(G144-E144)^2)</f>
        <v/>
      </c>
      <c r="I144" t="n">
        <v>0.2173913043478261</v>
      </c>
      <c r="J144">
        <f>H144*I144</f>
        <v/>
      </c>
      <c r="M144">
        <f>IF(OR(K144="",L144=""),"",MAX(K144,L144))</f>
        <v/>
      </c>
      <c r="N144" t="n">
        <v>0.5</v>
      </c>
      <c r="O144" t="inlineStr">
        <is>
          <t>是</t>
        </is>
      </c>
      <c r="P144">
        <f>IF(OR(M144="",M144&lt;=18),"PASS","ANGLE_ALERT")</f>
        <v/>
      </c>
      <c r="Q144" t="inlineStr">
        <is>
          <t>样品57</t>
        </is>
      </c>
    </row>
    <row r="145">
      <c r="A145" t="inlineStr">
        <is>
          <t>57(6)-P01</t>
        </is>
      </c>
      <c r="B145" t="inlineStr">
        <is>
          <t>57 (6).tif</t>
        </is>
      </c>
      <c r="C145" t="inlineStr">
        <is>
          <t>L3</t>
        </is>
      </c>
      <c r="D145" t="n">
        <v>525</v>
      </c>
      <c r="E145" t="n">
        <v>366</v>
      </c>
      <c r="F145" t="n">
        <v>544</v>
      </c>
      <c r="G145" t="n">
        <v>376</v>
      </c>
      <c r="H145">
        <f>SQRT((F145-D145)^2+(G145-E145)^2)</f>
        <v/>
      </c>
      <c r="I145" t="n">
        <v>0.2173913043478261</v>
      </c>
      <c r="J145">
        <f>H145*I145</f>
        <v/>
      </c>
      <c r="M145">
        <f>IF(OR(K145="",L145=""),"",MAX(K145,L145))</f>
        <v/>
      </c>
      <c r="N145" t="n">
        <v>0.5</v>
      </c>
      <c r="O145" t="inlineStr">
        <is>
          <t>是</t>
        </is>
      </c>
      <c r="P145">
        <f>IF(OR(M145="",M145&lt;=18),"PASS","ANGLE_ALERT")</f>
        <v/>
      </c>
      <c r="Q145" t="inlineStr">
        <is>
          <t>样品57</t>
        </is>
      </c>
    </row>
    <row r="146">
      <c r="A146" t="inlineStr">
        <is>
          <t>57(6)-P01</t>
        </is>
      </c>
      <c r="B146" t="inlineStr">
        <is>
          <t>57 (6).tif</t>
        </is>
      </c>
      <c r="C146" t="inlineStr">
        <is>
          <t>L4</t>
        </is>
      </c>
      <c r="D146" t="n">
        <v>519</v>
      </c>
      <c r="E146" t="n">
        <v>380</v>
      </c>
      <c r="F146" t="n">
        <v>541</v>
      </c>
      <c r="G146" t="n">
        <v>387</v>
      </c>
      <c r="H146">
        <f>SQRT((F146-D146)^2+(G146-E146)^2)</f>
        <v/>
      </c>
      <c r="I146" t="n">
        <v>0.2173913043478261</v>
      </c>
      <c r="J146">
        <f>H146*I146</f>
        <v/>
      </c>
      <c r="M146">
        <f>IF(OR(K146="",L146=""),"",MAX(K146,L146))</f>
        <v/>
      </c>
      <c r="N146" t="n">
        <v>0.5</v>
      </c>
      <c r="O146" t="inlineStr">
        <is>
          <t>是</t>
        </is>
      </c>
      <c r="P146">
        <f>IF(OR(M146="",M146&lt;=18),"PASS","ANGLE_ALERT")</f>
        <v/>
      </c>
      <c r="Q146" t="inlineStr">
        <is>
          <t>样品57</t>
        </is>
      </c>
    </row>
    <row r="147">
      <c r="A147" t="inlineStr">
        <is>
          <t>58(2)-P01</t>
        </is>
      </c>
      <c r="B147" t="inlineStr">
        <is>
          <t>58 (2).tif</t>
        </is>
      </c>
      <c r="C147" t="inlineStr">
        <is>
          <t>L1</t>
        </is>
      </c>
      <c r="D147" t="n">
        <v>473</v>
      </c>
      <c r="E147" t="n">
        <v>427</v>
      </c>
      <c r="F147" t="n">
        <v>533</v>
      </c>
      <c r="G147" t="n">
        <v>442</v>
      </c>
      <c r="H147">
        <f>SQRT((F147-D147)^2+(G147-E147)^2)</f>
        <v/>
      </c>
      <c r="I147" t="n">
        <v>0.2173913043478261</v>
      </c>
      <c r="J147">
        <f>H147*I147</f>
        <v/>
      </c>
      <c r="M147">
        <f>IF(OR(K147="",L147=""),"",MAX(K147,L147))</f>
        <v/>
      </c>
      <c r="N147" t="n">
        <v>0.5</v>
      </c>
      <c r="O147" t="inlineStr">
        <is>
          <t>是</t>
        </is>
      </c>
      <c r="P147">
        <f>IF(OR(M147="",M147&lt;=18),"PASS","ANGLE_ALERT")</f>
        <v/>
      </c>
      <c r="Q147" t="inlineStr">
        <is>
          <t>样品58</t>
        </is>
      </c>
    </row>
    <row r="148">
      <c r="A148" t="inlineStr">
        <is>
          <t>58(2)-P01</t>
        </is>
      </c>
      <c r="B148" t="inlineStr">
        <is>
          <t>58 (2).tif</t>
        </is>
      </c>
      <c r="C148" t="inlineStr">
        <is>
          <t>L2</t>
        </is>
      </c>
      <c r="D148" t="n">
        <v>473</v>
      </c>
      <c r="E148" t="n">
        <v>407</v>
      </c>
      <c r="F148" t="n">
        <v>480</v>
      </c>
      <c r="G148" t="n">
        <v>407</v>
      </c>
      <c r="H148">
        <f>SQRT((F148-D148)^2+(G148-E148)^2)</f>
        <v/>
      </c>
      <c r="I148" t="n">
        <v>0.2173913043478261</v>
      </c>
      <c r="J148">
        <f>H148*I148</f>
        <v/>
      </c>
      <c r="M148">
        <f>IF(OR(K148="",L148=""),"",MAX(K148,L148))</f>
        <v/>
      </c>
      <c r="N148" t="n">
        <v>0.5</v>
      </c>
      <c r="O148" t="inlineStr">
        <is>
          <t>是</t>
        </is>
      </c>
      <c r="P148">
        <f>IF(OR(M148="",M148&lt;=18),"PASS","ANGLE_ALERT")</f>
        <v/>
      </c>
      <c r="Q148" t="inlineStr">
        <is>
          <t>样品58</t>
        </is>
      </c>
    </row>
    <row r="149">
      <c r="A149" t="inlineStr">
        <is>
          <t>58(4)-P01</t>
        </is>
      </c>
      <c r="B149" t="inlineStr">
        <is>
          <t>58 (4).tif</t>
        </is>
      </c>
      <c r="C149" t="inlineStr">
        <is>
          <t>L1</t>
        </is>
      </c>
      <c r="D149" t="n">
        <v>484</v>
      </c>
      <c r="E149" t="n">
        <v>395</v>
      </c>
      <c r="F149" t="n">
        <v>508</v>
      </c>
      <c r="G149" t="n">
        <v>371</v>
      </c>
      <c r="H149">
        <f>SQRT((F149-D149)^2+(G149-E149)^2)</f>
        <v/>
      </c>
      <c r="I149" t="n">
        <v>0.2173913043478261</v>
      </c>
      <c r="J149">
        <f>H149*I149</f>
        <v/>
      </c>
      <c r="M149">
        <f>IF(OR(K149="",L149=""),"",MAX(K149,L149))</f>
        <v/>
      </c>
      <c r="N149" t="n">
        <v>0.5</v>
      </c>
      <c r="O149" t="inlineStr">
        <is>
          <t>是</t>
        </is>
      </c>
      <c r="P149">
        <f>IF(OR(M149="",M149&lt;=18),"PASS","ANGLE_ALERT")</f>
        <v/>
      </c>
      <c r="Q149" t="inlineStr">
        <is>
          <t>样品58</t>
        </is>
      </c>
    </row>
    <row r="150">
      <c r="A150" t="inlineStr">
        <is>
          <t>58(6)-P01</t>
        </is>
      </c>
      <c r="B150" t="inlineStr">
        <is>
          <t>58 (6).tif</t>
        </is>
      </c>
      <c r="C150" t="inlineStr">
        <is>
          <t>L1</t>
        </is>
      </c>
      <c r="D150" t="n">
        <v>505</v>
      </c>
      <c r="E150" t="n">
        <v>408</v>
      </c>
      <c r="F150" t="n">
        <v>487</v>
      </c>
      <c r="G150" t="n">
        <v>388</v>
      </c>
      <c r="H150">
        <f>SQRT((F150-D150)^2+(G150-E150)^2)</f>
        <v/>
      </c>
      <c r="I150" t="n">
        <v>0.2173913043478261</v>
      </c>
      <c r="J150">
        <f>H150*I150</f>
        <v/>
      </c>
      <c r="M150">
        <f>IF(OR(K150="",L150=""),"",MAX(K150,L150))</f>
        <v/>
      </c>
      <c r="N150" t="n">
        <v>0.5</v>
      </c>
      <c r="O150" t="inlineStr">
        <is>
          <t>是</t>
        </is>
      </c>
      <c r="P150">
        <f>IF(OR(M150="",M150&lt;=18),"PASS","ANGLE_ALERT")</f>
        <v/>
      </c>
      <c r="Q150" t="inlineStr">
        <is>
          <t>样品58</t>
        </is>
      </c>
    </row>
    <row r="151">
      <c r="A151" t="inlineStr">
        <is>
          <t>58(6)-P01</t>
        </is>
      </c>
      <c r="B151" t="inlineStr">
        <is>
          <t>58 (6).tif</t>
        </is>
      </c>
      <c r="C151" t="inlineStr">
        <is>
          <t>L2</t>
        </is>
      </c>
      <c r="D151" t="n">
        <v>513</v>
      </c>
      <c r="E151" t="n">
        <v>401</v>
      </c>
      <c r="F151" t="n">
        <v>494</v>
      </c>
      <c r="G151" t="n">
        <v>382</v>
      </c>
      <c r="H151">
        <f>SQRT((F151-D151)^2+(G151-E151)^2)</f>
        <v/>
      </c>
      <c r="I151" t="n">
        <v>0.2173913043478261</v>
      </c>
      <c r="J151">
        <f>H151*I151</f>
        <v/>
      </c>
      <c r="M151">
        <f>IF(OR(K151="",L151=""),"",MAX(K151,L151))</f>
        <v/>
      </c>
      <c r="N151" t="n">
        <v>0.5</v>
      </c>
      <c r="O151" t="inlineStr">
        <is>
          <t>是</t>
        </is>
      </c>
      <c r="P151">
        <f>IF(OR(M151="",M151&lt;=18),"PASS","ANGLE_ALERT")</f>
        <v/>
      </c>
      <c r="Q151" t="inlineStr">
        <is>
          <t>样品58</t>
        </is>
      </c>
    </row>
    <row r="152">
      <c r="A152" t="inlineStr">
        <is>
          <t>58(6)-P01</t>
        </is>
      </c>
      <c r="B152" t="inlineStr">
        <is>
          <t>58 (6).tif</t>
        </is>
      </c>
      <c r="C152" t="inlineStr">
        <is>
          <t>L3</t>
        </is>
      </c>
      <c r="D152" t="n">
        <v>520</v>
      </c>
      <c r="E152" t="n">
        <v>396</v>
      </c>
      <c r="F152" t="n">
        <v>500</v>
      </c>
      <c r="G152" t="n">
        <v>375</v>
      </c>
      <c r="H152">
        <f>SQRT((F152-D152)^2+(G152-E152)^2)</f>
        <v/>
      </c>
      <c r="I152" t="n">
        <v>0.2173913043478261</v>
      </c>
      <c r="J152">
        <f>H152*I152</f>
        <v/>
      </c>
      <c r="M152">
        <f>IF(OR(K152="",L152=""),"",MAX(K152,L152))</f>
        <v/>
      </c>
      <c r="N152" t="n">
        <v>0.5</v>
      </c>
      <c r="O152" t="inlineStr">
        <is>
          <t>是</t>
        </is>
      </c>
      <c r="P152">
        <f>IF(OR(M152="",M152&lt;=18),"PASS","ANGLE_ALERT")</f>
        <v/>
      </c>
      <c r="Q152" t="inlineStr">
        <is>
          <t>样品58</t>
        </is>
      </c>
    </row>
    <row r="153">
      <c r="A153" t="inlineStr">
        <is>
          <t>58(7)-P01</t>
        </is>
      </c>
      <c r="B153" t="inlineStr">
        <is>
          <t>58 (7).tif</t>
        </is>
      </c>
      <c r="C153" t="inlineStr">
        <is>
          <t>L1</t>
        </is>
      </c>
      <c r="D153" t="n">
        <v>461</v>
      </c>
      <c r="E153" t="n">
        <v>396</v>
      </c>
      <c r="F153" t="n">
        <v>504</v>
      </c>
      <c r="G153" t="n">
        <v>401</v>
      </c>
      <c r="H153">
        <f>SQRT((F153-D153)^2+(G153-E153)^2)</f>
        <v/>
      </c>
      <c r="I153" t="n">
        <v>0.2173913043478261</v>
      </c>
      <c r="J153">
        <f>H153*I153</f>
        <v/>
      </c>
      <c r="M153">
        <f>IF(OR(K153="",L153=""),"",MAX(K153,L153))</f>
        <v/>
      </c>
      <c r="N153" t="n">
        <v>0.5</v>
      </c>
      <c r="O153" t="inlineStr">
        <is>
          <t>是</t>
        </is>
      </c>
      <c r="P153">
        <f>IF(OR(M153="",M153&lt;=18),"PASS","ANGLE_ALERT")</f>
        <v/>
      </c>
      <c r="Q153" t="inlineStr">
        <is>
          <t>样品58</t>
        </is>
      </c>
    </row>
    <row r="154">
      <c r="A154" t="inlineStr">
        <is>
          <t>58(7)-P01</t>
        </is>
      </c>
      <c r="B154" t="inlineStr">
        <is>
          <t>58 (7).tif</t>
        </is>
      </c>
      <c r="C154" t="inlineStr">
        <is>
          <t>L2</t>
        </is>
      </c>
      <c r="D154" t="n">
        <v>489</v>
      </c>
      <c r="E154" t="n">
        <v>383</v>
      </c>
      <c r="F154" t="n">
        <v>503</v>
      </c>
      <c r="G154" t="n">
        <v>408</v>
      </c>
      <c r="H154">
        <f>SQRT((F154-D154)^2+(G154-E154)^2)</f>
        <v/>
      </c>
      <c r="I154" t="n">
        <v>0.2173913043478261</v>
      </c>
      <c r="J154">
        <f>H154*I154</f>
        <v/>
      </c>
      <c r="M154">
        <f>IF(OR(K154="",L154=""),"",MAX(K154,L154))</f>
        <v/>
      </c>
      <c r="N154" t="n">
        <v>0.5</v>
      </c>
      <c r="O154" t="inlineStr">
        <is>
          <t>是</t>
        </is>
      </c>
      <c r="P154">
        <f>IF(OR(M154="",M154&lt;=18),"PASS","ANGLE_ALERT")</f>
        <v/>
      </c>
      <c r="Q154" t="inlineStr">
        <is>
          <t>样品58</t>
        </is>
      </c>
    </row>
    <row r="155">
      <c r="A155" t="inlineStr">
        <is>
          <t>58(7)-P01</t>
        </is>
      </c>
      <c r="B155" t="inlineStr">
        <is>
          <t>58 (7).tif</t>
        </is>
      </c>
      <c r="C155" t="inlineStr">
        <is>
          <t>L3</t>
        </is>
      </c>
      <c r="D155" t="n">
        <v>500</v>
      </c>
      <c r="E155" t="n">
        <v>369</v>
      </c>
      <c r="F155" t="n">
        <v>515</v>
      </c>
      <c r="G155" t="n">
        <v>381</v>
      </c>
      <c r="H155">
        <f>SQRT((F155-D155)^2+(G155-E155)^2)</f>
        <v/>
      </c>
      <c r="I155" t="n">
        <v>0.2173913043478261</v>
      </c>
      <c r="J155">
        <f>H155*I155</f>
        <v/>
      </c>
      <c r="M155">
        <f>IF(OR(K155="",L155=""),"",MAX(K155,L155))</f>
        <v/>
      </c>
      <c r="N155" t="n">
        <v>0.5</v>
      </c>
      <c r="O155" t="inlineStr">
        <is>
          <t>是</t>
        </is>
      </c>
      <c r="P155">
        <f>IF(OR(M155="",M155&lt;=18),"PASS","ANGLE_ALERT")</f>
        <v/>
      </c>
      <c r="Q155" t="inlineStr">
        <is>
          <t>样品58</t>
        </is>
      </c>
    </row>
    <row r="156">
      <c r="A156" t="inlineStr">
        <is>
          <t>58(8)-P01</t>
        </is>
      </c>
      <c r="B156" t="inlineStr">
        <is>
          <t>58 (8).tif</t>
        </is>
      </c>
      <c r="C156" t="inlineStr">
        <is>
          <t>L1</t>
        </is>
      </c>
      <c r="D156" t="n">
        <v>508</v>
      </c>
      <c r="E156" t="n">
        <v>367</v>
      </c>
      <c r="F156" t="n">
        <v>479</v>
      </c>
      <c r="G156" t="n">
        <v>357</v>
      </c>
      <c r="H156">
        <f>SQRT((F156-D156)^2+(G156-E156)^2)</f>
        <v/>
      </c>
      <c r="I156" t="n">
        <v>0.2173913043478261</v>
      </c>
      <c r="J156">
        <f>H156*I156</f>
        <v/>
      </c>
      <c r="M156">
        <f>IF(OR(K156="",L156=""),"",MAX(K156,L156))</f>
        <v/>
      </c>
      <c r="N156" t="n">
        <v>0.5</v>
      </c>
      <c r="O156" t="inlineStr">
        <is>
          <t>是</t>
        </is>
      </c>
      <c r="P156">
        <f>IF(OR(M156="",M156&lt;=18),"PASS","ANGLE_ALERT")</f>
        <v/>
      </c>
      <c r="Q156" t="inlineStr">
        <is>
          <t>样品58</t>
        </is>
      </c>
    </row>
    <row r="157">
      <c r="A157" t="inlineStr">
        <is>
          <t>58(8)-P01</t>
        </is>
      </c>
      <c r="B157" t="inlineStr">
        <is>
          <t>58 (8).tif</t>
        </is>
      </c>
      <c r="C157" t="inlineStr">
        <is>
          <t>L2</t>
        </is>
      </c>
      <c r="D157" t="n">
        <v>511</v>
      </c>
      <c r="E157" t="n">
        <v>356</v>
      </c>
      <c r="F157" t="n">
        <v>484</v>
      </c>
      <c r="G157" t="n">
        <v>346</v>
      </c>
      <c r="H157">
        <f>SQRT((F157-D157)^2+(G157-E157)^2)</f>
        <v/>
      </c>
      <c r="I157" t="n">
        <v>0.2173913043478261</v>
      </c>
      <c r="J157">
        <f>H157*I157</f>
        <v/>
      </c>
      <c r="M157">
        <f>IF(OR(K157="",L157=""),"",MAX(K157,L157))</f>
        <v/>
      </c>
      <c r="N157" t="n">
        <v>0.5</v>
      </c>
      <c r="O157" t="inlineStr">
        <is>
          <t>是</t>
        </is>
      </c>
      <c r="P157">
        <f>IF(OR(M157="",M157&lt;=18),"PASS","ANGLE_ALERT")</f>
        <v/>
      </c>
      <c r="Q157" t="inlineStr">
        <is>
          <t>样品58</t>
        </is>
      </c>
    </row>
    <row r="158">
      <c r="A158" t="inlineStr">
        <is>
          <t>58(8)-P01</t>
        </is>
      </c>
      <c r="B158" t="inlineStr">
        <is>
          <t>58 (8).tif</t>
        </is>
      </c>
      <c r="C158" t="inlineStr">
        <is>
          <t>L3</t>
        </is>
      </c>
      <c r="D158" t="n">
        <v>513</v>
      </c>
      <c r="E158" t="n">
        <v>350</v>
      </c>
      <c r="F158" t="n">
        <v>486</v>
      </c>
      <c r="G158" t="n">
        <v>339</v>
      </c>
      <c r="H158">
        <f>SQRT((F158-D158)^2+(G158-E158)^2)</f>
        <v/>
      </c>
      <c r="I158" t="n">
        <v>0.2173913043478261</v>
      </c>
      <c r="J158">
        <f>H158*I158</f>
        <v/>
      </c>
      <c r="M158">
        <f>IF(OR(K158="",L158=""),"",MAX(K158,L158))</f>
        <v/>
      </c>
      <c r="N158" t="n">
        <v>0.5</v>
      </c>
      <c r="O158" t="inlineStr">
        <is>
          <t>是</t>
        </is>
      </c>
      <c r="P158">
        <f>IF(OR(M158="",M158&lt;=18),"PASS","ANGLE_ALERT")</f>
        <v/>
      </c>
      <c r="Q158" t="inlineStr">
        <is>
          <t>样品58</t>
        </is>
      </c>
    </row>
    <row r="159">
      <c r="A159" t="inlineStr">
        <is>
          <t>59(3)-P01</t>
        </is>
      </c>
      <c r="B159" t="inlineStr">
        <is>
          <t>59 (3).tif</t>
        </is>
      </c>
      <c r="C159" t="inlineStr">
        <is>
          <t>L1</t>
        </is>
      </c>
      <c r="D159" t="n">
        <v>516</v>
      </c>
      <c r="E159" t="n">
        <v>343</v>
      </c>
      <c r="F159" t="n">
        <v>491</v>
      </c>
      <c r="G159" t="n">
        <v>352</v>
      </c>
      <c r="H159">
        <f>SQRT((F159-D159)^2+(G159-E159)^2)</f>
        <v/>
      </c>
      <c r="I159" t="n">
        <v>0.2173913043478261</v>
      </c>
      <c r="J159">
        <f>H159*I159</f>
        <v/>
      </c>
      <c r="M159">
        <f>IF(OR(K159="",L159=""),"",MAX(K159,L159))</f>
        <v/>
      </c>
      <c r="N159" t="n">
        <v>0.5</v>
      </c>
      <c r="O159" t="inlineStr">
        <is>
          <t>是</t>
        </is>
      </c>
      <c r="P159">
        <f>IF(OR(M159="",M159&lt;=18),"PASS","ANGLE_ALERT")</f>
        <v/>
      </c>
      <c r="Q159" t="inlineStr">
        <is>
          <t>样品59</t>
        </is>
      </c>
    </row>
    <row r="160">
      <c r="A160" t="inlineStr">
        <is>
          <t>59(3)-P01</t>
        </is>
      </c>
      <c r="B160" t="inlineStr">
        <is>
          <t>59 (3).tif</t>
        </is>
      </c>
      <c r="C160" t="inlineStr">
        <is>
          <t>L2</t>
        </is>
      </c>
      <c r="D160" t="n">
        <v>522</v>
      </c>
      <c r="E160" t="n">
        <v>348</v>
      </c>
      <c r="F160" t="n">
        <v>508</v>
      </c>
      <c r="G160" t="n">
        <v>365</v>
      </c>
      <c r="H160">
        <f>SQRT((F160-D160)^2+(G160-E160)^2)</f>
        <v/>
      </c>
      <c r="I160" t="n">
        <v>0.2173913043478261</v>
      </c>
      <c r="J160">
        <f>H160*I160</f>
        <v/>
      </c>
      <c r="M160">
        <f>IF(OR(K160="",L160=""),"",MAX(K160,L160))</f>
        <v/>
      </c>
      <c r="N160" t="n">
        <v>0.5</v>
      </c>
      <c r="O160" t="inlineStr">
        <is>
          <t>是</t>
        </is>
      </c>
      <c r="P160">
        <f>IF(OR(M160="",M160&lt;=18),"PASS","ANGLE_ALERT")</f>
        <v/>
      </c>
      <c r="Q160" t="inlineStr">
        <is>
          <t>样品59</t>
        </is>
      </c>
    </row>
    <row r="161">
      <c r="A161" t="inlineStr">
        <is>
          <t>59(4)-P01</t>
        </is>
      </c>
      <c r="B161" t="inlineStr">
        <is>
          <t>59 (4).tif</t>
        </is>
      </c>
      <c r="C161" t="inlineStr">
        <is>
          <t>L1</t>
        </is>
      </c>
      <c r="D161" t="n">
        <v>446</v>
      </c>
      <c r="E161" t="n">
        <v>347</v>
      </c>
      <c r="F161" t="n">
        <v>464</v>
      </c>
      <c r="G161" t="n">
        <v>339</v>
      </c>
      <c r="H161">
        <f>SQRT((F161-D161)^2+(G161-E161)^2)</f>
        <v/>
      </c>
      <c r="I161" t="n">
        <v>0.2173913043478261</v>
      </c>
      <c r="J161">
        <f>H161*I161</f>
        <v/>
      </c>
      <c r="M161">
        <f>IF(OR(K161="",L161=""),"",MAX(K161,L161))</f>
        <v/>
      </c>
      <c r="N161" t="n">
        <v>0.5</v>
      </c>
      <c r="O161" t="inlineStr">
        <is>
          <t>是</t>
        </is>
      </c>
      <c r="P161">
        <f>IF(OR(M161="",M161&lt;=18),"PASS","ANGLE_ALERT")</f>
        <v/>
      </c>
      <c r="Q161" t="inlineStr">
        <is>
          <t>样品59</t>
        </is>
      </c>
    </row>
    <row r="162">
      <c r="A162" t="inlineStr">
        <is>
          <t>59(5)-P01</t>
        </is>
      </c>
      <c r="B162" t="inlineStr">
        <is>
          <t>59 (5).tif</t>
        </is>
      </c>
      <c r="C162" t="inlineStr">
        <is>
          <t>L1</t>
        </is>
      </c>
      <c r="D162" t="n">
        <v>454</v>
      </c>
      <c r="E162" t="n">
        <v>331</v>
      </c>
      <c r="F162" t="n">
        <v>445</v>
      </c>
      <c r="G162" t="n">
        <v>338</v>
      </c>
      <c r="H162">
        <f>SQRT((F162-D162)^2+(G162-E162)^2)</f>
        <v/>
      </c>
      <c r="I162" t="n">
        <v>0.2173913043478261</v>
      </c>
      <c r="J162">
        <f>H162*I162</f>
        <v/>
      </c>
      <c r="M162">
        <f>IF(OR(K162="",L162=""),"",MAX(K162,L162))</f>
        <v/>
      </c>
      <c r="N162" t="n">
        <v>0.5</v>
      </c>
      <c r="O162" t="inlineStr">
        <is>
          <t>是</t>
        </is>
      </c>
      <c r="P162">
        <f>IF(OR(M162="",M162&lt;=18),"PASS","ANGLE_ALERT")</f>
        <v/>
      </c>
      <c r="Q162" t="inlineStr">
        <is>
          <t>样品59</t>
        </is>
      </c>
    </row>
    <row r="163">
      <c r="A163" t="inlineStr">
        <is>
          <t>59(5)-P01</t>
        </is>
      </c>
      <c r="B163" t="inlineStr">
        <is>
          <t>59 (5).tif</t>
        </is>
      </c>
      <c r="C163" t="inlineStr">
        <is>
          <t>L2</t>
        </is>
      </c>
      <c r="D163" t="n">
        <v>457</v>
      </c>
      <c r="E163" t="n">
        <v>350</v>
      </c>
      <c r="F163" t="n">
        <v>448</v>
      </c>
      <c r="G163" t="n">
        <v>360</v>
      </c>
      <c r="H163">
        <f>SQRT((F163-D163)^2+(G163-E163)^2)</f>
        <v/>
      </c>
      <c r="I163" t="n">
        <v>0.2173913043478261</v>
      </c>
      <c r="J163">
        <f>H163*I163</f>
        <v/>
      </c>
      <c r="M163">
        <f>IF(OR(K163="",L163=""),"",MAX(K163,L163))</f>
        <v/>
      </c>
      <c r="N163" t="n">
        <v>0.5</v>
      </c>
      <c r="O163" t="inlineStr">
        <is>
          <t>是</t>
        </is>
      </c>
      <c r="P163">
        <f>IF(OR(M163="",M163&lt;=18),"PASS","ANGLE_ALERT")</f>
        <v/>
      </c>
      <c r="Q163" t="inlineStr">
        <is>
          <t>样品59</t>
        </is>
      </c>
    </row>
    <row r="164">
      <c r="A164" t="inlineStr">
        <is>
          <t>59(5)-P01</t>
        </is>
      </c>
      <c r="B164" t="inlineStr">
        <is>
          <t>59 (5).tif</t>
        </is>
      </c>
      <c r="C164" t="inlineStr">
        <is>
          <t>L3</t>
        </is>
      </c>
      <c r="D164" t="n">
        <v>455</v>
      </c>
      <c r="E164" t="n">
        <v>343</v>
      </c>
      <c r="F164" t="n">
        <v>447</v>
      </c>
      <c r="G164" t="n">
        <v>344</v>
      </c>
      <c r="H164">
        <f>SQRT((F164-D164)^2+(G164-E164)^2)</f>
        <v/>
      </c>
      <c r="I164" t="n">
        <v>0.2173913043478261</v>
      </c>
      <c r="J164">
        <f>H164*I164</f>
        <v/>
      </c>
      <c r="M164">
        <f>IF(OR(K164="",L164=""),"",MAX(K164,L164))</f>
        <v/>
      </c>
      <c r="N164" t="n">
        <v>0.5</v>
      </c>
      <c r="O164" t="inlineStr">
        <is>
          <t>是</t>
        </is>
      </c>
      <c r="P164">
        <f>IF(OR(M164="",M164&lt;=18),"PASS","ANGLE_ALERT")</f>
        <v/>
      </c>
      <c r="Q164" t="inlineStr">
        <is>
          <t>样品59</t>
        </is>
      </c>
    </row>
    <row r="165">
      <c r="A165" t="inlineStr">
        <is>
          <t>59(5)-P02</t>
        </is>
      </c>
      <c r="B165" t="inlineStr">
        <is>
          <t>59 (5).tif</t>
        </is>
      </c>
      <c r="C165" t="inlineStr">
        <is>
          <t>L1</t>
        </is>
      </c>
      <c r="D165" t="n">
        <v>579</v>
      </c>
      <c r="E165" t="n">
        <v>105</v>
      </c>
      <c r="F165" t="n">
        <v>558</v>
      </c>
      <c r="G165" t="n">
        <v>107</v>
      </c>
      <c r="H165">
        <f>SQRT((F165-D165)^2+(G165-E165)^2)</f>
        <v/>
      </c>
      <c r="I165" t="n">
        <v>0.2173913043478261</v>
      </c>
      <c r="J165">
        <f>H165*I165</f>
        <v/>
      </c>
      <c r="M165">
        <f>IF(OR(K165="",L165=""),"",MAX(K165,L165))</f>
        <v/>
      </c>
      <c r="N165" t="n">
        <v>0.5</v>
      </c>
      <c r="O165" t="inlineStr">
        <is>
          <t>是</t>
        </is>
      </c>
      <c r="P165">
        <f>IF(OR(M165="",M165&lt;=18),"PASS","ANGLE_ALERT")</f>
        <v/>
      </c>
      <c r="Q165" t="inlineStr">
        <is>
          <t>样品59</t>
        </is>
      </c>
    </row>
    <row r="166">
      <c r="A166" t="inlineStr">
        <is>
          <t>59(5)-P02</t>
        </is>
      </c>
      <c r="B166" t="inlineStr">
        <is>
          <t>59 (5).tif</t>
        </is>
      </c>
      <c r="C166" t="inlineStr">
        <is>
          <t>L2</t>
        </is>
      </c>
      <c r="D166" t="n">
        <v>574</v>
      </c>
      <c r="E166" t="n">
        <v>82</v>
      </c>
      <c r="F166" t="n">
        <v>555</v>
      </c>
      <c r="G166" t="n">
        <v>88</v>
      </c>
      <c r="H166">
        <f>SQRT((F166-D166)^2+(G166-E166)^2)</f>
        <v/>
      </c>
      <c r="I166" t="n">
        <v>0.2173913043478261</v>
      </c>
      <c r="J166">
        <f>H166*I166</f>
        <v/>
      </c>
      <c r="M166">
        <f>IF(OR(K166="",L166=""),"",MAX(K166,L166))</f>
        <v/>
      </c>
      <c r="N166" t="n">
        <v>0.5</v>
      </c>
      <c r="O166" t="inlineStr">
        <is>
          <t>是</t>
        </is>
      </c>
      <c r="P166">
        <f>IF(OR(M166="",M166&lt;=18),"PASS","ANGLE_ALERT")</f>
        <v/>
      </c>
      <c r="Q166" t="inlineStr">
        <is>
          <t>样品59</t>
        </is>
      </c>
    </row>
    <row r="167">
      <c r="A167" t="inlineStr">
        <is>
          <t>59(6)-P01</t>
        </is>
      </c>
      <c r="B167" t="inlineStr">
        <is>
          <t>59 (6).tif</t>
        </is>
      </c>
      <c r="C167" t="inlineStr">
        <is>
          <t>L1</t>
        </is>
      </c>
      <c r="D167" t="n">
        <v>537</v>
      </c>
      <c r="E167" t="n">
        <v>364</v>
      </c>
      <c r="F167" t="n">
        <v>555</v>
      </c>
      <c r="G167" t="n">
        <v>377</v>
      </c>
      <c r="H167">
        <f>SQRT((F167-D167)^2+(G167-E167)^2)</f>
        <v/>
      </c>
      <c r="I167" t="n">
        <v>0.2173913043478261</v>
      </c>
      <c r="J167">
        <f>H167*I167</f>
        <v/>
      </c>
      <c r="M167">
        <f>IF(OR(K167="",L167=""),"",MAX(K167,L167))</f>
        <v/>
      </c>
      <c r="N167" t="n">
        <v>0.5</v>
      </c>
      <c r="O167" t="inlineStr">
        <is>
          <t>是</t>
        </is>
      </c>
      <c r="P167">
        <f>IF(OR(M167="",M167&lt;=18),"PASS","ANGLE_ALERT")</f>
        <v/>
      </c>
      <c r="Q167" t="inlineStr">
        <is>
          <t>样品59</t>
        </is>
      </c>
    </row>
    <row r="168">
      <c r="A168" t="inlineStr">
        <is>
          <t>59(6)-P01</t>
        </is>
      </c>
      <c r="B168" t="inlineStr">
        <is>
          <t>59 (6).tif</t>
        </is>
      </c>
      <c r="C168" t="inlineStr">
        <is>
          <t>L2</t>
        </is>
      </c>
      <c r="D168" t="n">
        <v>521</v>
      </c>
      <c r="E168" t="n">
        <v>385</v>
      </c>
      <c r="F168" t="n">
        <v>538</v>
      </c>
      <c r="G168" t="n">
        <v>412</v>
      </c>
      <c r="H168">
        <f>SQRT((F168-D168)^2+(G168-E168)^2)</f>
        <v/>
      </c>
      <c r="I168" t="n">
        <v>0.2173913043478261</v>
      </c>
      <c r="J168">
        <f>H168*I168</f>
        <v/>
      </c>
      <c r="M168">
        <f>IF(OR(K168="",L168=""),"",MAX(K168,L168))</f>
        <v/>
      </c>
      <c r="N168" t="n">
        <v>0.5</v>
      </c>
      <c r="O168" t="inlineStr">
        <is>
          <t>是</t>
        </is>
      </c>
      <c r="P168">
        <f>IF(OR(M168="",M168&lt;=18),"PASS","ANGLE_ALERT")</f>
        <v/>
      </c>
      <c r="Q168" t="inlineStr">
        <is>
          <t>样品59</t>
        </is>
      </c>
    </row>
    <row r="169">
      <c r="A169" t="inlineStr">
        <is>
          <t>59(6)-P01</t>
        </is>
      </c>
      <c r="B169" t="inlineStr">
        <is>
          <t>59 (6).tif</t>
        </is>
      </c>
      <c r="C169" t="inlineStr">
        <is>
          <t>L3</t>
        </is>
      </c>
      <c r="D169" t="n">
        <v>531</v>
      </c>
      <c r="E169" t="n">
        <v>374</v>
      </c>
      <c r="F169" t="n">
        <v>548</v>
      </c>
      <c r="G169" t="n">
        <v>386</v>
      </c>
      <c r="H169">
        <f>SQRT((F169-D169)^2+(G169-E169)^2)</f>
        <v/>
      </c>
      <c r="I169" t="n">
        <v>0.2173913043478261</v>
      </c>
      <c r="J169">
        <f>H169*I169</f>
        <v/>
      </c>
      <c r="M169">
        <f>IF(OR(K169="",L169=""),"",MAX(K169,L169))</f>
        <v/>
      </c>
      <c r="N169" t="n">
        <v>0.5</v>
      </c>
      <c r="O169" t="inlineStr">
        <is>
          <t>是</t>
        </is>
      </c>
      <c r="P169">
        <f>IF(OR(M169="",M169&lt;=18),"PASS","ANGLE_ALERT")</f>
        <v/>
      </c>
      <c r="Q169" t="inlineStr">
        <is>
          <t>样品59</t>
        </is>
      </c>
    </row>
    <row r="170">
      <c r="A170" t="inlineStr">
        <is>
          <t>59(6)-P01</t>
        </is>
      </c>
      <c r="B170" t="inlineStr">
        <is>
          <t>59 (6).tif</t>
        </is>
      </c>
      <c r="C170" t="inlineStr">
        <is>
          <t>L4</t>
        </is>
      </c>
      <c r="D170" t="n">
        <v>525</v>
      </c>
      <c r="E170" t="n">
        <v>381</v>
      </c>
      <c r="F170" t="n">
        <v>543</v>
      </c>
      <c r="G170" t="n">
        <v>394</v>
      </c>
      <c r="H170">
        <f>SQRT((F170-D170)^2+(G170-E170)^2)</f>
        <v/>
      </c>
      <c r="I170" t="n">
        <v>0.2173913043478261</v>
      </c>
      <c r="J170">
        <f>H170*I170</f>
        <v/>
      </c>
      <c r="M170">
        <f>IF(OR(K170="",L170=""),"",MAX(K170,L170))</f>
        <v/>
      </c>
      <c r="N170" t="n">
        <v>0.5</v>
      </c>
      <c r="O170" t="inlineStr">
        <is>
          <t>是</t>
        </is>
      </c>
      <c r="P170">
        <f>IF(OR(M170="",M170&lt;=18),"PASS","ANGLE_ALERT")</f>
        <v/>
      </c>
      <c r="Q170" t="inlineStr">
        <is>
          <t>样品59</t>
        </is>
      </c>
    </row>
    <row r="171">
      <c r="A171" t="inlineStr">
        <is>
          <t>59(8)-P01</t>
        </is>
      </c>
      <c r="B171" t="inlineStr">
        <is>
          <t>59 (8).tif</t>
        </is>
      </c>
      <c r="C171" t="inlineStr">
        <is>
          <t>L1</t>
        </is>
      </c>
      <c r="D171" t="n">
        <v>482</v>
      </c>
      <c r="E171" t="n">
        <v>379</v>
      </c>
      <c r="F171" t="n">
        <v>499</v>
      </c>
      <c r="G171" t="n">
        <v>363</v>
      </c>
      <c r="H171">
        <f>SQRT((F171-D171)^2+(G171-E171)^2)</f>
        <v/>
      </c>
      <c r="I171" t="n">
        <v>0.2173913043478261</v>
      </c>
      <c r="J171">
        <f>H171*I171</f>
        <v/>
      </c>
      <c r="M171">
        <f>IF(OR(K171="",L171=""),"",MAX(K171,L171))</f>
        <v/>
      </c>
      <c r="N171" t="n">
        <v>0.5</v>
      </c>
      <c r="O171" t="inlineStr">
        <is>
          <t>是</t>
        </is>
      </c>
      <c r="P171">
        <f>IF(OR(M171="",M171&lt;=18),"PASS","ANGLE_ALERT")</f>
        <v/>
      </c>
      <c r="Q171" t="inlineStr">
        <is>
          <t>样品59</t>
        </is>
      </c>
    </row>
    <row r="172">
      <c r="A172" t="inlineStr">
        <is>
          <t>59(8)-P01</t>
        </is>
      </c>
      <c r="B172" t="inlineStr">
        <is>
          <t>59 (8).tif</t>
        </is>
      </c>
      <c r="C172" t="inlineStr">
        <is>
          <t>L2</t>
        </is>
      </c>
      <c r="D172" t="n">
        <v>490</v>
      </c>
      <c r="E172" t="n">
        <v>388</v>
      </c>
      <c r="F172" t="n">
        <v>509</v>
      </c>
      <c r="G172" t="n">
        <v>375</v>
      </c>
      <c r="H172">
        <f>SQRT((F172-D172)^2+(G172-E172)^2)</f>
        <v/>
      </c>
      <c r="I172" t="n">
        <v>0.2173913043478261</v>
      </c>
      <c r="J172">
        <f>H172*I172</f>
        <v/>
      </c>
      <c r="M172">
        <f>IF(OR(K172="",L172=""),"",MAX(K172,L172))</f>
        <v/>
      </c>
      <c r="N172" t="n">
        <v>0.5</v>
      </c>
      <c r="O172" t="inlineStr">
        <is>
          <t>是</t>
        </is>
      </c>
      <c r="P172">
        <f>IF(OR(M172="",M172&lt;=18),"PASS","ANGLE_ALERT")</f>
        <v/>
      </c>
      <c r="Q172" t="inlineStr">
        <is>
          <t>样品59</t>
        </is>
      </c>
    </row>
    <row r="173">
      <c r="A173" t="inlineStr">
        <is>
          <t>60(1)-P01</t>
        </is>
      </c>
      <c r="B173" t="inlineStr">
        <is>
          <t>60 (1).tif</t>
        </is>
      </c>
      <c r="C173" t="inlineStr">
        <is>
          <t>L1</t>
        </is>
      </c>
      <c r="D173" t="n">
        <v>502</v>
      </c>
      <c r="E173" t="n">
        <v>369</v>
      </c>
      <c r="F173" t="n">
        <v>506</v>
      </c>
      <c r="G173" t="n">
        <v>382</v>
      </c>
      <c r="H173">
        <f>SQRT((F173-D173)^2+(G173-E173)^2)</f>
        <v/>
      </c>
      <c r="I173" t="n">
        <v>0.2173913043478261</v>
      </c>
      <c r="J173">
        <f>H173*I173</f>
        <v/>
      </c>
      <c r="M173">
        <f>IF(OR(K173="",L173=""),"",MAX(K173,L173))</f>
        <v/>
      </c>
      <c r="N173" t="n">
        <v>0.5</v>
      </c>
      <c r="O173" t="inlineStr">
        <is>
          <t>是</t>
        </is>
      </c>
      <c r="P173">
        <f>IF(OR(M173="",M173&lt;=18),"PASS","ANGLE_ALERT")</f>
        <v/>
      </c>
      <c r="Q173" t="inlineStr">
        <is>
          <t>样品60</t>
        </is>
      </c>
    </row>
    <row r="174">
      <c r="A174" t="inlineStr">
        <is>
          <t>60(2)-P01</t>
        </is>
      </c>
      <c r="B174" t="inlineStr">
        <is>
          <t>60 (2).tif</t>
        </is>
      </c>
      <c r="C174" t="inlineStr">
        <is>
          <t>L1</t>
        </is>
      </c>
      <c r="D174" t="n">
        <v>489</v>
      </c>
      <c r="E174" t="n">
        <v>374</v>
      </c>
      <c r="F174" t="n">
        <v>499</v>
      </c>
      <c r="G174" t="n">
        <v>377</v>
      </c>
      <c r="H174">
        <f>SQRT((F174-D174)^2+(G174-E174)^2)</f>
        <v/>
      </c>
      <c r="I174" t="n">
        <v>0.2173913043478261</v>
      </c>
      <c r="J174">
        <f>H174*I174</f>
        <v/>
      </c>
      <c r="M174">
        <f>IF(OR(K174="",L174=""),"",MAX(K174,L174))</f>
        <v/>
      </c>
      <c r="N174" t="n">
        <v>0.5</v>
      </c>
      <c r="O174" t="inlineStr">
        <is>
          <t>是</t>
        </is>
      </c>
      <c r="P174">
        <f>IF(OR(M174="",M174&lt;=18),"PASS","ANGLE_ALERT")</f>
        <v/>
      </c>
      <c r="Q174" t="inlineStr">
        <is>
          <t>样品60</t>
        </is>
      </c>
    </row>
    <row r="175">
      <c r="A175" t="inlineStr">
        <is>
          <t>60(2)-P01</t>
        </is>
      </c>
      <c r="B175" t="inlineStr">
        <is>
          <t>60 (2).tif</t>
        </is>
      </c>
      <c r="C175" t="inlineStr">
        <is>
          <t>L2</t>
        </is>
      </c>
      <c r="D175" t="n">
        <v>487</v>
      </c>
      <c r="E175" t="n">
        <v>381</v>
      </c>
      <c r="F175" t="n">
        <v>498</v>
      </c>
      <c r="G175" t="n">
        <v>384</v>
      </c>
      <c r="H175">
        <f>SQRT((F175-D175)^2+(G175-E175)^2)</f>
        <v/>
      </c>
      <c r="I175" t="n">
        <v>0.2173913043478261</v>
      </c>
      <c r="J175">
        <f>H175*I175</f>
        <v/>
      </c>
      <c r="M175">
        <f>IF(OR(K175="",L175=""),"",MAX(K175,L175))</f>
        <v/>
      </c>
      <c r="N175" t="n">
        <v>0.5</v>
      </c>
      <c r="O175" t="inlineStr">
        <is>
          <t>是</t>
        </is>
      </c>
      <c r="P175">
        <f>IF(OR(M175="",M175&lt;=18),"PASS","ANGLE_ALERT")</f>
        <v/>
      </c>
      <c r="Q175" t="inlineStr">
        <is>
          <t>样品60</t>
        </is>
      </c>
    </row>
    <row r="176">
      <c r="A176" t="inlineStr">
        <is>
          <t>60(3)-P01</t>
        </is>
      </c>
      <c r="B176" t="inlineStr">
        <is>
          <t>60 (3).tif</t>
        </is>
      </c>
      <c r="C176" t="inlineStr">
        <is>
          <t>L1</t>
        </is>
      </c>
      <c r="D176" t="n">
        <v>531</v>
      </c>
      <c r="E176" t="n">
        <v>388</v>
      </c>
      <c r="F176" t="n">
        <v>584</v>
      </c>
      <c r="G176" t="n">
        <v>401</v>
      </c>
      <c r="H176">
        <f>SQRT((F176-D176)^2+(G176-E176)^2)</f>
        <v/>
      </c>
      <c r="I176" t="n">
        <v>0.2173913043478261</v>
      </c>
      <c r="J176">
        <f>H176*I176</f>
        <v/>
      </c>
      <c r="M176">
        <f>IF(OR(K176="",L176=""),"",MAX(K176,L176))</f>
        <v/>
      </c>
      <c r="N176" t="n">
        <v>0.5</v>
      </c>
      <c r="O176" t="inlineStr">
        <is>
          <t>是</t>
        </is>
      </c>
      <c r="P176">
        <f>IF(OR(M176="",M176&lt;=18),"PASS","ANGLE_ALERT")</f>
        <v/>
      </c>
      <c r="Q176" t="inlineStr">
        <is>
          <t>样品60</t>
        </is>
      </c>
    </row>
    <row r="177">
      <c r="A177" t="inlineStr">
        <is>
          <t>60(4)-P01</t>
        </is>
      </c>
      <c r="B177" t="inlineStr">
        <is>
          <t>60 (4).tif</t>
        </is>
      </c>
      <c r="C177" t="inlineStr">
        <is>
          <t>L1</t>
        </is>
      </c>
      <c r="D177" t="n">
        <v>484</v>
      </c>
      <c r="E177" t="n">
        <v>322</v>
      </c>
      <c r="F177" t="n">
        <v>503</v>
      </c>
      <c r="G177" t="n">
        <v>327</v>
      </c>
      <c r="H177">
        <f>SQRT((F177-D177)^2+(G177-E177)^2)</f>
        <v/>
      </c>
      <c r="I177" t="n">
        <v>0.2173913043478261</v>
      </c>
      <c r="J177">
        <f>H177*I177</f>
        <v/>
      </c>
      <c r="M177">
        <f>IF(OR(K177="",L177=""),"",MAX(K177,L177))</f>
        <v/>
      </c>
      <c r="N177" t="n">
        <v>0.5</v>
      </c>
      <c r="O177" t="inlineStr">
        <is>
          <t>是</t>
        </is>
      </c>
      <c r="P177">
        <f>IF(OR(M177="",M177&lt;=18),"PASS","ANGLE_ALERT")</f>
        <v/>
      </c>
      <c r="Q177" t="inlineStr">
        <is>
          <t>样品60</t>
        </is>
      </c>
    </row>
    <row r="178">
      <c r="A178" t="inlineStr">
        <is>
          <t>60(4)-P01</t>
        </is>
      </c>
      <c r="B178" t="inlineStr">
        <is>
          <t>60 (4).tif</t>
        </is>
      </c>
      <c r="C178" t="inlineStr">
        <is>
          <t>L2</t>
        </is>
      </c>
      <c r="D178" t="n">
        <v>481</v>
      </c>
      <c r="E178" t="n">
        <v>332</v>
      </c>
      <c r="F178" t="n">
        <v>498</v>
      </c>
      <c r="G178" t="n">
        <v>339</v>
      </c>
      <c r="H178">
        <f>SQRT((F178-D178)^2+(G178-E178)^2)</f>
        <v/>
      </c>
      <c r="I178" t="n">
        <v>0.2173913043478261</v>
      </c>
      <c r="J178">
        <f>H178*I178</f>
        <v/>
      </c>
      <c r="M178">
        <f>IF(OR(K178="",L178=""),"",MAX(K178,L178))</f>
        <v/>
      </c>
      <c r="N178" t="n">
        <v>0.5</v>
      </c>
      <c r="O178" t="inlineStr">
        <is>
          <t>是</t>
        </is>
      </c>
      <c r="P178">
        <f>IF(OR(M178="",M178&lt;=18),"PASS","ANGLE_ALERT")</f>
        <v/>
      </c>
      <c r="Q178" t="inlineStr">
        <is>
          <t>样品60</t>
        </is>
      </c>
    </row>
    <row r="179">
      <c r="A179" t="inlineStr">
        <is>
          <t>60(4)-P01</t>
        </is>
      </c>
      <c r="B179" t="inlineStr">
        <is>
          <t>60 (4).tif</t>
        </is>
      </c>
      <c r="C179" t="inlineStr">
        <is>
          <t>L3</t>
        </is>
      </c>
      <c r="D179" t="n">
        <v>478</v>
      </c>
      <c r="E179" t="n">
        <v>339</v>
      </c>
      <c r="F179" t="n">
        <v>496</v>
      </c>
      <c r="G179" t="n">
        <v>348</v>
      </c>
      <c r="H179">
        <f>SQRT((F179-D179)^2+(G179-E179)^2)</f>
        <v/>
      </c>
      <c r="I179" t="n">
        <v>0.2173913043478261</v>
      </c>
      <c r="J179">
        <f>H179*I179</f>
        <v/>
      </c>
      <c r="M179">
        <f>IF(OR(K179="",L179=""),"",MAX(K179,L179))</f>
        <v/>
      </c>
      <c r="N179" t="n">
        <v>0.5</v>
      </c>
      <c r="O179" t="inlineStr">
        <is>
          <t>是</t>
        </is>
      </c>
      <c r="P179">
        <f>IF(OR(M179="",M179&lt;=18),"PASS","ANGLE_ALERT")</f>
        <v/>
      </c>
      <c r="Q179" t="inlineStr">
        <is>
          <t>样品60</t>
        </is>
      </c>
    </row>
    <row r="180">
      <c r="A180" t="inlineStr">
        <is>
          <t>60(5)-P01</t>
        </is>
      </c>
      <c r="B180" t="inlineStr">
        <is>
          <t>60 (5).tif</t>
        </is>
      </c>
      <c r="C180" t="inlineStr">
        <is>
          <t>L1</t>
        </is>
      </c>
      <c r="D180" t="n">
        <v>490</v>
      </c>
      <c r="E180" t="n">
        <v>400</v>
      </c>
      <c r="F180" t="n">
        <v>505</v>
      </c>
      <c r="G180" t="n">
        <v>406</v>
      </c>
      <c r="H180">
        <f>SQRT((F180-D180)^2+(G180-E180)^2)</f>
        <v/>
      </c>
      <c r="I180" t="n">
        <v>0.2173913043478261</v>
      </c>
      <c r="J180">
        <f>H180*I180</f>
        <v/>
      </c>
      <c r="M180">
        <f>IF(OR(K180="",L180=""),"",MAX(K180,L180))</f>
        <v/>
      </c>
      <c r="N180" t="n">
        <v>0.5</v>
      </c>
      <c r="O180" t="inlineStr">
        <is>
          <t>是</t>
        </is>
      </c>
      <c r="P180">
        <f>IF(OR(M180="",M180&lt;=18),"PASS","ANGLE_ALERT")</f>
        <v/>
      </c>
      <c r="Q180" t="inlineStr">
        <is>
          <t>样品60</t>
        </is>
      </c>
    </row>
    <row r="181">
      <c r="A181" t="inlineStr">
        <is>
          <t>60(5)-P01</t>
        </is>
      </c>
      <c r="B181" t="inlineStr">
        <is>
          <t>60 (5).tif</t>
        </is>
      </c>
      <c r="C181" t="inlineStr">
        <is>
          <t>L2</t>
        </is>
      </c>
      <c r="D181" t="n">
        <v>486</v>
      </c>
      <c r="E181" t="n">
        <v>409</v>
      </c>
      <c r="F181" t="n">
        <v>501</v>
      </c>
      <c r="G181" t="n">
        <v>417</v>
      </c>
      <c r="H181">
        <f>SQRT((F181-D181)^2+(G181-E181)^2)</f>
        <v/>
      </c>
      <c r="I181" t="n">
        <v>0.2173913043478261</v>
      </c>
      <c r="J181">
        <f>H181*I181</f>
        <v/>
      </c>
      <c r="M181">
        <f>IF(OR(K181="",L181=""),"",MAX(K181,L181))</f>
        <v/>
      </c>
      <c r="N181" t="n">
        <v>0.5</v>
      </c>
      <c r="O181" t="inlineStr">
        <is>
          <t>是</t>
        </is>
      </c>
      <c r="P181">
        <f>IF(OR(M181="",M181&lt;=18),"PASS","ANGLE_ALERT")</f>
        <v/>
      </c>
      <c r="Q181" t="inlineStr">
        <is>
          <t>样品60</t>
        </is>
      </c>
    </row>
    <row r="182">
      <c r="A182" t="inlineStr">
        <is>
          <t>60(6)-P01</t>
        </is>
      </c>
      <c r="B182" t="inlineStr">
        <is>
          <t>60 (6).tif</t>
        </is>
      </c>
      <c r="C182" t="inlineStr">
        <is>
          <t>L1</t>
        </is>
      </c>
      <c r="D182" t="n">
        <v>513</v>
      </c>
      <c r="E182" t="n">
        <v>386</v>
      </c>
      <c r="F182" t="n">
        <v>515</v>
      </c>
      <c r="G182" t="n">
        <v>368</v>
      </c>
      <c r="H182">
        <f>SQRT((F182-D182)^2+(G182-E182)^2)</f>
        <v/>
      </c>
      <c r="I182" t="n">
        <v>0.2173913043478261</v>
      </c>
      <c r="J182">
        <f>H182*I182</f>
        <v/>
      </c>
      <c r="M182">
        <f>IF(OR(K182="",L182=""),"",MAX(K182,L182))</f>
        <v/>
      </c>
      <c r="N182" t="n">
        <v>0.5</v>
      </c>
      <c r="O182" t="inlineStr">
        <is>
          <t>是</t>
        </is>
      </c>
      <c r="P182">
        <f>IF(OR(M182="",M182&lt;=18),"PASS","ANGLE_ALERT")</f>
        <v/>
      </c>
      <c r="Q182" t="inlineStr">
        <is>
          <t>样品60</t>
        </is>
      </c>
    </row>
    <row r="183">
      <c r="A183" t="inlineStr">
        <is>
          <t>60(8)-P01</t>
        </is>
      </c>
      <c r="B183" t="inlineStr">
        <is>
          <t>60 (8).tif</t>
        </is>
      </c>
      <c r="C183" t="inlineStr">
        <is>
          <t>L1</t>
        </is>
      </c>
      <c r="D183" t="n">
        <v>175</v>
      </c>
      <c r="E183" t="n">
        <v>283</v>
      </c>
      <c r="F183" t="n">
        <v>146</v>
      </c>
      <c r="G183" t="n">
        <v>272</v>
      </c>
      <c r="H183">
        <f>SQRT((F183-D183)^2+(G183-E183)^2)</f>
        <v/>
      </c>
      <c r="I183" t="n">
        <v>0.2173913043478261</v>
      </c>
      <c r="J183">
        <f>H183*I183</f>
        <v/>
      </c>
      <c r="M183">
        <f>IF(OR(K183="",L183=""),"",MAX(K183,L183))</f>
        <v/>
      </c>
      <c r="N183" t="n">
        <v>0.5</v>
      </c>
      <c r="O183" t="inlineStr">
        <is>
          <t>是</t>
        </is>
      </c>
      <c r="P183">
        <f>IF(OR(M183="",M183&lt;=18),"PASS","ANGLE_ALERT")</f>
        <v/>
      </c>
      <c r="Q183" t="inlineStr">
        <is>
          <t>样品60</t>
        </is>
      </c>
    </row>
    <row r="184">
      <c r="A184" t="inlineStr">
        <is>
          <t>60(8)-P01</t>
        </is>
      </c>
      <c r="B184" t="inlineStr">
        <is>
          <t>60 (8).tif</t>
        </is>
      </c>
      <c r="C184" t="inlineStr">
        <is>
          <t>L2</t>
        </is>
      </c>
      <c r="D184" t="n">
        <v>178</v>
      </c>
      <c r="E184" t="n">
        <v>274</v>
      </c>
      <c r="F184" t="n">
        <v>148</v>
      </c>
      <c r="G184" t="n">
        <v>267</v>
      </c>
      <c r="H184">
        <f>SQRT((F184-D184)^2+(G184-E184)^2)</f>
        <v/>
      </c>
      <c r="I184" t="n">
        <v>0.2173913043478261</v>
      </c>
      <c r="J184">
        <f>H184*I184</f>
        <v/>
      </c>
      <c r="M184">
        <f>IF(OR(K184="",L184=""),"",MAX(K184,L184))</f>
        <v/>
      </c>
      <c r="N184" t="n">
        <v>0.5</v>
      </c>
      <c r="O184" t="inlineStr">
        <is>
          <t>是</t>
        </is>
      </c>
      <c r="P184">
        <f>IF(OR(M184="",M184&lt;=18),"PASS","ANGLE_ALERT")</f>
        <v/>
      </c>
      <c r="Q184" t="inlineStr">
        <is>
          <t>样品60</t>
        </is>
      </c>
    </row>
    <row r="185">
      <c r="A185" t="inlineStr">
        <is>
          <t>60(8)-P02</t>
        </is>
      </c>
      <c r="B185" t="inlineStr">
        <is>
          <t>60 (8).tif</t>
        </is>
      </c>
      <c r="C185" t="inlineStr">
        <is>
          <t>L1</t>
        </is>
      </c>
      <c r="D185" t="n">
        <v>492</v>
      </c>
      <c r="E185" t="n">
        <v>354</v>
      </c>
      <c r="F185" t="n">
        <v>505</v>
      </c>
      <c r="G185" t="n">
        <v>363</v>
      </c>
      <c r="H185">
        <f>SQRT((F185-D185)^2+(G185-E185)^2)</f>
        <v/>
      </c>
      <c r="I185" t="n">
        <v>0.2173913043478261</v>
      </c>
      <c r="J185">
        <f>H185*I185</f>
        <v/>
      </c>
      <c r="M185">
        <f>IF(OR(K185="",L185=""),"",MAX(K185,L185))</f>
        <v/>
      </c>
      <c r="N185" t="n">
        <v>0</v>
      </c>
      <c r="O185" t="inlineStr">
        <is>
          <t>是</t>
        </is>
      </c>
      <c r="P185">
        <f>IF(OR(M185="",M185&lt;=18),"PASS","ANGLE_ALERT")</f>
        <v/>
      </c>
      <c r="Q185" t="inlineStr">
        <is>
          <t>样品60</t>
        </is>
      </c>
    </row>
    <row r="186">
      <c r="A186" t="inlineStr">
        <is>
          <t>60(8)-P02</t>
        </is>
      </c>
      <c r="B186" t="inlineStr">
        <is>
          <t>60 (8).tif</t>
        </is>
      </c>
      <c r="C186" t="inlineStr">
        <is>
          <t>L2</t>
        </is>
      </c>
      <c r="D186" t="n">
        <v>495</v>
      </c>
      <c r="E186" t="n">
        <v>350</v>
      </c>
      <c r="F186" t="n">
        <v>508</v>
      </c>
      <c r="G186" t="n">
        <v>356</v>
      </c>
      <c r="H186">
        <f>SQRT((F186-D186)^2+(G186-E186)^2)</f>
        <v/>
      </c>
      <c r="I186" t="n">
        <v>0.2173913043478261</v>
      </c>
      <c r="J186">
        <f>H186*I186</f>
        <v/>
      </c>
      <c r="M186">
        <f>IF(OR(K186="",L186=""),"",MAX(K186,L186))</f>
        <v/>
      </c>
      <c r="N186" t="n">
        <v>0.5</v>
      </c>
      <c r="O186" t="inlineStr">
        <is>
          <t>是</t>
        </is>
      </c>
      <c r="P186">
        <f>IF(OR(M186="",M186&lt;=18),"PASS","ANGLE_ALERT")</f>
        <v/>
      </c>
      <c r="Q186" t="inlineStr">
        <is>
          <t>样品60</t>
        </is>
      </c>
    </row>
    <row r="187">
      <c r="A187" t="inlineStr">
        <is>
          <t>60(8)-P02</t>
        </is>
      </c>
      <c r="B187" t="inlineStr">
        <is>
          <t>60 (8).tif</t>
        </is>
      </c>
      <c r="C187" t="inlineStr">
        <is>
          <t>L3</t>
        </is>
      </c>
      <c r="D187" t="n">
        <v>500</v>
      </c>
      <c r="E187" t="n">
        <v>340</v>
      </c>
      <c r="F187" t="n">
        <v>513</v>
      </c>
      <c r="G187" t="n">
        <v>347</v>
      </c>
      <c r="H187">
        <f>SQRT((F187-D187)^2+(G187-E187)^2)</f>
        <v/>
      </c>
      <c r="I187" t="n">
        <v>0.2173913043478261</v>
      </c>
      <c r="J187">
        <f>H187*I187</f>
        <v/>
      </c>
      <c r="M187">
        <f>IF(OR(K187="",L187=""),"",MAX(K187,L187))</f>
        <v/>
      </c>
      <c r="N187" t="n">
        <v>1</v>
      </c>
      <c r="O187" t="inlineStr">
        <is>
          <t>是</t>
        </is>
      </c>
      <c r="P187">
        <f>IF(OR(M187="",M187&lt;=18),"PASS","ANGLE_ALERT")</f>
        <v/>
      </c>
      <c r="Q187" t="inlineStr">
        <is>
          <t>样品60</t>
        </is>
      </c>
    </row>
    <row r="188">
      <c r="A188" t="inlineStr">
        <is>
          <t>61(2)-P01</t>
        </is>
      </c>
      <c r="B188" t="inlineStr">
        <is>
          <t>61 (2).tif</t>
        </is>
      </c>
      <c r="C188" t="inlineStr">
        <is>
          <t>L1</t>
        </is>
      </c>
      <c r="D188" t="n">
        <v>496</v>
      </c>
      <c r="E188" t="n">
        <v>399</v>
      </c>
      <c r="F188" t="n">
        <v>477</v>
      </c>
      <c r="G188" t="n">
        <v>389</v>
      </c>
      <c r="H188">
        <f>SQRT((F188-D188)^2+(G188-E188)^2)</f>
        <v/>
      </c>
      <c r="I188" t="n">
        <v>0.2173913043478261</v>
      </c>
      <c r="J188">
        <f>H188*I188</f>
        <v/>
      </c>
      <c r="M188">
        <f>IF(OR(K188="",L188=""),"",MAX(K188,L188))</f>
        <v/>
      </c>
      <c r="N188" t="n">
        <v>0.5</v>
      </c>
      <c r="O188" t="inlineStr">
        <is>
          <t>是</t>
        </is>
      </c>
      <c r="P188">
        <f>IF(OR(M188="",M188&lt;=18),"PASS","ANGLE_ALERT")</f>
        <v/>
      </c>
      <c r="Q188" t="inlineStr">
        <is>
          <t>样品61</t>
        </is>
      </c>
    </row>
    <row r="189">
      <c r="A189" t="inlineStr">
        <is>
          <t>61(2)-P01</t>
        </is>
      </c>
      <c r="B189" t="inlineStr">
        <is>
          <t>61 (2).tif</t>
        </is>
      </c>
      <c r="C189" t="inlineStr">
        <is>
          <t>L2</t>
        </is>
      </c>
      <c r="D189" t="n">
        <v>501</v>
      </c>
      <c r="E189" t="n">
        <v>392</v>
      </c>
      <c r="F189" t="n">
        <v>482</v>
      </c>
      <c r="G189" t="n">
        <v>379</v>
      </c>
      <c r="H189">
        <f>SQRT((F189-D189)^2+(G189-E189)^2)</f>
        <v/>
      </c>
      <c r="I189" t="n">
        <v>0.2173913043478261</v>
      </c>
      <c r="J189">
        <f>H189*I189</f>
        <v/>
      </c>
      <c r="M189">
        <f>IF(OR(K189="",L189=""),"",MAX(K189,L189))</f>
        <v/>
      </c>
      <c r="N189" t="n">
        <v>0.5</v>
      </c>
      <c r="O189" t="inlineStr">
        <is>
          <t>是</t>
        </is>
      </c>
      <c r="P189">
        <f>IF(OR(M189="",M189&lt;=18),"PASS","ANGLE_ALERT")</f>
        <v/>
      </c>
      <c r="Q189" t="inlineStr">
        <is>
          <t>样品61</t>
        </is>
      </c>
    </row>
    <row r="190">
      <c r="A190" t="inlineStr">
        <is>
          <t>61(3)-P01</t>
        </is>
      </c>
      <c r="B190" t="inlineStr">
        <is>
          <t>61 (3).tif</t>
        </is>
      </c>
      <c r="C190" t="inlineStr">
        <is>
          <t>L1</t>
        </is>
      </c>
      <c r="D190" t="n">
        <v>530</v>
      </c>
      <c r="E190" t="n">
        <v>343</v>
      </c>
      <c r="F190" t="n">
        <v>548</v>
      </c>
      <c r="G190" t="n">
        <v>360</v>
      </c>
      <c r="H190">
        <f>SQRT((F190-D190)^2+(G190-E190)^2)</f>
        <v/>
      </c>
      <c r="I190" t="n">
        <v>0.2173913043478261</v>
      </c>
      <c r="J190">
        <f>H190*I190</f>
        <v/>
      </c>
      <c r="M190">
        <f>IF(OR(K190="",L190=""),"",MAX(K190,L190))</f>
        <v/>
      </c>
      <c r="N190" t="n">
        <v>0.5</v>
      </c>
      <c r="O190" t="inlineStr">
        <is>
          <t>是</t>
        </is>
      </c>
      <c r="P190">
        <f>IF(OR(M190="",M190&lt;=18),"PASS","ANGLE_ALERT")</f>
        <v/>
      </c>
      <c r="Q190" t="inlineStr">
        <is>
          <t>样品61</t>
        </is>
      </c>
    </row>
    <row r="191">
      <c r="A191" t="inlineStr">
        <is>
          <t>61(3)-P01</t>
        </is>
      </c>
      <c r="B191" t="inlineStr">
        <is>
          <t>61 (3).tif</t>
        </is>
      </c>
      <c r="C191" t="inlineStr">
        <is>
          <t>L2</t>
        </is>
      </c>
      <c r="D191" t="n">
        <v>525</v>
      </c>
      <c r="E191" t="n">
        <v>351</v>
      </c>
      <c r="F191" t="n">
        <v>545</v>
      </c>
      <c r="G191" t="n">
        <v>364</v>
      </c>
      <c r="H191">
        <f>SQRT((F191-D191)^2+(G191-E191)^2)</f>
        <v/>
      </c>
      <c r="I191" t="n">
        <v>0.2173913043478261</v>
      </c>
      <c r="J191">
        <f>H191*I191</f>
        <v/>
      </c>
      <c r="M191">
        <f>IF(OR(K191="",L191=""),"",MAX(K191,L191))</f>
        <v/>
      </c>
      <c r="N191" t="n">
        <v>0.5</v>
      </c>
      <c r="O191" t="inlineStr">
        <is>
          <t>是</t>
        </is>
      </c>
      <c r="P191">
        <f>IF(OR(M191="",M191&lt;=18),"PASS","ANGLE_ALERT")</f>
        <v/>
      </c>
      <c r="Q191" t="inlineStr">
        <is>
          <t>样品61</t>
        </is>
      </c>
    </row>
    <row r="192">
      <c r="A192" t="inlineStr">
        <is>
          <t>61(3)-P01</t>
        </is>
      </c>
      <c r="B192" t="inlineStr">
        <is>
          <t>61 (3).tif</t>
        </is>
      </c>
      <c r="C192" t="inlineStr">
        <is>
          <t>L3</t>
        </is>
      </c>
      <c r="D192" t="n">
        <v>519</v>
      </c>
      <c r="E192" t="n">
        <v>358</v>
      </c>
      <c r="F192" t="n">
        <v>540</v>
      </c>
      <c r="G192" t="n">
        <v>371</v>
      </c>
      <c r="H192">
        <f>SQRT((F192-D192)^2+(G192-E192)^2)</f>
        <v/>
      </c>
      <c r="I192" t="n">
        <v>0.2173913043478261</v>
      </c>
      <c r="J192">
        <f>H192*I192</f>
        <v/>
      </c>
      <c r="M192">
        <f>IF(OR(K192="",L192=""),"",MAX(K192,L192))</f>
        <v/>
      </c>
      <c r="N192" t="n">
        <v>0.5</v>
      </c>
      <c r="O192" t="inlineStr">
        <is>
          <t>是</t>
        </is>
      </c>
      <c r="P192">
        <f>IF(OR(M192="",M192&lt;=18),"PASS","ANGLE_ALERT")</f>
        <v/>
      </c>
      <c r="Q192" t="inlineStr">
        <is>
          <t>样品61</t>
        </is>
      </c>
    </row>
    <row r="193">
      <c r="A193" t="inlineStr">
        <is>
          <t>61(4)-P01</t>
        </is>
      </c>
      <c r="B193" t="inlineStr">
        <is>
          <t>61 (4).tif</t>
        </is>
      </c>
      <c r="C193" t="inlineStr">
        <is>
          <t>L1</t>
        </is>
      </c>
      <c r="D193" t="n">
        <v>493</v>
      </c>
      <c r="E193" t="n">
        <v>385</v>
      </c>
      <c r="F193" t="n">
        <v>507</v>
      </c>
      <c r="G193" t="n">
        <v>401</v>
      </c>
      <c r="H193">
        <f>SQRT((F193-D193)^2+(G193-E193)^2)</f>
        <v/>
      </c>
      <c r="I193" t="n">
        <v>0.2173913043478261</v>
      </c>
      <c r="J193">
        <f>H193*I193</f>
        <v/>
      </c>
      <c r="M193">
        <f>IF(OR(K193="",L193=""),"",MAX(K193,L193))</f>
        <v/>
      </c>
      <c r="N193" t="n">
        <v>0.5</v>
      </c>
      <c r="O193" t="inlineStr">
        <is>
          <t>是</t>
        </is>
      </c>
      <c r="P193">
        <f>IF(OR(M193="",M193&lt;=18),"PASS","ANGLE_ALERT")</f>
        <v/>
      </c>
      <c r="Q193" t="inlineStr">
        <is>
          <t>样品61</t>
        </is>
      </c>
    </row>
    <row r="194">
      <c r="A194" t="inlineStr">
        <is>
          <t>61(4)-P01</t>
        </is>
      </c>
      <c r="B194" t="inlineStr">
        <is>
          <t>61 (4).tif</t>
        </is>
      </c>
      <c r="C194" t="inlineStr">
        <is>
          <t>L2</t>
        </is>
      </c>
      <c r="D194" t="n">
        <v>471</v>
      </c>
      <c r="E194" t="n">
        <v>403</v>
      </c>
      <c r="F194" t="n">
        <v>480</v>
      </c>
      <c r="G194" t="n">
        <v>445</v>
      </c>
      <c r="H194">
        <f>SQRT((F194-D194)^2+(G194-E194)^2)</f>
        <v/>
      </c>
      <c r="I194" t="n">
        <v>0.2173913043478261</v>
      </c>
      <c r="J194">
        <f>H194*I194</f>
        <v/>
      </c>
      <c r="M194">
        <f>IF(OR(K194="",L194=""),"",MAX(K194,L194))</f>
        <v/>
      </c>
      <c r="N194" t="n">
        <v>0.5</v>
      </c>
      <c r="O194" t="inlineStr">
        <is>
          <t>是</t>
        </is>
      </c>
      <c r="P194">
        <f>IF(OR(M194="",M194&lt;=18),"PASS","ANGLE_ALERT")</f>
        <v/>
      </c>
      <c r="Q194" t="inlineStr">
        <is>
          <t>样品61</t>
        </is>
      </c>
    </row>
    <row r="195">
      <c r="A195" t="inlineStr">
        <is>
          <t>61(4)-P01</t>
        </is>
      </c>
      <c r="B195" t="inlineStr">
        <is>
          <t>61 (4).tif</t>
        </is>
      </c>
      <c r="C195" t="inlineStr">
        <is>
          <t>L3</t>
        </is>
      </c>
      <c r="D195" t="n">
        <v>454</v>
      </c>
      <c r="E195" t="n">
        <v>409</v>
      </c>
      <c r="F195" t="n">
        <v>483</v>
      </c>
      <c r="G195" t="n">
        <v>430</v>
      </c>
      <c r="H195">
        <f>SQRT((F195-D195)^2+(G195-E195)^2)</f>
        <v/>
      </c>
      <c r="I195" t="n">
        <v>0.2173913043478261</v>
      </c>
      <c r="J195">
        <f>H195*I195</f>
        <v/>
      </c>
      <c r="M195">
        <f>IF(OR(K195="",L195=""),"",MAX(K195,L195))</f>
        <v/>
      </c>
      <c r="N195" t="n">
        <v>0.5</v>
      </c>
      <c r="O195" t="inlineStr">
        <is>
          <t>是</t>
        </is>
      </c>
      <c r="P195">
        <f>IF(OR(M195="",M195&lt;=18),"PASS","ANGLE_ALERT")</f>
        <v/>
      </c>
      <c r="Q195" t="inlineStr">
        <is>
          <t>样品61</t>
        </is>
      </c>
    </row>
    <row r="196">
      <c r="A196" t="inlineStr">
        <is>
          <t>61(4)-P01</t>
        </is>
      </c>
      <c r="B196" t="inlineStr">
        <is>
          <t>61 (4).tif</t>
        </is>
      </c>
      <c r="C196" t="inlineStr">
        <is>
          <t>L4</t>
        </is>
      </c>
      <c r="D196" t="n">
        <v>485</v>
      </c>
      <c r="E196" t="n">
        <v>393</v>
      </c>
      <c r="F196" t="n">
        <v>498</v>
      </c>
      <c r="G196" t="n">
        <v>409</v>
      </c>
      <c r="H196">
        <f>SQRT((F196-D196)^2+(G196-E196)^2)</f>
        <v/>
      </c>
      <c r="I196" t="n">
        <v>0.2173913043478261</v>
      </c>
      <c r="J196">
        <f>H196*I196</f>
        <v/>
      </c>
      <c r="M196">
        <f>IF(OR(K196="",L196=""),"",MAX(K196,L196))</f>
        <v/>
      </c>
      <c r="N196" t="n">
        <v>0.5</v>
      </c>
      <c r="O196" t="inlineStr">
        <is>
          <t>是</t>
        </is>
      </c>
      <c r="P196">
        <f>IF(OR(M196="",M196&lt;=18),"PASS","ANGLE_ALERT")</f>
        <v/>
      </c>
      <c r="Q196" t="inlineStr">
        <is>
          <t>样品61</t>
        </is>
      </c>
    </row>
    <row r="197">
      <c r="A197" t="inlineStr">
        <is>
          <t>61(5)-P01</t>
        </is>
      </c>
      <c r="B197" t="inlineStr">
        <is>
          <t>61 (5).tif</t>
        </is>
      </c>
      <c r="C197" t="inlineStr">
        <is>
          <t>L1</t>
        </is>
      </c>
      <c r="D197" t="n">
        <v>529</v>
      </c>
      <c r="E197" t="n">
        <v>356</v>
      </c>
      <c r="F197" t="n">
        <v>556</v>
      </c>
      <c r="G197" t="n">
        <v>322</v>
      </c>
      <c r="H197">
        <f>SQRT((F197-D197)^2+(G197-E197)^2)</f>
        <v/>
      </c>
      <c r="I197" t="n">
        <v>0.2173913043478261</v>
      </c>
      <c r="J197">
        <f>H197*I197</f>
        <v/>
      </c>
      <c r="M197">
        <f>IF(OR(K197="",L197=""),"",MAX(K197,L197))</f>
        <v/>
      </c>
      <c r="N197" t="n">
        <v>0.5</v>
      </c>
      <c r="O197" t="inlineStr">
        <is>
          <t>是</t>
        </is>
      </c>
      <c r="P197">
        <f>IF(OR(M197="",M197&lt;=18),"PASS","ANGLE_ALERT")</f>
        <v/>
      </c>
      <c r="Q197" t="inlineStr">
        <is>
          <t>样品61</t>
        </is>
      </c>
    </row>
    <row r="198">
      <c r="A198" t="inlineStr">
        <is>
          <t>61(6)-P01</t>
        </is>
      </c>
      <c r="B198" t="inlineStr">
        <is>
          <t>61 (6).tif</t>
        </is>
      </c>
      <c r="C198" t="inlineStr">
        <is>
          <t>L1</t>
        </is>
      </c>
      <c r="D198" t="n">
        <v>509</v>
      </c>
      <c r="E198" t="n">
        <v>339</v>
      </c>
      <c r="F198" t="n">
        <v>505</v>
      </c>
      <c r="G198" t="n">
        <v>358</v>
      </c>
      <c r="H198">
        <f>SQRT((F198-D198)^2+(G198-E198)^2)</f>
        <v/>
      </c>
      <c r="I198" t="n">
        <v>0.2173913043478261</v>
      </c>
      <c r="J198">
        <f>H198*I198</f>
        <v/>
      </c>
      <c r="M198">
        <f>IF(OR(K198="",L198=""),"",MAX(K198,L198))</f>
        <v/>
      </c>
      <c r="N198" t="n">
        <v>0.5</v>
      </c>
      <c r="O198" t="inlineStr">
        <is>
          <t>是</t>
        </is>
      </c>
      <c r="P198">
        <f>IF(OR(M198="",M198&lt;=18),"PASS","ANGLE_ALERT")</f>
        <v/>
      </c>
      <c r="Q198" t="inlineStr">
        <is>
          <t>样品61</t>
        </is>
      </c>
    </row>
    <row r="199">
      <c r="A199" t="inlineStr">
        <is>
          <t>61(6)-P01</t>
        </is>
      </c>
      <c r="B199" t="inlineStr">
        <is>
          <t>61 (6).tif</t>
        </is>
      </c>
      <c r="C199" t="inlineStr">
        <is>
          <t>L2</t>
        </is>
      </c>
      <c r="D199" t="n">
        <v>511</v>
      </c>
      <c r="E199" t="n">
        <v>339</v>
      </c>
      <c r="F199" t="n">
        <v>529</v>
      </c>
      <c r="G199" t="n">
        <v>424</v>
      </c>
      <c r="H199">
        <f>SQRT((F199-D199)^2+(G199-E199)^2)</f>
        <v/>
      </c>
      <c r="I199" t="n">
        <v>0.2173913043478261</v>
      </c>
      <c r="J199">
        <f>H199*I199</f>
        <v/>
      </c>
      <c r="M199">
        <f>IF(OR(K199="",L199=""),"",MAX(K199,L199))</f>
        <v/>
      </c>
      <c r="N199" t="n">
        <v>0.5</v>
      </c>
      <c r="O199" t="inlineStr">
        <is>
          <t>是</t>
        </is>
      </c>
      <c r="P199">
        <f>IF(OR(M199="",M199&lt;=18),"PASS","ANGLE_ALERT")</f>
        <v/>
      </c>
      <c r="Q199" t="inlineStr">
        <is>
          <t>样品61</t>
        </is>
      </c>
    </row>
    <row r="200">
      <c r="A200" t="inlineStr">
        <is>
          <t>61(7)-P01</t>
        </is>
      </c>
      <c r="B200" t="inlineStr">
        <is>
          <t>61 (7).tif</t>
        </is>
      </c>
      <c r="C200" t="inlineStr">
        <is>
          <t>L1</t>
        </is>
      </c>
      <c r="D200" t="n">
        <v>493</v>
      </c>
      <c r="E200" t="n">
        <v>376</v>
      </c>
      <c r="F200" t="n">
        <v>508</v>
      </c>
      <c r="G200" t="n">
        <v>361</v>
      </c>
      <c r="H200">
        <f>SQRT((F200-D200)^2+(G200-E200)^2)</f>
        <v/>
      </c>
      <c r="I200" t="n">
        <v>0.2173913043478261</v>
      </c>
      <c r="J200">
        <f>H200*I200</f>
        <v/>
      </c>
      <c r="M200">
        <f>IF(OR(K200="",L200=""),"",MAX(K200,L200))</f>
        <v/>
      </c>
      <c r="N200" t="n">
        <v>0.5</v>
      </c>
      <c r="O200" t="inlineStr">
        <is>
          <t>是</t>
        </is>
      </c>
      <c r="P200">
        <f>IF(OR(M200="",M200&lt;=18),"PASS","ANGLE_ALERT")</f>
        <v/>
      </c>
      <c r="Q200" t="inlineStr">
        <is>
          <t>样品61</t>
        </is>
      </c>
    </row>
    <row r="201">
      <c r="A201" t="inlineStr">
        <is>
          <t>61(8)-P01</t>
        </is>
      </c>
      <c r="B201" t="inlineStr">
        <is>
          <t>61 (8).tif</t>
        </is>
      </c>
      <c r="C201" t="inlineStr">
        <is>
          <t>L1</t>
        </is>
      </c>
      <c r="D201" t="n">
        <v>496</v>
      </c>
      <c r="E201" t="n">
        <v>399</v>
      </c>
      <c r="F201" t="n">
        <v>495</v>
      </c>
      <c r="G201" t="n">
        <v>401</v>
      </c>
      <c r="H201">
        <f>SQRT((F201-D201)^2+(G201-E201)^2)</f>
        <v/>
      </c>
      <c r="I201" t="n">
        <v>0.2173913043478261</v>
      </c>
      <c r="J201">
        <f>H201*I201</f>
        <v/>
      </c>
      <c r="M201">
        <f>IF(OR(K201="",L201=""),"",MAX(K201,L201))</f>
        <v/>
      </c>
      <c r="N201" t="n">
        <v>0.5</v>
      </c>
      <c r="O201" t="inlineStr">
        <is>
          <t>是</t>
        </is>
      </c>
      <c r="P201">
        <f>IF(OR(M201="",M201&lt;=18),"PASS","ANGLE_ALERT")</f>
        <v/>
      </c>
      <c r="Q201" t="inlineStr">
        <is>
          <t>样品61</t>
        </is>
      </c>
    </row>
    <row r="202">
      <c r="A202" t="inlineStr">
        <is>
          <t>62(1)-P01</t>
        </is>
      </c>
      <c r="B202" t="inlineStr">
        <is>
          <t>62 (1).tif</t>
        </is>
      </c>
      <c r="C202" t="inlineStr">
        <is>
          <t>L1</t>
        </is>
      </c>
      <c r="D202" t="n">
        <v>480</v>
      </c>
      <c r="E202" t="n">
        <v>347</v>
      </c>
      <c r="F202" t="n">
        <v>462</v>
      </c>
      <c r="G202" t="n">
        <v>360</v>
      </c>
      <c r="H202">
        <f>SQRT((F202-D202)^2+(G202-E202)^2)</f>
        <v/>
      </c>
      <c r="I202" t="n">
        <v>0.2173913043478261</v>
      </c>
      <c r="J202">
        <f>H202*I202</f>
        <v/>
      </c>
      <c r="M202">
        <f>IF(OR(K202="",L202=""),"",MAX(K202,L202))</f>
        <v/>
      </c>
      <c r="N202" t="n">
        <v>0.5</v>
      </c>
      <c r="O202" t="inlineStr">
        <is>
          <t>是</t>
        </is>
      </c>
      <c r="P202">
        <f>IF(OR(M202="",M202&lt;=18),"PASS","ANGLE_ALERT")</f>
        <v/>
      </c>
      <c r="Q202" t="inlineStr">
        <is>
          <t>样品62</t>
        </is>
      </c>
    </row>
    <row r="203">
      <c r="A203" t="inlineStr">
        <is>
          <t>62(1)-P01</t>
        </is>
      </c>
      <c r="B203" t="inlineStr">
        <is>
          <t>62 (1).tif</t>
        </is>
      </c>
      <c r="C203" t="inlineStr">
        <is>
          <t>L2</t>
        </is>
      </c>
      <c r="D203" t="n">
        <v>486</v>
      </c>
      <c r="E203" t="n">
        <v>355</v>
      </c>
      <c r="F203" t="n">
        <v>466</v>
      </c>
      <c r="G203" t="n">
        <v>381</v>
      </c>
      <c r="H203">
        <f>SQRT((F203-D203)^2+(G203-E203)^2)</f>
        <v/>
      </c>
      <c r="I203" t="n">
        <v>0.2173913043478261</v>
      </c>
      <c r="J203">
        <f>H203*I203</f>
        <v/>
      </c>
      <c r="M203">
        <f>IF(OR(K203="",L203=""),"",MAX(K203,L203))</f>
        <v/>
      </c>
      <c r="N203" t="n">
        <v>0.5</v>
      </c>
      <c r="O203" t="inlineStr">
        <is>
          <t>是</t>
        </is>
      </c>
      <c r="P203">
        <f>IF(OR(M203="",M203&lt;=18),"PASS","ANGLE_ALERT")</f>
        <v/>
      </c>
      <c r="Q203" t="inlineStr">
        <is>
          <t>样品62</t>
        </is>
      </c>
    </row>
    <row r="204">
      <c r="A204" t="inlineStr">
        <is>
          <t>62(1)-P01</t>
        </is>
      </c>
      <c r="B204" t="inlineStr">
        <is>
          <t>62 (1).tif</t>
        </is>
      </c>
      <c r="C204" t="inlineStr">
        <is>
          <t>L3</t>
        </is>
      </c>
      <c r="D204" t="n">
        <v>476</v>
      </c>
      <c r="E204" t="n">
        <v>339</v>
      </c>
      <c r="F204" t="n">
        <v>457</v>
      </c>
      <c r="G204" t="n">
        <v>351</v>
      </c>
      <c r="H204">
        <f>SQRT((F204-D204)^2+(G204-E204)^2)</f>
        <v/>
      </c>
      <c r="I204" t="n">
        <v>0.2173913043478261</v>
      </c>
      <c r="J204">
        <f>H204*I204</f>
        <v/>
      </c>
      <c r="M204">
        <f>IF(OR(K204="",L204=""),"",MAX(K204,L204))</f>
        <v/>
      </c>
      <c r="N204" t="n">
        <v>0.5</v>
      </c>
      <c r="O204" t="inlineStr">
        <is>
          <t>是</t>
        </is>
      </c>
      <c r="P204">
        <f>IF(OR(M204="",M204&lt;=18),"PASS","ANGLE_ALERT")</f>
        <v/>
      </c>
      <c r="Q204" t="inlineStr">
        <is>
          <t>样品62</t>
        </is>
      </c>
    </row>
    <row r="205">
      <c r="A205" t="inlineStr">
        <is>
          <t>62(2)-P01</t>
        </is>
      </c>
      <c r="B205" t="inlineStr">
        <is>
          <t>62 (2).tif</t>
        </is>
      </c>
      <c r="C205" t="inlineStr">
        <is>
          <t>L1</t>
        </is>
      </c>
      <c r="D205" t="n">
        <v>465</v>
      </c>
      <c r="E205" t="n">
        <v>375</v>
      </c>
      <c r="F205" t="n">
        <v>479</v>
      </c>
      <c r="G205" t="n">
        <v>355</v>
      </c>
      <c r="H205">
        <f>SQRT((F205-D205)^2+(G205-E205)^2)</f>
        <v/>
      </c>
      <c r="I205" t="n">
        <v>0.2173913043478261</v>
      </c>
      <c r="J205">
        <f>H205*I205</f>
        <v/>
      </c>
      <c r="M205">
        <f>IF(OR(K205="",L205=""),"",MAX(K205,L205))</f>
        <v/>
      </c>
      <c r="N205" t="n">
        <v>0.5</v>
      </c>
      <c r="O205" t="inlineStr">
        <is>
          <t>是</t>
        </is>
      </c>
      <c r="P205">
        <f>IF(OR(M205="",M205&lt;=18),"PASS","ANGLE_ALERT")</f>
        <v/>
      </c>
      <c r="Q205" t="inlineStr">
        <is>
          <t>样品62</t>
        </is>
      </c>
    </row>
    <row r="206">
      <c r="A206" t="inlineStr">
        <is>
          <t>62(2)-P01</t>
        </is>
      </c>
      <c r="B206" t="inlineStr">
        <is>
          <t>62 (2).tif</t>
        </is>
      </c>
      <c r="C206" t="inlineStr">
        <is>
          <t>L2</t>
        </is>
      </c>
      <c r="D206" t="n">
        <v>471</v>
      </c>
      <c r="E206" t="n">
        <v>378</v>
      </c>
      <c r="F206" t="n">
        <v>485</v>
      </c>
      <c r="G206" t="n">
        <v>362</v>
      </c>
      <c r="H206">
        <f>SQRT((F206-D206)^2+(G206-E206)^2)</f>
        <v/>
      </c>
      <c r="I206" t="n">
        <v>0.2173913043478261</v>
      </c>
      <c r="J206">
        <f>H206*I206</f>
        <v/>
      </c>
      <c r="M206">
        <f>IF(OR(K206="",L206=""),"",MAX(K206,L206))</f>
        <v/>
      </c>
      <c r="N206" t="n">
        <v>0.5</v>
      </c>
      <c r="O206" t="inlineStr">
        <is>
          <t>是</t>
        </is>
      </c>
      <c r="P206">
        <f>IF(OR(M206="",M206&lt;=18),"PASS","ANGLE_ALERT")</f>
        <v/>
      </c>
      <c r="Q206" t="inlineStr">
        <is>
          <t>样品62</t>
        </is>
      </c>
    </row>
    <row r="207">
      <c r="A207" t="inlineStr">
        <is>
          <t>62(2)-P01</t>
        </is>
      </c>
      <c r="B207" t="inlineStr">
        <is>
          <t>62 (2).tif</t>
        </is>
      </c>
      <c r="C207" t="inlineStr">
        <is>
          <t>L3</t>
        </is>
      </c>
      <c r="D207" t="n">
        <v>484</v>
      </c>
      <c r="E207" t="n">
        <v>387</v>
      </c>
      <c r="F207" t="n">
        <v>495</v>
      </c>
      <c r="G207" t="n">
        <v>370</v>
      </c>
      <c r="H207">
        <f>SQRT((F207-D207)^2+(G207-E207)^2)</f>
        <v/>
      </c>
      <c r="I207" t="n">
        <v>0.2173913043478261</v>
      </c>
      <c r="J207">
        <f>H207*I207</f>
        <v/>
      </c>
      <c r="M207">
        <f>IF(OR(K207="",L207=""),"",MAX(K207,L207))</f>
        <v/>
      </c>
      <c r="N207" t="n">
        <v>0.5</v>
      </c>
      <c r="O207" t="inlineStr">
        <is>
          <t>是</t>
        </is>
      </c>
      <c r="P207">
        <f>IF(OR(M207="",M207&lt;=18),"PASS","ANGLE_ALERT")</f>
        <v/>
      </c>
      <c r="Q207" t="inlineStr">
        <is>
          <t>样品62</t>
        </is>
      </c>
    </row>
    <row r="208">
      <c r="A208" t="inlineStr">
        <is>
          <t>62(2)-P01</t>
        </is>
      </c>
      <c r="B208" t="inlineStr">
        <is>
          <t>62 (2).tif</t>
        </is>
      </c>
      <c r="C208" t="inlineStr">
        <is>
          <t>L4</t>
        </is>
      </c>
      <c r="D208" t="n">
        <v>497</v>
      </c>
      <c r="E208" t="n">
        <v>403</v>
      </c>
      <c r="F208" t="n">
        <v>527</v>
      </c>
      <c r="G208" t="n">
        <v>378</v>
      </c>
      <c r="H208">
        <f>SQRT((F208-D208)^2+(G208-E208)^2)</f>
        <v/>
      </c>
      <c r="I208" t="n">
        <v>0.2173913043478261</v>
      </c>
      <c r="J208">
        <f>H208*I208</f>
        <v/>
      </c>
      <c r="M208">
        <f>IF(OR(K208="",L208=""),"",MAX(K208,L208))</f>
        <v/>
      </c>
      <c r="N208" t="n">
        <v>0.5</v>
      </c>
      <c r="O208" t="inlineStr">
        <is>
          <t>是</t>
        </is>
      </c>
      <c r="P208">
        <f>IF(OR(M208="",M208&lt;=18),"PASS","ANGLE_ALERT")</f>
        <v/>
      </c>
      <c r="Q208" t="inlineStr">
        <is>
          <t>样品62</t>
        </is>
      </c>
    </row>
    <row r="209">
      <c r="A209" t="inlineStr">
        <is>
          <t>62(3)-P01</t>
        </is>
      </c>
      <c r="B209" t="inlineStr">
        <is>
          <t>62 (3).tif</t>
        </is>
      </c>
      <c r="C209" t="inlineStr">
        <is>
          <t>L1</t>
        </is>
      </c>
      <c r="D209" t="n">
        <v>489</v>
      </c>
      <c r="E209" t="n">
        <v>391</v>
      </c>
      <c r="F209" t="n">
        <v>497</v>
      </c>
      <c r="G209" t="n">
        <v>375</v>
      </c>
      <c r="H209">
        <f>SQRT((F209-D209)^2+(G209-E209)^2)</f>
        <v/>
      </c>
      <c r="I209" t="n">
        <v>0.2173913043478261</v>
      </c>
      <c r="J209">
        <f>H209*I209</f>
        <v/>
      </c>
      <c r="M209">
        <f>IF(OR(K209="",L209=""),"",MAX(K209,L209))</f>
        <v/>
      </c>
      <c r="N209" t="n">
        <v>0.5</v>
      </c>
      <c r="O209" t="inlineStr">
        <is>
          <t>是</t>
        </is>
      </c>
      <c r="P209">
        <f>IF(OR(M209="",M209&lt;=18),"PASS","ANGLE_ALERT")</f>
        <v/>
      </c>
      <c r="Q209" t="inlineStr">
        <is>
          <t>样品62</t>
        </is>
      </c>
    </row>
    <row r="210">
      <c r="A210" t="inlineStr">
        <is>
          <t>62(3)-P01</t>
        </is>
      </c>
      <c r="B210" t="inlineStr">
        <is>
          <t>62 (3).tif</t>
        </is>
      </c>
      <c r="C210" t="inlineStr">
        <is>
          <t>L2</t>
        </is>
      </c>
      <c r="D210" t="n">
        <v>498</v>
      </c>
      <c r="E210" t="n">
        <v>397</v>
      </c>
      <c r="F210" t="n">
        <v>509</v>
      </c>
      <c r="G210" t="n">
        <v>382</v>
      </c>
      <c r="H210">
        <f>SQRT((F210-D210)^2+(G210-E210)^2)</f>
        <v/>
      </c>
      <c r="I210" t="n">
        <v>0.2173913043478261</v>
      </c>
      <c r="J210">
        <f>H210*I210</f>
        <v/>
      </c>
      <c r="M210">
        <f>IF(OR(K210="",L210=""),"",MAX(K210,L210))</f>
        <v/>
      </c>
      <c r="N210" t="n">
        <v>0.5</v>
      </c>
      <c r="O210" t="inlineStr">
        <is>
          <t>是</t>
        </is>
      </c>
      <c r="P210">
        <f>IF(OR(M210="",M210&lt;=18),"PASS","ANGLE_ALERT")</f>
        <v/>
      </c>
      <c r="Q210" t="inlineStr">
        <is>
          <t>样品62</t>
        </is>
      </c>
    </row>
    <row r="211">
      <c r="A211" t="inlineStr">
        <is>
          <t>62(3)-P01</t>
        </is>
      </c>
      <c r="B211" t="inlineStr">
        <is>
          <t>62 (3).tif</t>
        </is>
      </c>
      <c r="C211" t="inlineStr">
        <is>
          <t>L3</t>
        </is>
      </c>
      <c r="D211" t="n">
        <v>487</v>
      </c>
      <c r="E211" t="n">
        <v>390</v>
      </c>
      <c r="F211" t="n">
        <v>492</v>
      </c>
      <c r="G211" t="n">
        <v>370</v>
      </c>
      <c r="H211">
        <f>SQRT((F211-D211)^2+(G211-E211)^2)</f>
        <v/>
      </c>
      <c r="I211" t="n">
        <v>0.2173913043478261</v>
      </c>
      <c r="J211">
        <f>H211*I211</f>
        <v/>
      </c>
      <c r="M211">
        <f>IF(OR(K211="",L211=""),"",MAX(K211,L211))</f>
        <v/>
      </c>
      <c r="N211" t="n">
        <v>0.5</v>
      </c>
      <c r="O211" t="inlineStr">
        <is>
          <t>是</t>
        </is>
      </c>
      <c r="P211">
        <f>IF(OR(M211="",M211&lt;=18),"PASS","ANGLE_ALERT")</f>
        <v/>
      </c>
      <c r="Q211" t="inlineStr">
        <is>
          <t>样品62</t>
        </is>
      </c>
    </row>
    <row r="212">
      <c r="A212" t="inlineStr">
        <is>
          <t>62(4)-P01</t>
        </is>
      </c>
      <c r="B212" t="inlineStr">
        <is>
          <t>62 (4).tif</t>
        </is>
      </c>
      <c r="C212" t="inlineStr">
        <is>
          <t>L1</t>
        </is>
      </c>
      <c r="D212" t="n">
        <v>496</v>
      </c>
      <c r="E212" t="n">
        <v>356</v>
      </c>
      <c r="F212" t="n">
        <v>514</v>
      </c>
      <c r="G212" t="n">
        <v>347</v>
      </c>
      <c r="H212">
        <f>SQRT((F212-D212)^2+(G212-E212)^2)</f>
        <v/>
      </c>
      <c r="I212" t="n">
        <v>0.2173913043478261</v>
      </c>
      <c r="J212">
        <f>H212*I212</f>
        <v/>
      </c>
      <c r="M212">
        <f>IF(OR(K212="",L212=""),"",MAX(K212,L212))</f>
        <v/>
      </c>
      <c r="N212" t="n">
        <v>0.5</v>
      </c>
      <c r="O212" t="inlineStr">
        <is>
          <t>是</t>
        </is>
      </c>
      <c r="P212">
        <f>IF(OR(M212="",M212&lt;=18),"PASS","ANGLE_ALERT")</f>
        <v/>
      </c>
      <c r="Q212" t="inlineStr">
        <is>
          <t>样品62</t>
        </is>
      </c>
    </row>
    <row r="213">
      <c r="A213" t="inlineStr">
        <is>
          <t>62(5)-P01</t>
        </is>
      </c>
      <c r="B213" t="inlineStr">
        <is>
          <t>62 (5).tif</t>
        </is>
      </c>
      <c r="C213" t="inlineStr">
        <is>
          <t>L1</t>
        </is>
      </c>
      <c r="D213" t="n">
        <v>509</v>
      </c>
      <c r="E213" t="n">
        <v>325</v>
      </c>
      <c r="F213" t="n">
        <v>526</v>
      </c>
      <c r="G213" t="n">
        <v>317</v>
      </c>
      <c r="H213">
        <f>SQRT((F213-D213)^2+(G213-E213)^2)</f>
        <v/>
      </c>
      <c r="I213" t="n">
        <v>0.2173913043478261</v>
      </c>
      <c r="J213">
        <f>H213*I213</f>
        <v/>
      </c>
      <c r="M213">
        <f>IF(OR(K213="",L213=""),"",MAX(K213,L213))</f>
        <v/>
      </c>
      <c r="N213" t="n">
        <v>0.5</v>
      </c>
      <c r="O213" t="inlineStr">
        <is>
          <t>是</t>
        </is>
      </c>
      <c r="P213">
        <f>IF(OR(M213="",M213&lt;=18),"PASS","ANGLE_ALERT")</f>
        <v/>
      </c>
      <c r="Q213" t="inlineStr">
        <is>
          <t>样品62</t>
        </is>
      </c>
    </row>
    <row r="214">
      <c r="A214" t="inlineStr">
        <is>
          <t>62(6)-P01</t>
        </is>
      </c>
      <c r="B214" t="inlineStr">
        <is>
          <t>62 (6).tif</t>
        </is>
      </c>
      <c r="C214" t="inlineStr">
        <is>
          <t>L1</t>
        </is>
      </c>
      <c r="D214" t="n">
        <v>499</v>
      </c>
      <c r="E214" t="n">
        <v>366</v>
      </c>
      <c r="F214" t="n">
        <v>511</v>
      </c>
      <c r="G214" t="n">
        <v>368</v>
      </c>
      <c r="H214">
        <f>SQRT((F214-D214)^2+(G214-E214)^2)</f>
        <v/>
      </c>
      <c r="I214" t="n">
        <v>0.2173913043478261</v>
      </c>
      <c r="J214">
        <f>H214*I214</f>
        <v/>
      </c>
      <c r="M214">
        <f>IF(OR(K214="",L214=""),"",MAX(K214,L214))</f>
        <v/>
      </c>
      <c r="N214" t="n">
        <v>0.5</v>
      </c>
      <c r="O214" t="inlineStr">
        <is>
          <t>是</t>
        </is>
      </c>
      <c r="P214">
        <f>IF(OR(M214="",M214&lt;=18),"PASS","ANGLE_ALERT")</f>
        <v/>
      </c>
      <c r="Q214" t="inlineStr">
        <is>
          <t>样品62</t>
        </is>
      </c>
    </row>
    <row r="215">
      <c r="A215" t="inlineStr">
        <is>
          <t>62(6)-P01</t>
        </is>
      </c>
      <c r="B215" t="inlineStr">
        <is>
          <t>62 (6).tif</t>
        </is>
      </c>
      <c r="C215" t="inlineStr">
        <is>
          <t>L2</t>
        </is>
      </c>
      <c r="D215" t="n">
        <v>498</v>
      </c>
      <c r="E215" t="n">
        <v>374</v>
      </c>
      <c r="F215" t="n">
        <v>510</v>
      </c>
      <c r="G215" t="n">
        <v>374</v>
      </c>
      <c r="H215">
        <f>SQRT((F215-D215)^2+(G215-E215)^2)</f>
        <v/>
      </c>
      <c r="I215" t="n">
        <v>0.2173913043478261</v>
      </c>
      <c r="J215">
        <f>H215*I215</f>
        <v/>
      </c>
      <c r="M215">
        <f>IF(OR(K215="",L215=""),"",MAX(K215,L215))</f>
        <v/>
      </c>
      <c r="N215" t="n">
        <v>0.5</v>
      </c>
      <c r="O215" t="inlineStr">
        <is>
          <t>是</t>
        </is>
      </c>
      <c r="P215">
        <f>IF(OR(M215="",M215&lt;=18),"PASS","ANGLE_ALERT")</f>
        <v/>
      </c>
      <c r="Q215" t="inlineStr">
        <is>
          <t>样品62</t>
        </is>
      </c>
    </row>
    <row r="216">
      <c r="A216" t="inlineStr">
        <is>
          <t>62(6)-P01</t>
        </is>
      </c>
      <c r="B216" t="inlineStr">
        <is>
          <t>62 (6).tif</t>
        </is>
      </c>
      <c r="C216" t="inlineStr">
        <is>
          <t>L3</t>
        </is>
      </c>
      <c r="D216" t="n">
        <v>497</v>
      </c>
      <c r="E216" t="n">
        <v>383</v>
      </c>
      <c r="F216" t="n">
        <v>509</v>
      </c>
      <c r="G216" t="n">
        <v>385</v>
      </c>
      <c r="H216">
        <f>SQRT((F216-D216)^2+(G216-E216)^2)</f>
        <v/>
      </c>
      <c r="I216" t="n">
        <v>0.2173913043478261</v>
      </c>
      <c r="J216">
        <f>H216*I216</f>
        <v/>
      </c>
      <c r="M216">
        <f>IF(OR(K216="",L216=""),"",MAX(K216,L216))</f>
        <v/>
      </c>
      <c r="N216" t="n">
        <v>0.5</v>
      </c>
      <c r="O216" t="inlineStr">
        <is>
          <t>是</t>
        </is>
      </c>
      <c r="P216">
        <f>IF(OR(M216="",M216&lt;=18),"PASS","ANGLE_ALERT")</f>
        <v/>
      </c>
      <c r="Q216" t="inlineStr">
        <is>
          <t>样品62</t>
        </is>
      </c>
    </row>
    <row r="217">
      <c r="A217" t="inlineStr">
        <is>
          <t>62(7)-P01</t>
        </is>
      </c>
      <c r="B217" t="inlineStr">
        <is>
          <t>62 (7).tif</t>
        </is>
      </c>
      <c r="C217" t="inlineStr">
        <is>
          <t>L1</t>
        </is>
      </c>
      <c r="D217" t="n">
        <v>516</v>
      </c>
      <c r="E217" t="n">
        <v>379</v>
      </c>
      <c r="F217" t="n">
        <v>504</v>
      </c>
      <c r="G217" t="n">
        <v>368</v>
      </c>
      <c r="H217">
        <f>SQRT((F217-D217)^2+(G217-E217)^2)</f>
        <v/>
      </c>
      <c r="I217" t="n">
        <v>0.2173913043478261</v>
      </c>
      <c r="J217">
        <f>H217*I217</f>
        <v/>
      </c>
      <c r="M217">
        <f>IF(OR(K217="",L217=""),"",MAX(K217,L217))</f>
        <v/>
      </c>
      <c r="N217" t="n">
        <v>0</v>
      </c>
      <c r="O217" t="inlineStr">
        <is>
          <t>是</t>
        </is>
      </c>
      <c r="P217">
        <f>IF(OR(M217="",M217&lt;=18),"PASS","ANGLE_ALERT")</f>
        <v/>
      </c>
      <c r="Q217" t="inlineStr">
        <is>
          <t>样品62</t>
        </is>
      </c>
    </row>
    <row r="218">
      <c r="A218" t="inlineStr">
        <is>
          <t>62(7)-P01</t>
        </is>
      </c>
      <c r="B218" t="inlineStr">
        <is>
          <t>62 (7).tif</t>
        </is>
      </c>
      <c r="C218" t="inlineStr">
        <is>
          <t>L2</t>
        </is>
      </c>
      <c r="D218" t="n">
        <v>519</v>
      </c>
      <c r="E218" t="n">
        <v>373</v>
      </c>
      <c r="F218" t="n">
        <v>506</v>
      </c>
      <c r="G218" t="n">
        <v>365</v>
      </c>
      <c r="H218">
        <f>SQRT((F218-D218)^2+(G218-E218)^2)</f>
        <v/>
      </c>
      <c r="I218" t="n">
        <v>0.2173913043478261</v>
      </c>
      <c r="J218">
        <f>H218*I218</f>
        <v/>
      </c>
      <c r="M218">
        <f>IF(OR(K218="",L218=""),"",MAX(K218,L218))</f>
        <v/>
      </c>
      <c r="N218" t="n">
        <v>0.5</v>
      </c>
      <c r="O218" t="inlineStr">
        <is>
          <t>是</t>
        </is>
      </c>
      <c r="P218">
        <f>IF(OR(M218="",M218&lt;=18),"PASS","ANGLE_ALERT")</f>
        <v/>
      </c>
      <c r="Q218" t="inlineStr">
        <is>
          <t>样品62</t>
        </is>
      </c>
    </row>
    <row r="219">
      <c r="A219" t="inlineStr">
        <is>
          <t>62(7)-P01</t>
        </is>
      </c>
      <c r="B219" t="inlineStr">
        <is>
          <t>62 (7).tif</t>
        </is>
      </c>
      <c r="C219" t="inlineStr">
        <is>
          <t>L3</t>
        </is>
      </c>
      <c r="D219" t="n">
        <v>522</v>
      </c>
      <c r="E219" t="n">
        <v>368</v>
      </c>
      <c r="F219" t="n">
        <v>510</v>
      </c>
      <c r="G219" t="n">
        <v>357</v>
      </c>
      <c r="H219">
        <f>SQRT((F219-D219)^2+(G219-E219)^2)</f>
        <v/>
      </c>
      <c r="I219" t="n">
        <v>0.2173913043478261</v>
      </c>
      <c r="J219">
        <f>H219*I219</f>
        <v/>
      </c>
      <c r="M219">
        <f>IF(OR(K219="",L219=""),"",MAX(K219,L219))</f>
        <v/>
      </c>
      <c r="N219" t="n">
        <v>1</v>
      </c>
      <c r="O219" t="inlineStr">
        <is>
          <t>是</t>
        </is>
      </c>
      <c r="P219">
        <f>IF(OR(M219="",M219&lt;=18),"PASS","ANGLE_ALERT")</f>
        <v/>
      </c>
      <c r="Q219" t="inlineStr">
        <is>
          <t>样品62</t>
        </is>
      </c>
    </row>
    <row r="220">
      <c r="A220" t="inlineStr">
        <is>
          <t>62(8)-P01</t>
        </is>
      </c>
      <c r="B220" t="inlineStr">
        <is>
          <t>62 (8).tif</t>
        </is>
      </c>
      <c r="C220" t="inlineStr">
        <is>
          <t>L1</t>
        </is>
      </c>
      <c r="D220" t="n">
        <v>520</v>
      </c>
      <c r="E220" t="n">
        <v>366</v>
      </c>
      <c r="F220" t="n">
        <v>505</v>
      </c>
      <c r="G220" t="n">
        <v>405</v>
      </c>
      <c r="H220">
        <f>SQRT((F220-D220)^2+(G220-E220)^2)</f>
        <v/>
      </c>
      <c r="I220" t="n">
        <v>0.2173913043478261</v>
      </c>
      <c r="J220">
        <f>H220*I220</f>
        <v/>
      </c>
      <c r="M220">
        <f>IF(OR(K220="",L220=""),"",MAX(K220,L220))</f>
        <v/>
      </c>
      <c r="N220" t="n">
        <v>0.5</v>
      </c>
      <c r="O220" t="inlineStr">
        <is>
          <t>是</t>
        </is>
      </c>
      <c r="P220">
        <f>IF(OR(M220="",M220&lt;=18),"PASS","ANGLE_ALERT")</f>
        <v/>
      </c>
      <c r="Q220" t="inlineStr">
        <is>
          <t>样品62</t>
        </is>
      </c>
    </row>
    <row r="221">
      <c r="A221" t="inlineStr">
        <is>
          <t>62(8)-P01</t>
        </is>
      </c>
      <c r="B221" t="inlineStr">
        <is>
          <t>62 (8).tif</t>
        </is>
      </c>
      <c r="C221" t="inlineStr">
        <is>
          <t>L2</t>
        </is>
      </c>
      <c r="D221" t="n">
        <v>507</v>
      </c>
      <c r="E221" t="n">
        <v>352</v>
      </c>
      <c r="F221" t="n">
        <v>487</v>
      </c>
      <c r="G221" t="n">
        <v>366</v>
      </c>
      <c r="H221">
        <f>SQRT((F221-D221)^2+(G221-E221)^2)</f>
        <v/>
      </c>
      <c r="I221" t="n">
        <v>0.2173913043478261</v>
      </c>
      <c r="J221">
        <f>H221*I221</f>
        <v/>
      </c>
      <c r="M221">
        <f>IF(OR(K221="",L221=""),"",MAX(K221,L221))</f>
        <v/>
      </c>
      <c r="N221" t="n">
        <v>0.5</v>
      </c>
      <c r="O221" t="inlineStr">
        <is>
          <t>是</t>
        </is>
      </c>
      <c r="P221">
        <f>IF(OR(M221="",M221&lt;=18),"PASS","ANGLE_ALERT")</f>
        <v/>
      </c>
      <c r="Q221" t="inlineStr">
        <is>
          <t>样品62</t>
        </is>
      </c>
    </row>
    <row r="222">
      <c r="A222" t="inlineStr">
        <is>
          <t>63(4)-P01</t>
        </is>
      </c>
      <c r="B222" t="inlineStr">
        <is>
          <t>63 (4).tif</t>
        </is>
      </c>
      <c r="C222" t="inlineStr">
        <is>
          <t>L1</t>
        </is>
      </c>
      <c r="D222" t="n">
        <v>482</v>
      </c>
      <c r="E222" t="n">
        <v>360</v>
      </c>
      <c r="F222" t="n">
        <v>482</v>
      </c>
      <c r="G222" t="n">
        <v>360</v>
      </c>
      <c r="H222">
        <f>SQRT((F222-D222)^2+(G222-E222)^2)</f>
        <v/>
      </c>
      <c r="I222" t="n">
        <v>0.2173913043478261</v>
      </c>
      <c r="J222">
        <f>H222*I222</f>
        <v/>
      </c>
      <c r="M222">
        <f>IF(OR(K222="",L222=""),"",MAX(K222,L222))</f>
        <v/>
      </c>
      <c r="N222" t="n">
        <v>0.5</v>
      </c>
      <c r="O222" t="inlineStr">
        <is>
          <t>是</t>
        </is>
      </c>
      <c r="P222">
        <f>IF(OR(M222="",M222&lt;=18),"PASS","ANGLE_ALERT")</f>
        <v/>
      </c>
      <c r="Q222" t="inlineStr">
        <is>
          <t>样品63</t>
        </is>
      </c>
    </row>
    <row r="223">
      <c r="A223" t="inlineStr">
        <is>
          <t>63(5)-P01</t>
        </is>
      </c>
      <c r="B223" t="inlineStr">
        <is>
          <t>63 (5).tif</t>
        </is>
      </c>
      <c r="C223" t="inlineStr">
        <is>
          <t>L1</t>
        </is>
      </c>
      <c r="D223" t="n">
        <v>497</v>
      </c>
      <c r="E223" t="n">
        <v>355</v>
      </c>
      <c r="F223" t="n">
        <v>497</v>
      </c>
      <c r="G223" t="n">
        <v>373</v>
      </c>
      <c r="H223">
        <f>SQRT((F223-D223)^2+(G223-E223)^2)</f>
        <v/>
      </c>
      <c r="I223" t="n">
        <v>0.2173913043478261</v>
      </c>
      <c r="J223">
        <f>H223*I223</f>
        <v/>
      </c>
      <c r="M223">
        <f>IF(OR(K223="",L223=""),"",MAX(K223,L223))</f>
        <v/>
      </c>
      <c r="N223" t="n">
        <v>0.5</v>
      </c>
      <c r="O223" t="inlineStr">
        <is>
          <t>是</t>
        </is>
      </c>
      <c r="P223">
        <f>IF(OR(M223="",M223&lt;=18),"PASS","ANGLE_ALERT")</f>
        <v/>
      </c>
      <c r="Q223" t="inlineStr">
        <is>
          <t>样品63</t>
        </is>
      </c>
    </row>
    <row r="224">
      <c r="A224" t="inlineStr">
        <is>
          <t>63(5)-P01</t>
        </is>
      </c>
      <c r="B224" t="inlineStr">
        <is>
          <t>63 (5).tif</t>
        </is>
      </c>
      <c r="C224" t="inlineStr">
        <is>
          <t>L2</t>
        </is>
      </c>
      <c r="D224" t="n">
        <v>484</v>
      </c>
      <c r="E224" t="n">
        <v>356</v>
      </c>
      <c r="F224" t="n">
        <v>488</v>
      </c>
      <c r="G224" t="n">
        <v>374</v>
      </c>
      <c r="H224">
        <f>SQRT((F224-D224)^2+(G224-E224)^2)</f>
        <v/>
      </c>
      <c r="I224" t="n">
        <v>0.2173913043478261</v>
      </c>
      <c r="J224">
        <f>H224*I224</f>
        <v/>
      </c>
      <c r="M224">
        <f>IF(OR(K224="",L224=""),"",MAX(K224,L224))</f>
        <v/>
      </c>
      <c r="N224" t="n">
        <v>0.5</v>
      </c>
      <c r="O224" t="inlineStr">
        <is>
          <t>是</t>
        </is>
      </c>
      <c r="P224">
        <f>IF(OR(M224="",M224&lt;=18),"PASS","ANGLE_ALERT")</f>
        <v/>
      </c>
      <c r="Q224" t="inlineStr">
        <is>
          <t>样品63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0" customWidth="1" min="14" max="14"/>
  </cols>
  <sheetData>
    <row r="1">
      <c r="A1" t="inlineStr">
        <is>
          <t>样品序号</t>
        </is>
      </c>
      <c r="B1" t="inlineStr">
        <is>
          <t>导管腔面积 Ai (μm2)（可记录多个）</t>
        </is>
      </c>
      <c r="C1" t="inlineStr">
        <is>
          <t>最大导管腔面积 Amax (μm2)</t>
        </is>
      </c>
      <c r="D1" t="inlineStr">
        <is>
          <t>最小导管腔面积 Amin (μm2)</t>
        </is>
      </c>
      <c r="E1" t="inlineStr">
        <is>
          <t>平均导管腔面积 Amean (μm2)</t>
        </is>
      </c>
      <c r="F1" t="inlineStr">
        <is>
          <t>等效圆直径 Di (μm)（可记录多个）</t>
        </is>
      </c>
      <c r="G1" t="inlineStr">
        <is>
          <t>最大等效圆直径 Dmax (μm)</t>
        </is>
      </c>
      <c r="H1" t="inlineStr">
        <is>
          <t>最小等效圆直径 Dmin (μm)</t>
        </is>
      </c>
      <c r="I1" t="inlineStr">
        <is>
          <t>平均等效圆直径 Dmean (μm)</t>
        </is>
      </c>
      <c r="J1" t="inlineStr">
        <is>
          <t>水力加权直径 Dh(μm)</t>
        </is>
      </c>
      <c r="K1" t="inlineStr">
        <is>
          <t>双导管壁厚 TVW (μm)</t>
        </is>
      </c>
      <c r="L1" t="inlineStr">
        <is>
          <t>壁强化指数 CWR</t>
        </is>
      </c>
      <c r="M1" t="inlineStr"/>
      <c r="N1" t="inlineStr">
        <is>
          <t>黄色统计 绿色计算</t>
        </is>
      </c>
    </row>
    <row r="2">
      <c r="A2" t="inlineStr">
        <is>
          <t>样品41</t>
        </is>
      </c>
      <c r="B2" t="inlineStr">
        <is>
          <t>见“导管母表_860”F2:F30（全部29个合格导管）</t>
        </is>
      </c>
      <c r="C2">
        <f>MAX(导管母表_860!F2:F30)</f>
        <v/>
      </c>
      <c r="D2">
        <f>MIN(导管母表_860!F2:F30)</f>
        <v/>
      </c>
      <c r="E2">
        <f>AVERAGE(导管母表_860!F2:F30)</f>
        <v/>
      </c>
      <c r="F2" t="inlineStr">
        <is>
          <t>见“导管母表_860”G2:G30（29个逐导管Di）</t>
        </is>
      </c>
      <c r="G2">
        <f>MAX(导管母表_860!G2:G30)</f>
        <v/>
      </c>
      <c r="H2">
        <f>MIN(导管母表_860!G2:G30)</f>
        <v/>
      </c>
      <c r="I2">
        <f>AVERAGE(导管母表_860!G2:G30)</f>
        <v/>
      </c>
      <c r="J2">
        <f>SUMPRODUCT(导管母表_860!G2:G30^5)/SUMPRODUCT(导管母表_860!G2:G30^4)</f>
        <v/>
      </c>
      <c r="K2">
        <f>AVERAGE(导管对_CWR_112!K2:K5)</f>
        <v/>
      </c>
      <c r="L2">
        <f>AVERAGE(导管对_CWR_112!S2:S5)</f>
        <v/>
      </c>
      <c r="M2" t="inlineStr"/>
      <c r="N2" t="inlineStr">
        <is>
          <t>自动管线：A/D/Dh用全部29个合格导管；CWR用4个相贴导管对。每壁3–5条局部法线TVW取均值为主值，再算CWR_pair；Ai=不规则闭合轮廓。</t>
        </is>
      </c>
    </row>
    <row r="3">
      <c r="A3" t="inlineStr">
        <is>
          <t>样品42</t>
        </is>
      </c>
      <c r="B3" t="inlineStr">
        <is>
          <t>见“导管母表_860”F31:F64（全部34个合格导管）</t>
        </is>
      </c>
      <c r="C3">
        <f>MAX(导管母表_860!F31:F64)</f>
        <v/>
      </c>
      <c r="D3">
        <f>MIN(导管母表_860!F31:F64)</f>
        <v/>
      </c>
      <c r="E3">
        <f>AVERAGE(导管母表_860!F31:F64)</f>
        <v/>
      </c>
      <c r="F3" t="inlineStr">
        <is>
          <t>见“导管母表_860”G31:G64（34个逐导管Di）</t>
        </is>
      </c>
      <c r="G3">
        <f>MAX(导管母表_860!G31:G64)</f>
        <v/>
      </c>
      <c r="H3">
        <f>MIN(导管母表_860!G31:G64)</f>
        <v/>
      </c>
      <c r="I3">
        <f>AVERAGE(导管母表_860!G31:G64)</f>
        <v/>
      </c>
      <c r="J3">
        <f>SUMPRODUCT(导管母表_860!G31:G64^5)/SUMPRODUCT(导管母表_860!G31:G64^4)</f>
        <v/>
      </c>
      <c r="K3">
        <f>AVERAGE(导管对_CWR_112!K6:K12)</f>
        <v/>
      </c>
      <c r="L3">
        <f>AVERAGE(导管对_CWR_112!S6:S12)</f>
        <v/>
      </c>
      <c r="M3" t="inlineStr"/>
      <c r="N3" t="inlineStr">
        <is>
          <t>自动管线：A/D/Dh用全部34个合格导管；CWR用7个相贴导管对。每壁3–5条局部法线TVW取均值为主值，再算CWR_pair；Ai=不规则闭合轮廓。</t>
        </is>
      </c>
    </row>
    <row r="4">
      <c r="A4" t="inlineStr">
        <is>
          <t>样品43</t>
        </is>
      </c>
      <c r="B4" t="inlineStr">
        <is>
          <t>见“导管母表_860”F65:F87（全部23个合格导管）</t>
        </is>
      </c>
      <c r="C4">
        <f>MAX(导管母表_860!F65:F87)</f>
        <v/>
      </c>
      <c r="D4">
        <f>MIN(导管母表_860!F65:F87)</f>
        <v/>
      </c>
      <c r="E4">
        <f>AVERAGE(导管母表_860!F65:F87)</f>
        <v/>
      </c>
      <c r="F4" t="inlineStr">
        <is>
          <t>见“导管母表_860”G65:G87（23个逐导管Di）</t>
        </is>
      </c>
      <c r="G4">
        <f>MAX(导管母表_860!G65:G87)</f>
        <v/>
      </c>
      <c r="H4">
        <f>MIN(导管母表_860!G65:G87)</f>
        <v/>
      </c>
      <c r="I4">
        <f>AVERAGE(导管母表_860!G65:G87)</f>
        <v/>
      </c>
      <c r="J4">
        <f>SUMPRODUCT(导管母表_860!G65:G87^5)/SUMPRODUCT(导管母表_860!G65:G87^4)</f>
        <v/>
      </c>
      <c r="K4">
        <f>AVERAGE(导管对_CWR_112!K13:K15)</f>
        <v/>
      </c>
      <c r="L4">
        <f>AVERAGE(导管对_CWR_112!S13:S15)</f>
        <v/>
      </c>
      <c r="M4" t="inlineStr"/>
      <c r="N4" t="inlineStr">
        <is>
          <t>自动管线：A/D/Dh用全部23个合格导管；CWR用3个相贴导管对。每壁3–5条局部法线TVW取均值为主值，再算CWR_pair；Ai=不规则闭合轮廓。</t>
        </is>
      </c>
    </row>
    <row r="5">
      <c r="A5" t="inlineStr">
        <is>
          <t>样品44</t>
        </is>
      </c>
      <c r="B5" t="inlineStr">
        <is>
          <t>见“导管母表_860”F88:F121（全部34个合格导管）</t>
        </is>
      </c>
      <c r="C5">
        <f>MAX(导管母表_860!F88:F121)</f>
        <v/>
      </c>
      <c r="D5">
        <f>MIN(导管母表_860!F88:F121)</f>
        <v/>
      </c>
      <c r="E5">
        <f>AVERAGE(导管母表_860!F88:F121)</f>
        <v/>
      </c>
      <c r="F5" t="inlineStr">
        <is>
          <t>见“导管母表_860”G88:G121（34个逐导管Di）</t>
        </is>
      </c>
      <c r="G5">
        <f>MAX(导管母表_860!G88:G121)</f>
        <v/>
      </c>
      <c r="H5">
        <f>MIN(导管母表_860!G88:G121)</f>
        <v/>
      </c>
      <c r="I5">
        <f>AVERAGE(导管母表_860!G88:G121)</f>
        <v/>
      </c>
      <c r="J5">
        <f>SUMPRODUCT(导管母表_860!G88:G121^5)/SUMPRODUCT(导管母表_860!G88:G121^4)</f>
        <v/>
      </c>
      <c r="K5">
        <f>AVERAGE(导管对_CWR_112!K16:K23)</f>
        <v/>
      </c>
      <c r="L5">
        <f>AVERAGE(导管对_CWR_112!S16:S23)</f>
        <v/>
      </c>
      <c r="M5" t="inlineStr"/>
      <c r="N5" t="inlineStr">
        <is>
          <t>自动管线：A/D/Dh用全部34个合格导管；CWR用8个相贴导管对。每壁3–5条局部法线TVW取均值为主值，再算CWR_pair；Ai=不规则闭合轮廓。</t>
        </is>
      </c>
    </row>
    <row r="6">
      <c r="A6" t="inlineStr">
        <is>
          <t>样品45</t>
        </is>
      </c>
      <c r="B6" t="inlineStr">
        <is>
          <t>见“导管母表_860”F122:F160（全部39个合格导管）</t>
        </is>
      </c>
      <c r="C6">
        <f>MAX(导管母表_860!F122:F160)</f>
        <v/>
      </c>
      <c r="D6">
        <f>MIN(导管母表_860!F122:F160)</f>
        <v/>
      </c>
      <c r="E6">
        <f>AVERAGE(导管母表_860!F122:F160)</f>
        <v/>
      </c>
      <c r="F6" t="inlineStr">
        <is>
          <t>见“导管母表_860”G122:G160（39个逐导管Di）</t>
        </is>
      </c>
      <c r="G6">
        <f>MAX(导管母表_860!G122:G160)</f>
        <v/>
      </c>
      <c r="H6">
        <f>MIN(导管母表_860!G122:G160)</f>
        <v/>
      </c>
      <c r="I6">
        <f>AVERAGE(导管母表_860!G122:G160)</f>
        <v/>
      </c>
      <c r="J6">
        <f>SUMPRODUCT(导管母表_860!G122:G160^5)/SUMPRODUCT(导管母表_860!G122:G160^4)</f>
        <v/>
      </c>
      <c r="K6">
        <f>AVERAGE(导管对_CWR_112!K24:K30)</f>
        <v/>
      </c>
      <c r="L6">
        <f>AVERAGE(导管对_CWR_112!S24:S30)</f>
        <v/>
      </c>
      <c r="M6" t="inlineStr"/>
      <c r="N6" t="inlineStr">
        <is>
          <t>自动管线：A/D/Dh用全部39个合格导管；CWR用7个相贴导管对。每壁3–5条局部法线TVW取均值为主值，再算CWR_pair；Ai=不规则闭合轮廓。</t>
        </is>
      </c>
    </row>
    <row r="7">
      <c r="A7" t="inlineStr">
        <is>
          <t>样品46</t>
        </is>
      </c>
      <c r="B7" t="inlineStr">
        <is>
          <t>见“导管母表_860”F161:F190（全部30个合格导管）</t>
        </is>
      </c>
      <c r="C7">
        <f>MAX(导管母表_860!F161:F190)</f>
        <v/>
      </c>
      <c r="D7">
        <f>MIN(导管母表_860!F161:F190)</f>
        <v/>
      </c>
      <c r="E7">
        <f>AVERAGE(导管母表_860!F161:F190)</f>
        <v/>
      </c>
      <c r="F7" t="inlineStr">
        <is>
          <t>见“导管母表_860”G161:G190（30个逐导管Di）</t>
        </is>
      </c>
      <c r="G7">
        <f>MAX(导管母表_860!G161:G190)</f>
        <v/>
      </c>
      <c r="H7">
        <f>MIN(导管母表_860!G161:G190)</f>
        <v/>
      </c>
      <c r="I7">
        <f>AVERAGE(导管母表_860!G161:G190)</f>
        <v/>
      </c>
      <c r="J7">
        <f>SUMPRODUCT(导管母表_860!G161:G190^5)/SUMPRODUCT(导管母表_860!G161:G190^4)</f>
        <v/>
      </c>
      <c r="K7">
        <f>AVERAGE(导管对_CWR_112!K31:K34)</f>
        <v/>
      </c>
      <c r="L7">
        <f>AVERAGE(导管对_CWR_112!S31:S34)</f>
        <v/>
      </c>
      <c r="M7" t="inlineStr"/>
      <c r="N7" t="inlineStr">
        <is>
          <t>自动管线：A/D/Dh用全部30个合格导管；CWR用4个相贴导管对。每壁3–5条局部法线TVW取均值为主值，再算CWR_pair；Ai=不规则闭合轮廓。</t>
        </is>
      </c>
    </row>
    <row r="8">
      <c r="A8" t="inlineStr">
        <is>
          <t>样品47</t>
        </is>
      </c>
      <c r="B8" t="inlineStr">
        <is>
          <t>见“导管母表_860”F191:F232（全部42个合格导管）</t>
        </is>
      </c>
      <c r="C8">
        <f>MAX(导管母表_860!F191:F232)</f>
        <v/>
      </c>
      <c r="D8">
        <f>MIN(导管母表_860!F191:F232)</f>
        <v/>
      </c>
      <c r="E8">
        <f>AVERAGE(导管母表_860!F191:F232)</f>
        <v/>
      </c>
      <c r="F8" t="inlineStr">
        <is>
          <t>见“导管母表_860”G191:G232（42个逐导管Di）</t>
        </is>
      </c>
      <c r="G8">
        <f>MAX(导管母表_860!G191:G232)</f>
        <v/>
      </c>
      <c r="H8">
        <f>MIN(导管母表_860!G191:G232)</f>
        <v/>
      </c>
      <c r="I8">
        <f>AVERAGE(导管母表_860!G191:G232)</f>
        <v/>
      </c>
      <c r="J8">
        <f>SUMPRODUCT(导管母表_860!G191:G232^5)/SUMPRODUCT(导管母表_860!G191:G232^4)</f>
        <v/>
      </c>
      <c r="K8">
        <f>AVERAGE(导管对_CWR_112!K35:K40)</f>
        <v/>
      </c>
      <c r="L8">
        <f>AVERAGE(导管对_CWR_112!S35:S40)</f>
        <v/>
      </c>
      <c r="M8" t="inlineStr"/>
      <c r="N8" t="inlineStr">
        <is>
          <t>自动管线：A/D/Dh用全部42个合格导管；CWR用6个相贴导管对。每壁3–5条局部法线TVW取均值为主值，再算CWR_pair；Ai=不规则闭合轮廓。</t>
        </is>
      </c>
    </row>
    <row r="9">
      <c r="A9" t="inlineStr">
        <is>
          <t>样品48</t>
        </is>
      </c>
      <c r="B9" t="inlineStr">
        <is>
          <t>见“导管母表_860”F233:F273（全部41个合格导管）</t>
        </is>
      </c>
      <c r="C9">
        <f>MAX(导管母表_860!F233:F273)</f>
        <v/>
      </c>
      <c r="D9">
        <f>MIN(导管母表_860!F233:F273)</f>
        <v/>
      </c>
      <c r="E9">
        <f>AVERAGE(导管母表_860!F233:F273)</f>
        <v/>
      </c>
      <c r="F9" t="inlineStr">
        <is>
          <t>见“导管母表_860”G233:G273（41个逐导管Di）</t>
        </is>
      </c>
      <c r="G9">
        <f>MAX(导管母表_860!G233:G273)</f>
        <v/>
      </c>
      <c r="H9">
        <f>MIN(导管母表_860!G233:G273)</f>
        <v/>
      </c>
      <c r="I9">
        <f>AVERAGE(导管母表_860!G233:G273)</f>
        <v/>
      </c>
      <c r="J9">
        <f>SUMPRODUCT(导管母表_860!G233:G273^5)/SUMPRODUCT(导管母表_860!G233:G273^4)</f>
        <v/>
      </c>
      <c r="K9">
        <f>AVERAGE(导管对_CWR_112!K41:K46)</f>
        <v/>
      </c>
      <c r="L9">
        <f>AVERAGE(导管对_CWR_112!S41:S46)</f>
        <v/>
      </c>
      <c r="M9" t="inlineStr"/>
      <c r="N9" t="inlineStr">
        <is>
          <t>自动管线：A/D/Dh用全部41个合格导管；CWR用6个相贴导管对。每壁3–5条局部法线TVW取均值为主值，再算CWR_pair；Ai=不规则闭合轮廓。</t>
        </is>
      </c>
    </row>
    <row r="10">
      <c r="A10" t="inlineStr">
        <is>
          <t>样品49</t>
        </is>
      </c>
      <c r="B10" t="inlineStr">
        <is>
          <t>见“导管母表_860”F274:F297（全部24个合格导管）</t>
        </is>
      </c>
      <c r="C10">
        <f>MAX(导管母表_860!F274:F297)</f>
        <v/>
      </c>
      <c r="D10">
        <f>MIN(导管母表_860!F274:F297)</f>
        <v/>
      </c>
      <c r="E10">
        <f>AVERAGE(导管母表_860!F274:F297)</f>
        <v/>
      </c>
      <c r="F10" t="inlineStr">
        <is>
          <t>见“导管母表_860”G274:G297（24个逐导管Di）</t>
        </is>
      </c>
      <c r="G10">
        <f>MAX(导管母表_860!G274:G297)</f>
        <v/>
      </c>
      <c r="H10">
        <f>MIN(导管母表_860!G274:G297)</f>
        <v/>
      </c>
      <c r="I10">
        <f>AVERAGE(导管母表_860!G274:G297)</f>
        <v/>
      </c>
      <c r="J10">
        <f>SUMPRODUCT(导管母表_860!G274:G297^5)/SUMPRODUCT(导管母表_860!G274:G297^4)</f>
        <v/>
      </c>
      <c r="K10">
        <f>AVERAGE(导管对_CWR_112!K47:K48)</f>
        <v/>
      </c>
      <c r="L10">
        <f>AVERAGE(导管对_CWR_112!S47:S48)</f>
        <v/>
      </c>
      <c r="M10" t="inlineStr"/>
      <c r="N10" t="inlineStr">
        <is>
          <t>自动管线：A/D/Dh用全部24个合格导管；CWR用2个相贴导管对。每壁3–5条局部法线TVW取均值为主值，再算CWR_pair；Ai=不规则闭合轮廓。</t>
        </is>
      </c>
    </row>
    <row r="11">
      <c r="A11" t="inlineStr">
        <is>
          <t>样品50</t>
        </is>
      </c>
      <c r="B11" t="inlineStr">
        <is>
          <t>见“导管母表_860”F298:F334（全部37个合格导管）</t>
        </is>
      </c>
      <c r="C11">
        <f>MAX(导管母表_860!F298:F334)</f>
        <v/>
      </c>
      <c r="D11">
        <f>MIN(导管母表_860!F298:F334)</f>
        <v/>
      </c>
      <c r="E11">
        <f>AVERAGE(导管母表_860!F298:F334)</f>
        <v/>
      </c>
      <c r="F11" t="inlineStr">
        <is>
          <t>见“导管母表_860”G298:G334（37个逐导管Di）</t>
        </is>
      </c>
      <c r="G11">
        <f>MAX(导管母表_860!G298:G334)</f>
        <v/>
      </c>
      <c r="H11">
        <f>MIN(导管母表_860!G298:G334)</f>
        <v/>
      </c>
      <c r="I11">
        <f>AVERAGE(导管母表_860!G298:G334)</f>
        <v/>
      </c>
      <c r="J11">
        <f>SUMPRODUCT(导管母表_860!G298:G334^5)/SUMPRODUCT(导管母表_860!G298:G334^4)</f>
        <v/>
      </c>
      <c r="K11">
        <f>AVERAGE(导管对_CWR_112!K49:K53)</f>
        <v/>
      </c>
      <c r="L11">
        <f>AVERAGE(导管对_CWR_112!S49:S53)</f>
        <v/>
      </c>
      <c r="M11" t="inlineStr"/>
      <c r="N11" t="inlineStr">
        <is>
          <t>自动管线：A/D/Dh用全部37个合格导管；CWR用5个相贴导管对。每壁3–5条局部法线TVW取均值为主值，再算CWR_pair；Ai=不规则闭合轮廓。</t>
        </is>
      </c>
    </row>
    <row r="12">
      <c r="A12" t="inlineStr">
        <is>
          <t>样品51</t>
        </is>
      </c>
      <c r="B12" t="inlineStr">
        <is>
          <t>见“导管母表_860”F335:F380（全部46个合格导管）</t>
        </is>
      </c>
      <c r="C12">
        <f>MAX(导管母表_860!F335:F380)</f>
        <v/>
      </c>
      <c r="D12">
        <f>MIN(导管母表_860!F335:F380)</f>
        <v/>
      </c>
      <c r="E12">
        <f>AVERAGE(导管母表_860!F335:F380)</f>
        <v/>
      </c>
      <c r="F12" t="inlineStr">
        <is>
          <t>见“导管母表_860”G335:G380（46个逐导管Di）</t>
        </is>
      </c>
      <c r="G12">
        <f>MAX(导管母表_860!G335:G380)</f>
        <v/>
      </c>
      <c r="H12">
        <f>MIN(导管母表_860!G335:G380)</f>
        <v/>
      </c>
      <c r="I12">
        <f>AVERAGE(导管母表_860!G335:G380)</f>
        <v/>
      </c>
      <c r="J12">
        <f>SUMPRODUCT(导管母表_860!G335:G380^5)/SUMPRODUCT(导管母表_860!G335:G380^4)</f>
        <v/>
      </c>
      <c r="K12">
        <f>AVERAGE(导管对_CWR_112!K54:K55)</f>
        <v/>
      </c>
      <c r="L12">
        <f>AVERAGE(导管对_CWR_112!S54:S55)</f>
        <v/>
      </c>
      <c r="M12" t="inlineStr"/>
      <c r="N12" t="inlineStr">
        <is>
          <t>自动管线：A/D/Dh用全部46个合格导管；CWR用2个相贴导管对。每壁3–5条局部法线TVW取均值为主值，再算CWR_pair；Ai=不规则闭合轮廓。</t>
        </is>
      </c>
    </row>
    <row r="13">
      <c r="A13" t="inlineStr">
        <is>
          <t>样品52</t>
        </is>
      </c>
      <c r="B13" t="inlineStr">
        <is>
          <t>见“导管母表_860”F381:F412（全部32个合格导管）</t>
        </is>
      </c>
      <c r="C13">
        <f>MAX(导管母表_860!F381:F412)</f>
        <v/>
      </c>
      <c r="D13">
        <f>MIN(导管母表_860!F381:F412)</f>
        <v/>
      </c>
      <c r="E13">
        <f>AVERAGE(导管母表_860!F381:F412)</f>
        <v/>
      </c>
      <c r="F13" t="inlineStr">
        <is>
          <t>见“导管母表_860”G381:G412（32个逐导管Di）</t>
        </is>
      </c>
      <c r="G13">
        <f>MAX(导管母表_860!G381:G412)</f>
        <v/>
      </c>
      <c r="H13">
        <f>MIN(导管母表_860!G381:G412)</f>
        <v/>
      </c>
      <c r="I13">
        <f>AVERAGE(导管母表_860!G381:G412)</f>
        <v/>
      </c>
      <c r="J13">
        <f>SUMPRODUCT(导管母表_860!G381:G412^5)/SUMPRODUCT(导管母表_860!G381:G412^4)</f>
        <v/>
      </c>
      <c r="K13">
        <f>AVERAGE(导管对_CWR_112!K56:K60)</f>
        <v/>
      </c>
      <c r="L13">
        <f>AVERAGE(导管对_CWR_112!S56:S60)</f>
        <v/>
      </c>
      <c r="M13" t="inlineStr"/>
      <c r="N13" t="inlineStr">
        <is>
          <t>自动管线：A/D/Dh用全部32个合格导管；CWR用5个相贴导管对。每壁3–5条局部法线TVW取均值为主值，再算CWR_pair；Ai=不规则闭合轮廓。</t>
        </is>
      </c>
    </row>
    <row r="14">
      <c r="A14" t="inlineStr">
        <is>
          <t>样品53</t>
        </is>
      </c>
      <c r="B14" t="inlineStr">
        <is>
          <t>见“导管母表_860”F413:F452（全部40个合格导管）</t>
        </is>
      </c>
      <c r="C14">
        <f>MAX(导管母表_860!F413:F452)</f>
        <v/>
      </c>
      <c r="D14">
        <f>MIN(导管母表_860!F413:F452)</f>
        <v/>
      </c>
      <c r="E14">
        <f>AVERAGE(导管母表_860!F413:F452)</f>
        <v/>
      </c>
      <c r="F14" t="inlineStr">
        <is>
          <t>见“导管母表_860”G413:G452（40个逐导管Di）</t>
        </is>
      </c>
      <c r="G14">
        <f>MAX(导管母表_860!G413:G452)</f>
        <v/>
      </c>
      <c r="H14">
        <f>MIN(导管母表_860!G413:G452)</f>
        <v/>
      </c>
      <c r="I14">
        <f>AVERAGE(导管母表_860!G413:G452)</f>
        <v/>
      </c>
      <c r="J14">
        <f>SUMPRODUCT(导管母表_860!G413:G452^5)/SUMPRODUCT(导管母表_860!G413:G452^4)</f>
        <v/>
      </c>
      <c r="K14">
        <f>AVERAGE(导管对_CWR_112!K61:K65)</f>
        <v/>
      </c>
      <c r="L14">
        <f>AVERAGE(导管对_CWR_112!S61:S65)</f>
        <v/>
      </c>
      <c r="M14" t="inlineStr"/>
      <c r="N14" t="inlineStr">
        <is>
          <t>自动管线：A/D/Dh用全部40个合格导管；CWR用5个相贴导管对。每壁3–5条局部法线TVW取均值为主值，再算CWR_pair；Ai=不规则闭合轮廓。</t>
        </is>
      </c>
    </row>
    <row r="15">
      <c r="A15" t="inlineStr">
        <is>
          <t>样品54</t>
        </is>
      </c>
      <c r="B15" t="inlineStr">
        <is>
          <t>见“导管母表_860”F453:F493（全部41个合格导管）</t>
        </is>
      </c>
      <c r="C15">
        <f>MAX(导管母表_860!F453:F493)</f>
        <v/>
      </c>
      <c r="D15">
        <f>MIN(导管母表_860!F453:F493)</f>
        <v/>
      </c>
      <c r="E15">
        <f>AVERAGE(导管母表_860!F453:F493)</f>
        <v/>
      </c>
      <c r="F15" t="inlineStr">
        <is>
          <t>见“导管母表_860”G453:G493（41个逐导管Di）</t>
        </is>
      </c>
      <c r="G15">
        <f>MAX(导管母表_860!G453:G493)</f>
        <v/>
      </c>
      <c r="H15">
        <f>MIN(导管母表_860!G453:G493)</f>
        <v/>
      </c>
      <c r="I15">
        <f>AVERAGE(导管母表_860!G453:G493)</f>
        <v/>
      </c>
      <c r="J15">
        <f>SUMPRODUCT(导管母表_860!G453:G493^5)/SUMPRODUCT(导管母表_860!G453:G493^4)</f>
        <v/>
      </c>
      <c r="K15">
        <f>AVERAGE(导管对_CWR_112!K66:K68)</f>
        <v/>
      </c>
      <c r="L15">
        <f>AVERAGE(导管对_CWR_112!S66:S68)</f>
        <v/>
      </c>
      <c r="M15" t="inlineStr"/>
      <c r="N15" t="inlineStr">
        <is>
          <t>自动管线：A/D/Dh用全部41个合格导管；CWR用3个相贴导管对。每壁3–5条局部法线TVW取均值为主值，再算CWR_pair；Ai=不规则闭合轮廓。</t>
        </is>
      </c>
    </row>
    <row r="16">
      <c r="A16" t="inlineStr">
        <is>
          <t>样品55</t>
        </is>
      </c>
      <c r="B16" t="inlineStr">
        <is>
          <t>见“导管母表_860”F494:F540（全部47个合格导管）</t>
        </is>
      </c>
      <c r="C16">
        <f>MAX(导管母表_860!F494:F540)</f>
        <v/>
      </c>
      <c r="D16">
        <f>MIN(导管母表_860!F494:F540)</f>
        <v/>
      </c>
      <c r="E16">
        <f>AVERAGE(导管母表_860!F494:F540)</f>
        <v/>
      </c>
      <c r="F16" t="inlineStr">
        <is>
          <t>见“导管母表_860”G494:G540（47个逐导管Di）</t>
        </is>
      </c>
      <c r="G16">
        <f>MAX(导管母表_860!G494:G540)</f>
        <v/>
      </c>
      <c r="H16">
        <f>MIN(导管母表_860!G494:G540)</f>
        <v/>
      </c>
      <c r="I16">
        <f>AVERAGE(导管母表_860!G494:G540)</f>
        <v/>
      </c>
      <c r="J16">
        <f>SUMPRODUCT(导管母表_860!G494:G540^5)/SUMPRODUCT(导管母表_860!G494:G540^4)</f>
        <v/>
      </c>
      <c r="K16">
        <f>AVERAGE(导管对_CWR_112!K69:K72)</f>
        <v/>
      </c>
      <c r="L16">
        <f>AVERAGE(导管对_CWR_112!S69:S72)</f>
        <v/>
      </c>
      <c r="M16" t="inlineStr"/>
      <c r="N16" t="inlineStr">
        <is>
          <t>自动管线：A/D/Dh用全部47个合格导管；CWR用4个相贴导管对。每壁3–5条局部法线TVW取均值为主值，再算CWR_pair；Ai=不规则闭合轮廓。</t>
        </is>
      </c>
    </row>
    <row r="17">
      <c r="A17" t="inlineStr">
        <is>
          <t>样品56</t>
        </is>
      </c>
      <c r="B17" t="inlineStr">
        <is>
          <t>见“导管母表_860”F541:F585（全部45个合格导管）</t>
        </is>
      </c>
      <c r="C17">
        <f>MAX(导管母表_860!F541:F585)</f>
        <v/>
      </c>
      <c r="D17">
        <f>MIN(导管母表_860!F541:F585)</f>
        <v/>
      </c>
      <c r="E17">
        <f>AVERAGE(导管母表_860!F541:F585)</f>
        <v/>
      </c>
      <c r="F17" t="inlineStr">
        <is>
          <t>见“导管母表_860”G541:G585（45个逐导管Di）</t>
        </is>
      </c>
      <c r="G17">
        <f>MAX(导管母表_860!G541:G585)</f>
        <v/>
      </c>
      <c r="H17">
        <f>MIN(导管母表_860!G541:G585)</f>
        <v/>
      </c>
      <c r="I17">
        <f>AVERAGE(导管母表_860!G541:G585)</f>
        <v/>
      </c>
      <c r="J17">
        <f>SUMPRODUCT(导管母表_860!G541:G585^5)/SUMPRODUCT(导管母表_860!G541:G585^4)</f>
        <v/>
      </c>
      <c r="K17">
        <f>AVERAGE(导管对_CWR_112!K73:K76)</f>
        <v/>
      </c>
      <c r="L17">
        <f>AVERAGE(导管对_CWR_112!S73:S76)</f>
        <v/>
      </c>
      <c r="M17" t="inlineStr"/>
      <c r="N17" t="inlineStr">
        <is>
          <t>自动管线：A/D/Dh用全部45个合格导管；CWR用4个相贴导管对。每壁3–5条局部法线TVW取均值为主值，再算CWR_pair；Ai=不规则闭合轮廓。</t>
        </is>
      </c>
    </row>
    <row r="18">
      <c r="A18" t="inlineStr">
        <is>
          <t>样品57</t>
        </is>
      </c>
      <c r="B18" t="inlineStr">
        <is>
          <t>见“导管母表_860”F586:F625（全部40个合格导管）</t>
        </is>
      </c>
      <c r="C18">
        <f>MAX(导管母表_860!F586:F625)</f>
        <v/>
      </c>
      <c r="D18">
        <f>MIN(导管母表_860!F586:F625)</f>
        <v/>
      </c>
      <c r="E18">
        <f>AVERAGE(导管母表_860!F586:F625)</f>
        <v/>
      </c>
      <c r="F18" t="inlineStr">
        <is>
          <t>见“导管母表_860”G586:G625（40个逐导管Di）</t>
        </is>
      </c>
      <c r="G18">
        <f>MAX(导管母表_860!G586:G625)</f>
        <v/>
      </c>
      <c r="H18">
        <f>MIN(导管母表_860!G586:G625)</f>
        <v/>
      </c>
      <c r="I18">
        <f>AVERAGE(导管母表_860!G586:G625)</f>
        <v/>
      </c>
      <c r="J18">
        <f>SUMPRODUCT(导管母表_860!G586:G625^5)/SUMPRODUCT(导管母表_860!G586:G625^4)</f>
        <v/>
      </c>
      <c r="K18">
        <f>AVERAGE(导管对_CWR_112!K77:K77)</f>
        <v/>
      </c>
      <c r="L18">
        <f>AVERAGE(导管对_CWR_112!S77:S77)</f>
        <v/>
      </c>
      <c r="M18" t="inlineStr"/>
      <c r="N18" t="inlineStr">
        <is>
          <t>自动管线：A/D/Dh用全部40个合格导管；CWR用1个相贴导管对。每壁3–5条局部法线TVW取均值为主值，再算CWR_pair；Ai=不规则闭合轮廓。</t>
        </is>
      </c>
    </row>
    <row r="19">
      <c r="A19" t="inlineStr">
        <is>
          <t>样品58</t>
        </is>
      </c>
      <c r="B19" t="inlineStr">
        <is>
          <t>见“导管母表_860”F626:F669（全部44个合格导管）</t>
        </is>
      </c>
      <c r="C19">
        <f>MAX(导管母表_860!F626:F669)</f>
        <v/>
      </c>
      <c r="D19">
        <f>MIN(导管母表_860!F626:F669)</f>
        <v/>
      </c>
      <c r="E19">
        <f>AVERAGE(导管母表_860!F626:F669)</f>
        <v/>
      </c>
      <c r="F19" t="inlineStr">
        <is>
          <t>见“导管母表_860”G626:G669（44个逐导管Di）</t>
        </is>
      </c>
      <c r="G19">
        <f>MAX(导管母表_860!G626:G669)</f>
        <v/>
      </c>
      <c r="H19">
        <f>MIN(导管母表_860!G626:G669)</f>
        <v/>
      </c>
      <c r="I19">
        <f>AVERAGE(导管母表_860!G626:G669)</f>
        <v/>
      </c>
      <c r="J19">
        <f>SUMPRODUCT(导管母表_860!G626:G669^5)/SUMPRODUCT(导管母表_860!G626:G669^4)</f>
        <v/>
      </c>
      <c r="K19">
        <f>AVERAGE(导管对_CWR_112!K78:K82)</f>
        <v/>
      </c>
      <c r="L19">
        <f>AVERAGE(导管对_CWR_112!S78:S82)</f>
        <v/>
      </c>
      <c r="M19" t="inlineStr"/>
      <c r="N19" t="inlineStr">
        <is>
          <t>自动管线：A/D/Dh用全部44个合格导管；CWR用5个相贴导管对。每壁3–5条局部法线TVW取均值为主值，再算CWR_pair；Ai=不规则闭合轮廓。</t>
        </is>
      </c>
    </row>
    <row r="20">
      <c r="A20" t="inlineStr">
        <is>
          <t>样品59</t>
        </is>
      </c>
      <c r="B20" t="inlineStr">
        <is>
          <t>见“导管母表_860”F670:F710（全部41个合格导管）</t>
        </is>
      </c>
      <c r="C20">
        <f>MAX(导管母表_860!F670:F710)</f>
        <v/>
      </c>
      <c r="D20">
        <f>MIN(导管母表_860!F670:F710)</f>
        <v/>
      </c>
      <c r="E20">
        <f>AVERAGE(导管母表_860!F670:F710)</f>
        <v/>
      </c>
      <c r="F20" t="inlineStr">
        <is>
          <t>见“导管母表_860”G670:G710（41个逐导管Di）</t>
        </is>
      </c>
      <c r="G20">
        <f>MAX(导管母表_860!G670:G710)</f>
        <v/>
      </c>
      <c r="H20">
        <f>MIN(导管母表_860!G670:G710)</f>
        <v/>
      </c>
      <c r="I20">
        <f>AVERAGE(导管母表_860!G670:G710)</f>
        <v/>
      </c>
      <c r="J20">
        <f>SUMPRODUCT(导管母表_860!G670:G710^5)/SUMPRODUCT(导管母表_860!G670:G710^4)</f>
        <v/>
      </c>
      <c r="K20">
        <f>AVERAGE(导管对_CWR_112!K83:K88)</f>
        <v/>
      </c>
      <c r="L20">
        <f>AVERAGE(导管对_CWR_112!S83:S88)</f>
        <v/>
      </c>
      <c r="M20" t="inlineStr"/>
      <c r="N20" t="inlineStr">
        <is>
          <t>自动管线：A/D/Dh用全部41个合格导管；CWR用6个相贴导管对。每壁3–5条局部法线TVW取均值为主值，再算CWR_pair；Ai=不规则闭合轮廓。</t>
        </is>
      </c>
    </row>
    <row r="21">
      <c r="A21" t="inlineStr">
        <is>
          <t>样品60</t>
        </is>
      </c>
      <c r="B21" t="inlineStr">
        <is>
          <t>见“导管母表_860”F711:F755（全部45个合格导管）</t>
        </is>
      </c>
      <c r="C21">
        <f>MAX(导管母表_860!F711:F755)</f>
        <v/>
      </c>
      <c r="D21">
        <f>MIN(导管母表_860!F711:F755)</f>
        <v/>
      </c>
      <c r="E21">
        <f>AVERAGE(导管母表_860!F711:F755)</f>
        <v/>
      </c>
      <c r="F21" t="inlineStr">
        <is>
          <t>见“导管母表_860”G711:G755（45个逐导管Di）</t>
        </is>
      </c>
      <c r="G21">
        <f>MAX(导管母表_860!G711:G755)</f>
        <v/>
      </c>
      <c r="H21">
        <f>MIN(导管母表_860!G711:G755)</f>
        <v/>
      </c>
      <c r="I21">
        <f>AVERAGE(导管母表_860!G711:G755)</f>
        <v/>
      </c>
      <c r="J21">
        <f>SUMPRODUCT(导管母表_860!G711:G755^5)/SUMPRODUCT(导管母表_860!G711:G755^4)</f>
        <v/>
      </c>
      <c r="K21">
        <f>AVERAGE(导管对_CWR_112!K89:K96)</f>
        <v/>
      </c>
      <c r="L21">
        <f>AVERAGE(导管对_CWR_112!S89:S96)</f>
        <v/>
      </c>
      <c r="M21" t="inlineStr"/>
      <c r="N21" t="inlineStr">
        <is>
          <t>自动管线：A/D/Dh用全部45个合格导管；CWR用8个相贴导管对。每壁3–5条局部法线TVW取均值为主值，再算CWR_pair；Ai=不规则闭合轮廓。</t>
        </is>
      </c>
    </row>
    <row r="22">
      <c r="A22" t="inlineStr">
        <is>
          <t>样品61</t>
        </is>
      </c>
      <c r="B22" t="inlineStr">
        <is>
          <t>见“导管母表_860”F756:F783（全部28个合格导管）</t>
        </is>
      </c>
      <c r="C22">
        <f>MAX(导管母表_860!F756:F783)</f>
        <v/>
      </c>
      <c r="D22">
        <f>MIN(导管母表_860!F756:F783)</f>
        <v/>
      </c>
      <c r="E22">
        <f>AVERAGE(导管母表_860!F756:F783)</f>
        <v/>
      </c>
      <c r="F22" t="inlineStr">
        <is>
          <t>见“导管母表_860”G756:G783（28个逐导管Di）</t>
        </is>
      </c>
      <c r="G22">
        <f>MAX(导管母表_860!G756:G783)</f>
        <v/>
      </c>
      <c r="H22">
        <f>MIN(导管母表_860!G756:G783)</f>
        <v/>
      </c>
      <c r="I22">
        <f>AVERAGE(导管母表_860!G756:G783)</f>
        <v/>
      </c>
      <c r="J22">
        <f>SUMPRODUCT(导管母表_860!G756:G783^5)/SUMPRODUCT(导管母表_860!G756:G783^4)</f>
        <v/>
      </c>
      <c r="K22">
        <f>AVERAGE(导管对_CWR_112!K97:K103)</f>
        <v/>
      </c>
      <c r="L22">
        <f>AVERAGE(导管对_CWR_112!S97:S103)</f>
        <v/>
      </c>
      <c r="M22" t="inlineStr"/>
      <c r="N22" t="inlineStr">
        <is>
          <t>自动管线：A/D/Dh用全部28个合格导管；CWR用7个相贴导管对。每壁3–5条局部法线TVW取均值为主值，再算CWR_pair；Ai=不规则闭合轮廓。</t>
        </is>
      </c>
    </row>
    <row r="23">
      <c r="A23" t="inlineStr">
        <is>
          <t>样品62</t>
        </is>
      </c>
      <c r="B23" t="inlineStr">
        <is>
          <t>见“导管母表_860”F784:F825（全部42个合格导管）</t>
        </is>
      </c>
      <c r="C23">
        <f>MAX(导管母表_860!F784:F825)</f>
        <v/>
      </c>
      <c r="D23">
        <f>MIN(导管母表_860!F784:F825)</f>
        <v/>
      </c>
      <c r="E23">
        <f>AVERAGE(导管母表_860!F784:F825)</f>
        <v/>
      </c>
      <c r="F23" t="inlineStr">
        <is>
          <t>见“导管母表_860”G784:G825（42个逐导管Di）</t>
        </is>
      </c>
      <c r="G23">
        <f>MAX(导管母表_860!G784:G825)</f>
        <v/>
      </c>
      <c r="H23">
        <f>MIN(导管母表_860!G784:G825)</f>
        <v/>
      </c>
      <c r="I23">
        <f>AVERAGE(导管母表_860!G784:G825)</f>
        <v/>
      </c>
      <c r="J23">
        <f>SUMPRODUCT(导管母表_860!G784:G825^5)/SUMPRODUCT(导管母表_860!G784:G825^4)</f>
        <v/>
      </c>
      <c r="K23">
        <f>AVERAGE(导管对_CWR_112!K104:K111)</f>
        <v/>
      </c>
      <c r="L23">
        <f>AVERAGE(导管对_CWR_112!S104:S111)</f>
        <v/>
      </c>
      <c r="M23" t="inlineStr"/>
      <c r="N23" t="inlineStr">
        <is>
          <t>自动管线：A/D/Dh用全部42个合格导管；CWR用8个相贴导管对。每壁3–5条局部法线TVW取均值为主值，再算CWR_pair；Ai=不规则闭合轮廓。</t>
        </is>
      </c>
    </row>
    <row r="24">
      <c r="A24" t="inlineStr">
        <is>
          <t>样品63</t>
        </is>
      </c>
      <c r="B24" t="inlineStr">
        <is>
          <t>见“导管母表_860”F826:F861（全部36个合格导管）</t>
        </is>
      </c>
      <c r="C24">
        <f>MAX(导管母表_860!F826:F861)</f>
        <v/>
      </c>
      <c r="D24">
        <f>MIN(导管母表_860!F826:F861)</f>
        <v/>
      </c>
      <c r="E24">
        <f>AVERAGE(导管母表_860!F826:F861)</f>
        <v/>
      </c>
      <c r="F24" t="inlineStr">
        <is>
          <t>见“导管母表_860”G826:G861（36个逐导管Di）</t>
        </is>
      </c>
      <c r="G24">
        <f>MAX(导管母表_860!G826:G861)</f>
        <v/>
      </c>
      <c r="H24">
        <f>MIN(导管母表_860!G826:G861)</f>
        <v/>
      </c>
      <c r="I24">
        <f>AVERAGE(导管母表_860!G826:G861)</f>
        <v/>
      </c>
      <c r="J24">
        <f>SUMPRODUCT(导管母表_860!G826:G861^5)/SUMPRODUCT(导管母表_860!G826:G861^4)</f>
        <v/>
      </c>
      <c r="K24">
        <f>AVERAGE(导管对_CWR_112!K112:K113)</f>
        <v/>
      </c>
      <c r="L24">
        <f>AVERAGE(导管对_CWR_112!S112:S113)</f>
        <v/>
      </c>
      <c r="M24" t="inlineStr"/>
      <c r="N24" t="inlineStr">
        <is>
          <t>自动管线：A/D/Dh用全部36个合格导管；CWR用2个相贴导管对。每壁3–5条局部法线TVW取均值为主值，再算CWR_pair；Ai=不规则闭合轮廓。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2026-08-29T10:24:12Z</dcterms:created>
  <dcterms:modified xsi:type="dcterms:W3CDTF">2026-08-29T10:24:12Z</dcterms:modified>
</cp:coreProperties>
</file>