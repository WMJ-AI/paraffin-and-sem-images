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汇总(均值)" sheetId="1" state="visible" r:id="rId1"/>
    <sheet name="1区域" sheetId="2" state="visible" r:id="rId2"/>
    <sheet name="半径长度" sheetId="3" state="visible" r:id="rId3"/>
    <sheet name="木质部长度" sheetId="4" state="visible" r:id="rId4"/>
    <sheet name="韧皮部长度" sheetId="5" state="visible" r:id="rId5"/>
    <sheet name="皮层长度" sheetId="6" state="visible" r:id="rId6"/>
    <sheet name="相对树皮厚度" sheetId="7" state="visible" r:id="rId7"/>
    <sheet name="相对韧皮部厚度" sheetId="8" state="visible" r:id="rId8"/>
    <sheet name="相对木质部厚度" sheetId="9" state="visible" r:id="rId9"/>
    <sheet name="2区域 " sheetId="10" state="visible" r:id="rId10"/>
    <sheet name="导管总数量" sheetId="11" state="visible" r:id="rId11"/>
    <sheet name="导管（腔）总面积" sheetId="12" state="visible" r:id="rId12"/>
    <sheet name="局部韧皮部面积" sheetId="13" state="visible" r:id="rId13"/>
    <sheet name="局部髓面积" sheetId="14" state="visible" r:id="rId14"/>
    <sheet name="局部木质部面积" sheetId="15" state="visible" r:id="rId15"/>
    <sheet name="导管密度" sheetId="16" state="visible" r:id="rId16"/>
    <sheet name="平均导管腔面积" sheetId="17" state="visible" r:id="rId17"/>
    <sheet name="导管腔面积占木质部比例" sheetId="18" state="visible" r:id="rId18"/>
    <sheet name="3区域" sheetId="19" state="visible" r:id="rId19"/>
    <sheet name="形成层连续性评分1（坏）-10（好）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F6" sqref="F6"/>
    </sheetView>
  </sheetViews>
  <sheetFormatPr baseColWidth="8" defaultColWidth="9" defaultRowHeight="13.5" outlineLevelCol="0"/>
  <cols>
    <col width="15.625" customWidth="1" style="6" min="1" max="6"/>
    <col width="28.875" customWidth="1" style="6" min="7" max="7"/>
    <col width="33.125" customWidth="1" style="6" min="8" max="9"/>
    <col width="9" customWidth="1" style="6" min="10" max="16384"/>
  </cols>
  <sheetData>
    <row r="1" customFormat="1" s="6">
      <c r="A1" s="4" t="inlineStr">
        <is>
          <t>样本序号</t>
        </is>
      </c>
      <c r="B1" s="4" t="inlineStr">
        <is>
          <t>相对树皮厚度</t>
        </is>
      </c>
      <c r="C1" s="4" t="inlineStr">
        <is>
          <t>相对韧皮部厚度</t>
        </is>
      </c>
      <c r="D1" s="4" t="inlineStr">
        <is>
          <t>相对木质部厚度</t>
        </is>
      </c>
      <c r="E1" s="4" t="inlineStr">
        <is>
          <t>导管密度</t>
        </is>
      </c>
      <c r="F1" s="4" t="inlineStr">
        <is>
          <t>平均导管腔面积</t>
        </is>
      </c>
      <c r="G1" s="4" t="inlineStr">
        <is>
          <t>导管腔面积占木质部比例</t>
        </is>
      </c>
      <c r="H1" s="4" t="inlineStr">
        <is>
          <t>形成层连续性评分1（坏）-10（好）</t>
        </is>
      </c>
    </row>
    <row r="2">
      <c r="A2" s="4" t="n">
        <v>1</v>
      </c>
      <c r="B2" s="4">
        <f>'相对树皮厚度'!E2</f>
        <v/>
      </c>
      <c r="C2" s="4">
        <f>'相对韧皮部厚度'!E2</f>
        <v/>
      </c>
      <c r="D2" s="4">
        <f>'相对木质部厚度'!E2</f>
        <v/>
      </c>
      <c r="E2" s="4">
        <f>'导管密度'!E2</f>
        <v/>
      </c>
      <c r="F2" s="4">
        <f>'平均导管腔面积'!E2</f>
        <v/>
      </c>
      <c r="G2" s="4">
        <f>'导管腔面积占木质部比例'!E2</f>
        <v/>
      </c>
      <c r="H2" s="4">
        <f>'形成层连续性评分1（坏）-10（好）'!E2</f>
        <v/>
      </c>
    </row>
    <row r="3">
      <c r="A3" s="4" t="n">
        <v>2</v>
      </c>
      <c r="B3" s="4">
        <f>'相对树皮厚度'!E3</f>
        <v/>
      </c>
      <c r="C3" s="4">
        <f>'相对韧皮部厚度'!E3</f>
        <v/>
      </c>
      <c r="D3" s="4">
        <f>'相对木质部厚度'!E3</f>
        <v/>
      </c>
      <c r="E3" s="4">
        <f>'导管密度'!E3</f>
        <v/>
      </c>
      <c r="F3" s="4">
        <f>'平均导管腔面积'!E3</f>
        <v/>
      </c>
      <c r="G3" s="4">
        <f>'导管腔面积占木质部比例'!E3</f>
        <v/>
      </c>
      <c r="H3" s="4">
        <f>'形成层连续性评分1（坏）-10（好）'!E3</f>
        <v/>
      </c>
    </row>
    <row r="4">
      <c r="A4" s="4" t="n">
        <v>3</v>
      </c>
      <c r="B4" s="4">
        <f>'相对树皮厚度'!E4</f>
        <v/>
      </c>
      <c r="C4" s="4">
        <f>'相对韧皮部厚度'!E4</f>
        <v/>
      </c>
      <c r="D4" s="4">
        <f>'相对木质部厚度'!E4</f>
        <v/>
      </c>
      <c r="E4" s="4">
        <f>'导管密度'!E4</f>
        <v/>
      </c>
      <c r="F4" s="4">
        <f>'平均导管腔面积'!E4</f>
        <v/>
      </c>
      <c r="G4" s="4">
        <f>'导管腔面积占木质部比例'!E4</f>
        <v/>
      </c>
      <c r="H4" s="4">
        <f>'形成层连续性评分1（坏）-10（好）'!E4</f>
        <v/>
      </c>
    </row>
    <row r="5">
      <c r="A5" s="4" t="n">
        <v>4</v>
      </c>
      <c r="B5" s="4">
        <f>'相对树皮厚度'!E5</f>
        <v/>
      </c>
      <c r="C5" s="4">
        <f>'相对韧皮部厚度'!E5</f>
        <v/>
      </c>
      <c r="D5" s="4">
        <f>'相对木质部厚度'!E5</f>
        <v/>
      </c>
      <c r="E5" s="4">
        <f>'导管密度'!E5</f>
        <v/>
      </c>
      <c r="F5" s="4">
        <f>'平均导管腔面积'!E5</f>
        <v/>
      </c>
      <c r="G5" s="4">
        <f>'导管腔面积占木质部比例'!E5</f>
        <v/>
      </c>
      <c r="H5" s="4">
        <f>'形成层连续性评分1（坏）-10（好）'!E5</f>
        <v/>
      </c>
    </row>
    <row r="6">
      <c r="A6" s="4" t="n">
        <v>5</v>
      </c>
      <c r="B6" s="4">
        <f>'相对树皮厚度'!E6</f>
        <v/>
      </c>
      <c r="C6" s="4">
        <f>'相对韧皮部厚度'!E6</f>
        <v/>
      </c>
      <c r="D6" s="4">
        <f>'相对木质部厚度'!E6</f>
        <v/>
      </c>
      <c r="E6" s="4">
        <f>'导管密度'!E6</f>
        <v/>
      </c>
      <c r="F6" s="4">
        <f>'平均导管腔面积'!E6</f>
        <v/>
      </c>
      <c r="G6" s="4">
        <f>'导管腔面积占木质部比例'!E6</f>
        <v/>
      </c>
      <c r="H6" s="4">
        <f>'形成层连续性评分1（坏）-10（好）'!E6</f>
        <v/>
      </c>
    </row>
    <row r="7">
      <c r="A7" s="4" t="n">
        <v>6</v>
      </c>
      <c r="B7" s="4">
        <f>'相对树皮厚度'!E7</f>
        <v/>
      </c>
      <c r="C7" s="4">
        <f>'相对韧皮部厚度'!E7</f>
        <v/>
      </c>
      <c r="D7" s="4">
        <f>'相对木质部厚度'!E7</f>
        <v/>
      </c>
      <c r="E7" s="4">
        <f>'导管密度'!E7</f>
        <v/>
      </c>
      <c r="F7" s="4">
        <f>'平均导管腔面积'!E7</f>
        <v/>
      </c>
      <c r="G7" s="4">
        <f>'导管腔面积占木质部比例'!E7</f>
        <v/>
      </c>
      <c r="H7" s="4">
        <f>'形成层连续性评分1（坏）-10（好）'!E7</f>
        <v/>
      </c>
    </row>
    <row r="8">
      <c r="A8" s="4" t="n">
        <v>7</v>
      </c>
      <c r="B8" s="4">
        <f>'相对树皮厚度'!E8</f>
        <v/>
      </c>
      <c r="C8" s="4">
        <f>'相对韧皮部厚度'!E8</f>
        <v/>
      </c>
      <c r="D8" s="4">
        <f>'相对木质部厚度'!E8</f>
        <v/>
      </c>
      <c r="E8" s="4">
        <f>'导管密度'!E8</f>
        <v/>
      </c>
      <c r="F8" s="4">
        <f>'平均导管腔面积'!E8</f>
        <v/>
      </c>
      <c r="G8" s="4">
        <f>'导管腔面积占木质部比例'!E8</f>
        <v/>
      </c>
      <c r="H8" s="4">
        <f>'形成层连续性评分1（坏）-10（好）'!E8</f>
        <v/>
      </c>
    </row>
    <row r="9">
      <c r="A9" s="4" t="n">
        <v>8</v>
      </c>
      <c r="B9" s="4">
        <f>'相对树皮厚度'!E9</f>
        <v/>
      </c>
      <c r="C9" s="4">
        <f>'相对韧皮部厚度'!E9</f>
        <v/>
      </c>
      <c r="D9" s="4">
        <f>'相对木质部厚度'!E9</f>
        <v/>
      </c>
      <c r="E9" s="4">
        <f>'导管密度'!E9</f>
        <v/>
      </c>
      <c r="F9" s="4">
        <f>'平均导管腔面积'!E9</f>
        <v/>
      </c>
      <c r="G9" s="4">
        <f>'导管腔面积占木质部比例'!E9</f>
        <v/>
      </c>
      <c r="H9" s="4">
        <f>'形成层连续性评分1（坏）-10（好）'!E9</f>
        <v/>
      </c>
    </row>
    <row r="10">
      <c r="A10" s="4" t="n">
        <v>9</v>
      </c>
      <c r="B10" s="4">
        <f>'相对树皮厚度'!E10</f>
        <v/>
      </c>
      <c r="C10" s="4">
        <f>'相对韧皮部厚度'!E10</f>
        <v/>
      </c>
      <c r="D10" s="4">
        <f>'相对木质部厚度'!E10</f>
        <v/>
      </c>
      <c r="E10" s="4">
        <f>'导管密度'!E10</f>
        <v/>
      </c>
      <c r="F10" s="4">
        <f>'平均导管腔面积'!E10</f>
        <v/>
      </c>
      <c r="G10" s="4">
        <f>'导管腔面积占木质部比例'!E10</f>
        <v/>
      </c>
      <c r="H10" s="4">
        <f>'形成层连续性评分1（坏）-10（好）'!E10</f>
        <v/>
      </c>
    </row>
    <row r="11">
      <c r="A11" s="4" t="n">
        <v>10</v>
      </c>
      <c r="B11" s="4">
        <f>'相对树皮厚度'!E11</f>
        <v/>
      </c>
      <c r="C11" s="4">
        <f>'相对韧皮部厚度'!E11</f>
        <v/>
      </c>
      <c r="D11" s="4">
        <f>'相对木质部厚度'!E11</f>
        <v/>
      </c>
      <c r="E11" s="4">
        <f>'导管密度'!E11</f>
        <v/>
      </c>
      <c r="F11" s="4">
        <f>'平均导管腔面积'!E11</f>
        <v/>
      </c>
      <c r="G11" s="4">
        <f>'导管腔面积占木质部比例'!E11</f>
        <v/>
      </c>
      <c r="H11" s="4">
        <f>'形成层连续性评分1（坏）-10（好）'!E11</f>
        <v/>
      </c>
    </row>
    <row r="12">
      <c r="A12" s="4" t="n">
        <v>11</v>
      </c>
      <c r="B12" s="4">
        <f>'相对树皮厚度'!E12</f>
        <v/>
      </c>
      <c r="C12" s="4">
        <f>'相对韧皮部厚度'!E12</f>
        <v/>
      </c>
      <c r="D12" s="4">
        <f>'相对木质部厚度'!E12</f>
        <v/>
      </c>
      <c r="E12" s="4">
        <f>'导管密度'!E12</f>
        <v/>
      </c>
      <c r="F12" s="4">
        <f>'平均导管腔面积'!E12</f>
        <v/>
      </c>
      <c r="G12" s="4">
        <f>'导管腔面积占木质部比例'!E12</f>
        <v/>
      </c>
      <c r="H12" s="4">
        <f>'形成层连续性评分1（坏）-10（好）'!E12</f>
        <v/>
      </c>
    </row>
    <row r="13">
      <c r="A13" s="4" t="n">
        <v>12</v>
      </c>
      <c r="B13" s="4">
        <f>'相对树皮厚度'!E13</f>
        <v/>
      </c>
      <c r="C13" s="4">
        <f>'相对韧皮部厚度'!E13</f>
        <v/>
      </c>
      <c r="D13" s="4">
        <f>'相对木质部厚度'!E13</f>
        <v/>
      </c>
      <c r="E13" s="4">
        <f>'导管密度'!E13</f>
        <v/>
      </c>
      <c r="F13" s="4">
        <f>'平均导管腔面积'!E13</f>
        <v/>
      </c>
      <c r="G13" s="4">
        <f>'导管腔面积占木质部比例'!E13</f>
        <v/>
      </c>
      <c r="H13" s="4">
        <f>'形成层连续性评分1（坏）-10（好）'!E13</f>
        <v/>
      </c>
    </row>
    <row r="14">
      <c r="A14" s="4" t="n">
        <v>13</v>
      </c>
      <c r="B14" s="4">
        <f>'相对树皮厚度'!E14</f>
        <v/>
      </c>
      <c r="C14" s="4">
        <f>'相对韧皮部厚度'!E14</f>
        <v/>
      </c>
      <c r="D14" s="4">
        <f>'相对木质部厚度'!E14</f>
        <v/>
      </c>
      <c r="E14" s="4">
        <f>'导管密度'!E14</f>
        <v/>
      </c>
      <c r="F14" s="4">
        <f>'平均导管腔面积'!E14</f>
        <v/>
      </c>
      <c r="G14" s="4">
        <f>'导管腔面积占木质部比例'!E14</f>
        <v/>
      </c>
      <c r="H14" s="4">
        <f>'形成层连续性评分1（坏）-10（好）'!E14</f>
        <v/>
      </c>
    </row>
    <row r="15">
      <c r="A15" s="4" t="n">
        <v>14</v>
      </c>
      <c r="B15" s="4">
        <f>'相对树皮厚度'!E15</f>
        <v/>
      </c>
      <c r="C15" s="4">
        <f>'相对韧皮部厚度'!E15</f>
        <v/>
      </c>
      <c r="D15" s="4">
        <f>'相对木质部厚度'!E15</f>
        <v/>
      </c>
      <c r="E15" s="4">
        <f>'导管密度'!E15</f>
        <v/>
      </c>
      <c r="F15" s="4">
        <f>'平均导管腔面积'!E15</f>
        <v/>
      </c>
      <c r="G15" s="4">
        <f>'导管腔面积占木质部比例'!E15</f>
        <v/>
      </c>
      <c r="H15" s="4">
        <f>'形成层连续性评分1（坏）-10（好）'!E15</f>
        <v/>
      </c>
    </row>
    <row r="16">
      <c r="A16" s="4" t="n">
        <v>15</v>
      </c>
      <c r="B16" s="4">
        <f>'相对树皮厚度'!E16</f>
        <v/>
      </c>
      <c r="C16" s="4">
        <f>'相对韧皮部厚度'!E16</f>
        <v/>
      </c>
      <c r="D16" s="4">
        <f>'相对木质部厚度'!E16</f>
        <v/>
      </c>
      <c r="E16" s="4">
        <f>'导管密度'!E16</f>
        <v/>
      </c>
      <c r="F16" s="4">
        <f>'平均导管腔面积'!E16</f>
        <v/>
      </c>
      <c r="G16" s="4">
        <f>'导管腔面积占木质部比例'!E16</f>
        <v/>
      </c>
      <c r="H16" s="4">
        <f>'形成层连续性评分1（坏）-10（好）'!E16</f>
        <v/>
      </c>
    </row>
    <row r="17">
      <c r="A17" s="4" t="n">
        <v>16</v>
      </c>
      <c r="B17" s="4">
        <f>'相对树皮厚度'!E17</f>
        <v/>
      </c>
      <c r="C17" s="4">
        <f>'相对韧皮部厚度'!E17</f>
        <v/>
      </c>
      <c r="D17" s="4">
        <f>'相对木质部厚度'!E17</f>
        <v/>
      </c>
      <c r="E17" s="4">
        <f>'导管密度'!E17</f>
        <v/>
      </c>
      <c r="F17" s="4">
        <f>'平均导管腔面积'!E17</f>
        <v/>
      </c>
      <c r="G17" s="4">
        <f>'导管腔面积占木质部比例'!E17</f>
        <v/>
      </c>
      <c r="H17" s="4">
        <f>'形成层连续性评分1（坏）-10（好）'!E17</f>
        <v/>
      </c>
    </row>
    <row r="18">
      <c r="A18" s="4" t="n">
        <v>17</v>
      </c>
      <c r="B18" s="4">
        <f>'相对树皮厚度'!E18</f>
        <v/>
      </c>
      <c r="C18" s="4">
        <f>'相对韧皮部厚度'!E18</f>
        <v/>
      </c>
      <c r="D18" s="4">
        <f>'相对木质部厚度'!E18</f>
        <v/>
      </c>
      <c r="E18" s="4">
        <f>'导管密度'!E18</f>
        <v/>
      </c>
      <c r="F18" s="4">
        <f>'平均导管腔面积'!E18</f>
        <v/>
      </c>
      <c r="G18" s="4">
        <f>'导管腔面积占木质部比例'!E18</f>
        <v/>
      </c>
      <c r="H18" s="4">
        <f>'形成层连续性评分1（坏）-10（好）'!E18</f>
        <v/>
      </c>
    </row>
    <row r="19">
      <c r="A19" s="4" t="n">
        <v>18</v>
      </c>
      <c r="B19" s="4">
        <f>'相对树皮厚度'!E19</f>
        <v/>
      </c>
      <c r="C19" s="4">
        <f>'相对韧皮部厚度'!E19</f>
        <v/>
      </c>
      <c r="D19" s="4">
        <f>'相对木质部厚度'!E19</f>
        <v/>
      </c>
      <c r="E19" s="4">
        <f>'导管密度'!E19</f>
        <v/>
      </c>
      <c r="F19" s="4">
        <f>'平均导管腔面积'!E19</f>
        <v/>
      </c>
      <c r="G19" s="4">
        <f>'导管腔面积占木质部比例'!E19</f>
        <v/>
      </c>
      <c r="H19" s="4">
        <f>'形成层连续性评分1（坏）-10（好）'!E19</f>
        <v/>
      </c>
    </row>
    <row r="20">
      <c r="A20" s="4" t="n">
        <v>19</v>
      </c>
      <c r="B20" s="4">
        <f>'相对树皮厚度'!E20</f>
        <v/>
      </c>
      <c r="C20" s="4">
        <f>'相对韧皮部厚度'!E20</f>
        <v/>
      </c>
      <c r="D20" s="4">
        <f>'相对木质部厚度'!E20</f>
        <v/>
      </c>
      <c r="E20" s="4">
        <f>'导管密度'!E20</f>
        <v/>
      </c>
      <c r="F20" s="4">
        <f>'平均导管腔面积'!E20</f>
        <v/>
      </c>
      <c r="G20" s="4">
        <f>'导管腔面积占木质部比例'!E20</f>
        <v/>
      </c>
      <c r="H20" s="4">
        <f>'形成层连续性评分1（坏）-10（好）'!E20</f>
        <v/>
      </c>
    </row>
    <row r="21">
      <c r="A21" s="4" t="n">
        <v>20</v>
      </c>
      <c r="B21" s="4">
        <f>'相对树皮厚度'!E21</f>
        <v/>
      </c>
      <c r="C21" s="4">
        <f>'相对韧皮部厚度'!E21</f>
        <v/>
      </c>
      <c r="D21" s="4">
        <f>'相对木质部厚度'!E21</f>
        <v/>
      </c>
      <c r="E21" s="4">
        <f>'导管密度'!E21</f>
        <v/>
      </c>
      <c r="F21" s="4">
        <f>'平均导管腔面积'!E21</f>
        <v/>
      </c>
      <c r="G21" s="4">
        <f>'导管腔面积占木质部比例'!E21</f>
        <v/>
      </c>
      <c r="H21" s="4">
        <f>'形成层连续性评分1（坏）-10（好）'!E21</f>
        <v/>
      </c>
    </row>
    <row r="22">
      <c r="A22" s="4" t="n">
        <v>21</v>
      </c>
      <c r="B22" s="4">
        <f>'相对树皮厚度'!E22</f>
        <v/>
      </c>
      <c r="C22" s="4">
        <f>'相对韧皮部厚度'!E22</f>
        <v/>
      </c>
      <c r="D22" s="4">
        <f>'相对木质部厚度'!E22</f>
        <v/>
      </c>
      <c r="E22" s="4">
        <f>'导管密度'!E22</f>
        <v/>
      </c>
      <c r="F22" s="4">
        <f>'平均导管腔面积'!E22</f>
        <v/>
      </c>
      <c r="G22" s="4">
        <f>'导管腔面积占木质部比例'!E22</f>
        <v/>
      </c>
      <c r="H22" s="4">
        <f>'形成层连续性评分1（坏）-10（好）'!E22</f>
        <v/>
      </c>
    </row>
    <row r="23">
      <c r="A23" s="4" t="n">
        <v>22</v>
      </c>
      <c r="B23" s="4">
        <f>'相对树皮厚度'!E23</f>
        <v/>
      </c>
      <c r="C23" s="4">
        <f>'相对韧皮部厚度'!E23</f>
        <v/>
      </c>
      <c r="D23" s="4">
        <f>'相对木质部厚度'!E23</f>
        <v/>
      </c>
      <c r="E23" s="4">
        <f>'导管密度'!E23</f>
        <v/>
      </c>
      <c r="F23" s="4">
        <f>'平均导管腔面积'!E23</f>
        <v/>
      </c>
      <c r="G23" s="4">
        <f>'导管腔面积占木质部比例'!E23</f>
        <v/>
      </c>
      <c r="H23" s="4">
        <f>'形成层连续性评分1（坏）-10（好）'!E23</f>
        <v/>
      </c>
    </row>
    <row r="24">
      <c r="A24" s="4" t="n">
        <v>23</v>
      </c>
      <c r="B24" s="4">
        <f>'相对树皮厚度'!E24</f>
        <v/>
      </c>
      <c r="C24" s="4">
        <f>'相对韧皮部厚度'!E24</f>
        <v/>
      </c>
      <c r="D24" s="4">
        <f>'相对木质部厚度'!E24</f>
        <v/>
      </c>
      <c r="E24" s="4">
        <f>'导管密度'!E24</f>
        <v/>
      </c>
      <c r="F24" s="4">
        <f>'平均导管腔面积'!E24</f>
        <v/>
      </c>
      <c r="G24" s="4">
        <f>'导管腔面积占木质部比例'!E24</f>
        <v/>
      </c>
      <c r="H24" s="4">
        <f>'形成层连续性评分1（坏）-10（好）'!E24</f>
        <v/>
      </c>
    </row>
    <row r="25">
      <c r="A25" s="4" t="n">
        <v>24</v>
      </c>
      <c r="B25" s="4">
        <f>'相对树皮厚度'!E25</f>
        <v/>
      </c>
      <c r="C25" s="4">
        <f>'相对韧皮部厚度'!E25</f>
        <v/>
      </c>
      <c r="D25" s="4">
        <f>'相对木质部厚度'!E25</f>
        <v/>
      </c>
      <c r="E25" s="4">
        <f>'导管密度'!E25</f>
        <v/>
      </c>
      <c r="F25" s="4">
        <f>'平均导管腔面积'!E25</f>
        <v/>
      </c>
      <c r="G25" s="4">
        <f>'导管腔面积占木质部比例'!E25</f>
        <v/>
      </c>
      <c r="H25" s="4">
        <f>'形成层连续性评分1（坏）-10（好）'!E25</f>
        <v/>
      </c>
    </row>
    <row r="26">
      <c r="A26" s="4" t="n">
        <v>25</v>
      </c>
      <c r="B26" s="4">
        <f>'相对树皮厚度'!E26</f>
        <v/>
      </c>
      <c r="C26" s="4">
        <f>'相对韧皮部厚度'!E26</f>
        <v/>
      </c>
      <c r="D26" s="4">
        <f>'相对木质部厚度'!E26</f>
        <v/>
      </c>
      <c r="E26" s="4">
        <f>'导管密度'!E26</f>
        <v/>
      </c>
      <c r="F26" s="4">
        <f>'平均导管腔面积'!E26</f>
        <v/>
      </c>
      <c r="G26" s="4">
        <f>'导管腔面积占木质部比例'!E26</f>
        <v/>
      </c>
      <c r="H26" s="4">
        <f>'形成层连续性评分1（坏）-10（好）'!E26</f>
        <v/>
      </c>
    </row>
    <row r="27">
      <c r="A27" s="4" t="n">
        <v>26</v>
      </c>
      <c r="B27" s="4">
        <f>'相对树皮厚度'!E27</f>
        <v/>
      </c>
      <c r="C27" s="4">
        <f>'相对韧皮部厚度'!E27</f>
        <v/>
      </c>
      <c r="D27" s="4">
        <f>'相对木质部厚度'!E27</f>
        <v/>
      </c>
      <c r="E27" s="4">
        <f>'导管密度'!E27</f>
        <v/>
      </c>
      <c r="F27" s="4">
        <f>'平均导管腔面积'!E27</f>
        <v/>
      </c>
      <c r="G27" s="4">
        <f>'导管腔面积占木质部比例'!E27</f>
        <v/>
      </c>
      <c r="H27" s="4">
        <f>'形成层连续性评分1（坏）-10（好）'!E27</f>
        <v/>
      </c>
    </row>
    <row r="28">
      <c r="A28" s="4" t="n">
        <v>27</v>
      </c>
      <c r="B28" s="4">
        <f>'相对树皮厚度'!E28</f>
        <v/>
      </c>
      <c r="C28" s="4">
        <f>'相对韧皮部厚度'!E28</f>
        <v/>
      </c>
      <c r="D28" s="4">
        <f>'相对木质部厚度'!E28</f>
        <v/>
      </c>
      <c r="E28" s="4">
        <f>'导管密度'!E28</f>
        <v/>
      </c>
      <c r="F28" s="4">
        <f>'平均导管腔面积'!E28</f>
        <v/>
      </c>
      <c r="G28" s="4">
        <f>'导管腔面积占木质部比例'!E28</f>
        <v/>
      </c>
      <c r="H28" s="4">
        <f>'形成层连续性评分1（坏）-10（好）'!E28</f>
        <v/>
      </c>
    </row>
    <row r="29">
      <c r="A29" s="4" t="n">
        <v>28</v>
      </c>
      <c r="B29" s="4">
        <f>'相对树皮厚度'!E29</f>
        <v/>
      </c>
      <c r="C29" s="4">
        <f>'相对韧皮部厚度'!E29</f>
        <v/>
      </c>
      <c r="D29" s="4">
        <f>'相对木质部厚度'!E29</f>
        <v/>
      </c>
      <c r="E29" s="4">
        <f>'导管密度'!E29</f>
        <v/>
      </c>
      <c r="F29" s="4">
        <f>'平均导管腔面积'!E29</f>
        <v/>
      </c>
      <c r="G29" s="4">
        <f>'导管腔面积占木质部比例'!E29</f>
        <v/>
      </c>
      <c r="H29" s="4">
        <f>'形成层连续性评分1（坏）-10（好）'!E29</f>
        <v/>
      </c>
    </row>
    <row r="30">
      <c r="A30" s="4" t="n">
        <v>29</v>
      </c>
      <c r="B30" s="4">
        <f>'相对树皮厚度'!E30</f>
        <v/>
      </c>
      <c r="C30" s="4">
        <f>'相对韧皮部厚度'!E30</f>
        <v/>
      </c>
      <c r="D30" s="4">
        <f>'相对木质部厚度'!E30</f>
        <v/>
      </c>
      <c r="E30" s="4">
        <f>'导管密度'!E30</f>
        <v/>
      </c>
      <c r="F30" s="4">
        <f>'平均导管腔面积'!E30</f>
        <v/>
      </c>
      <c r="G30" s="4">
        <f>'导管腔面积占木质部比例'!E30</f>
        <v/>
      </c>
      <c r="H30" s="4">
        <f>'形成层连续性评分1（坏）-10（好）'!E30</f>
        <v/>
      </c>
    </row>
    <row r="31">
      <c r="A31" s="4" t="n">
        <v>30</v>
      </c>
      <c r="B31" s="4">
        <f>'相对树皮厚度'!E31</f>
        <v/>
      </c>
      <c r="C31" s="4">
        <f>'相对韧皮部厚度'!E31</f>
        <v/>
      </c>
      <c r="D31" s="4">
        <f>'相对木质部厚度'!E31</f>
        <v/>
      </c>
      <c r="E31" s="4">
        <f>'导管密度'!E31</f>
        <v/>
      </c>
      <c r="F31" s="4">
        <f>'平均导管腔面积'!E31</f>
        <v/>
      </c>
      <c r="G31" s="4">
        <f>'导管腔面积占木质部比例'!E31</f>
        <v/>
      </c>
      <c r="H31" s="4">
        <f>'形成层连续性评分1（坏）-10（好）'!E31</f>
        <v/>
      </c>
    </row>
    <row r="32">
      <c r="A32" s="4" t="n">
        <v>31</v>
      </c>
      <c r="B32" s="4">
        <f>'相对树皮厚度'!E32</f>
        <v/>
      </c>
      <c r="C32" s="4">
        <f>'相对韧皮部厚度'!E32</f>
        <v/>
      </c>
      <c r="D32" s="4">
        <f>'相对木质部厚度'!E32</f>
        <v/>
      </c>
      <c r="E32" s="4">
        <f>'导管密度'!E32</f>
        <v/>
      </c>
      <c r="F32" s="4">
        <f>'平均导管腔面积'!E32</f>
        <v/>
      </c>
      <c r="G32" s="4">
        <f>'导管腔面积占木质部比例'!E32</f>
        <v/>
      </c>
      <c r="H32" s="4">
        <f>'形成层连续性评分1（坏）-10（好）'!E32</f>
        <v/>
      </c>
    </row>
    <row r="33">
      <c r="A33" s="4" t="n">
        <v>32</v>
      </c>
      <c r="B33" s="4">
        <f>'相对树皮厚度'!E33</f>
        <v/>
      </c>
      <c r="C33" s="4">
        <f>'相对韧皮部厚度'!E33</f>
        <v/>
      </c>
      <c r="D33" s="4">
        <f>'相对木质部厚度'!E33</f>
        <v/>
      </c>
      <c r="E33" s="4">
        <f>'导管密度'!E33</f>
        <v/>
      </c>
      <c r="F33" s="4">
        <f>'平均导管腔面积'!E33</f>
        <v/>
      </c>
      <c r="G33" s="4">
        <f>'导管腔面积占木质部比例'!E33</f>
        <v/>
      </c>
      <c r="H33" s="4">
        <f>'形成层连续性评分1（坏）-10（好）'!E33</f>
        <v/>
      </c>
    </row>
    <row r="34">
      <c r="A34" s="4" t="n">
        <v>33</v>
      </c>
      <c r="B34" s="4">
        <f>'相对树皮厚度'!E34</f>
        <v/>
      </c>
      <c r="C34" s="4">
        <f>'相对韧皮部厚度'!E34</f>
        <v/>
      </c>
      <c r="D34" s="4">
        <f>'相对木质部厚度'!E34</f>
        <v/>
      </c>
      <c r="E34" s="4">
        <f>'导管密度'!E34</f>
        <v/>
      </c>
      <c r="F34" s="4">
        <f>'平均导管腔面积'!E34</f>
        <v/>
      </c>
      <c r="G34" s="4">
        <f>'导管腔面积占木质部比例'!E34</f>
        <v/>
      </c>
      <c r="H34" s="4">
        <f>'形成层连续性评分1（坏）-10（好）'!E34</f>
        <v/>
      </c>
    </row>
    <row r="35">
      <c r="A35" s="4" t="n">
        <v>34</v>
      </c>
      <c r="B35" s="4">
        <f>'相对树皮厚度'!E35</f>
        <v/>
      </c>
      <c r="C35" s="4">
        <f>'相对韧皮部厚度'!E35</f>
        <v/>
      </c>
      <c r="D35" s="4">
        <f>'相对木质部厚度'!E35</f>
        <v/>
      </c>
      <c r="E35" s="4">
        <f>'导管密度'!E35</f>
        <v/>
      </c>
      <c r="F35" s="4">
        <f>'平均导管腔面积'!E35</f>
        <v/>
      </c>
      <c r="G35" s="4">
        <f>'导管腔面积占木质部比例'!E35</f>
        <v/>
      </c>
      <c r="H35" s="4">
        <f>'形成层连续性评分1（坏）-10（好）'!E35</f>
        <v/>
      </c>
    </row>
    <row r="36">
      <c r="A36" s="4" t="n">
        <v>35</v>
      </c>
      <c r="B36" s="4">
        <f>'相对树皮厚度'!E36</f>
        <v/>
      </c>
      <c r="C36" s="4">
        <f>'相对韧皮部厚度'!E36</f>
        <v/>
      </c>
      <c r="D36" s="4">
        <f>'相对木质部厚度'!E36</f>
        <v/>
      </c>
      <c r="E36" s="4">
        <f>'导管密度'!E36</f>
        <v/>
      </c>
      <c r="F36" s="4">
        <f>'平均导管腔面积'!E36</f>
        <v/>
      </c>
      <c r="G36" s="4">
        <f>'导管腔面积占木质部比例'!E36</f>
        <v/>
      </c>
      <c r="H36" s="4">
        <f>'形成层连续性评分1（坏）-10（好）'!E36</f>
        <v/>
      </c>
    </row>
    <row r="37">
      <c r="A37" s="4" t="n">
        <v>36</v>
      </c>
      <c r="B37" s="4">
        <f>'相对树皮厚度'!E37</f>
        <v/>
      </c>
      <c r="C37" s="4">
        <f>'相对韧皮部厚度'!E37</f>
        <v/>
      </c>
      <c r="D37" s="4">
        <f>'相对木质部厚度'!E37</f>
        <v/>
      </c>
      <c r="E37" s="4">
        <f>'导管密度'!E37</f>
        <v/>
      </c>
      <c r="F37" s="4">
        <f>'平均导管腔面积'!E37</f>
        <v/>
      </c>
      <c r="G37" s="4">
        <f>'导管腔面积占木质部比例'!E37</f>
        <v/>
      </c>
      <c r="H37" s="4">
        <f>'形成层连续性评分1（坏）-10（好）'!E37</f>
        <v/>
      </c>
    </row>
    <row r="38">
      <c r="A38" s="4" t="n">
        <v>37</v>
      </c>
      <c r="B38" s="4">
        <f>'相对树皮厚度'!E38</f>
        <v/>
      </c>
      <c r="C38" s="4">
        <f>'相对韧皮部厚度'!E38</f>
        <v/>
      </c>
      <c r="D38" s="4">
        <f>'相对木质部厚度'!E38</f>
        <v/>
      </c>
      <c r="E38" s="4">
        <f>'导管密度'!E38</f>
        <v/>
      </c>
      <c r="F38" s="4">
        <f>'平均导管腔面积'!E38</f>
        <v/>
      </c>
      <c r="G38" s="4">
        <f>'导管腔面积占木质部比例'!E38</f>
        <v/>
      </c>
      <c r="H38" s="4">
        <f>'形成层连续性评分1（坏）-10（好）'!E38</f>
        <v/>
      </c>
    </row>
    <row r="39">
      <c r="A39" s="4" t="n">
        <v>38</v>
      </c>
      <c r="B39" s="4">
        <f>'相对树皮厚度'!E39</f>
        <v/>
      </c>
      <c r="C39" s="4">
        <f>'相对韧皮部厚度'!E39</f>
        <v/>
      </c>
      <c r="D39" s="4">
        <f>'相对木质部厚度'!E39</f>
        <v/>
      </c>
      <c r="E39" s="4">
        <f>'导管密度'!E39</f>
        <v/>
      </c>
      <c r="F39" s="4">
        <f>'平均导管腔面积'!E39</f>
        <v/>
      </c>
      <c r="G39" s="4">
        <f>'导管腔面积占木质部比例'!E39</f>
        <v/>
      </c>
      <c r="H39" s="4">
        <f>'形成层连续性评分1（坏）-10（好）'!E39</f>
        <v/>
      </c>
    </row>
    <row r="40">
      <c r="A40" s="4" t="n">
        <v>39</v>
      </c>
      <c r="B40" s="4">
        <f>'相对树皮厚度'!E40</f>
        <v/>
      </c>
      <c r="C40" s="4">
        <f>'相对韧皮部厚度'!E40</f>
        <v/>
      </c>
      <c r="D40" s="4">
        <f>'相对木质部厚度'!E40</f>
        <v/>
      </c>
      <c r="E40" s="4">
        <f>'导管密度'!E40</f>
        <v/>
      </c>
      <c r="F40" s="4">
        <f>'平均导管腔面积'!E40</f>
        <v/>
      </c>
      <c r="G40" s="4">
        <f>'导管腔面积占木质部比例'!E40</f>
        <v/>
      </c>
      <c r="H40" s="4">
        <f>'形成层连续性评分1（坏）-10（好）'!E40</f>
        <v/>
      </c>
    </row>
    <row r="41">
      <c r="A41" s="4" t="n">
        <v>40</v>
      </c>
      <c r="B41" s="4">
        <f>'相对树皮厚度'!E41</f>
        <v/>
      </c>
      <c r="C41" s="4">
        <f>'相对韧皮部厚度'!E41</f>
        <v/>
      </c>
      <c r="D41" s="4">
        <f>'相对木质部厚度'!E41</f>
        <v/>
      </c>
      <c r="E41" s="4">
        <f>'导管密度'!E41</f>
        <v/>
      </c>
      <c r="F41" s="4">
        <f>'平均导管腔面积'!E41</f>
        <v/>
      </c>
      <c r="G41" s="4">
        <f>'导管腔面积占木质部比例'!E41</f>
        <v/>
      </c>
      <c r="H41" s="4">
        <f>'形成层连续性评分1（坏）-10（好）'!E41</f>
        <v/>
      </c>
    </row>
    <row r="42">
      <c r="A42" s="4" t="n">
        <v>41</v>
      </c>
      <c r="B42" s="4">
        <f>'相对树皮厚度'!E42</f>
        <v/>
      </c>
      <c r="C42" s="4">
        <f>'相对韧皮部厚度'!E42</f>
        <v/>
      </c>
      <c r="D42" s="4">
        <f>'相对木质部厚度'!E42</f>
        <v/>
      </c>
      <c r="E42" s="4">
        <f>'导管密度'!E42</f>
        <v/>
      </c>
      <c r="F42" s="4">
        <f>'平均导管腔面积'!E42</f>
        <v/>
      </c>
      <c r="G42" s="4">
        <f>'导管腔面积占木质部比例'!E42</f>
        <v/>
      </c>
      <c r="H42" s="4">
        <f>'形成层连续性评分1（坏）-10（好）'!E42</f>
        <v/>
      </c>
    </row>
    <row r="43">
      <c r="A43" s="4" t="n">
        <v>42</v>
      </c>
      <c r="B43" s="4">
        <f>'相对树皮厚度'!E43</f>
        <v/>
      </c>
      <c r="C43" s="4">
        <f>'相对韧皮部厚度'!E43</f>
        <v/>
      </c>
      <c r="D43" s="4">
        <f>'相对木质部厚度'!E43</f>
        <v/>
      </c>
      <c r="E43" s="4">
        <f>'导管密度'!E43</f>
        <v/>
      </c>
      <c r="F43" s="4">
        <f>'平均导管腔面积'!E43</f>
        <v/>
      </c>
      <c r="G43" s="4">
        <f>'导管腔面积占木质部比例'!E43</f>
        <v/>
      </c>
      <c r="H43" s="4">
        <f>'形成层连续性评分1（坏）-10（好）'!E43</f>
        <v/>
      </c>
    </row>
    <row r="44">
      <c r="A44" s="4" t="n">
        <v>43</v>
      </c>
      <c r="B44" s="4">
        <f>'相对树皮厚度'!E44</f>
        <v/>
      </c>
      <c r="C44" s="4">
        <f>'相对韧皮部厚度'!E44</f>
        <v/>
      </c>
      <c r="D44" s="4">
        <f>'相对木质部厚度'!E44</f>
        <v/>
      </c>
      <c r="E44" s="4">
        <f>'导管密度'!E44</f>
        <v/>
      </c>
      <c r="F44" s="4">
        <f>'平均导管腔面积'!E44</f>
        <v/>
      </c>
      <c r="G44" s="4">
        <f>'导管腔面积占木质部比例'!E44</f>
        <v/>
      </c>
      <c r="H44" s="4">
        <f>'形成层连续性评分1（坏）-10（好）'!E44</f>
        <v/>
      </c>
    </row>
    <row r="45">
      <c r="A45" s="4" t="n">
        <v>44</v>
      </c>
      <c r="B45" s="4">
        <f>'相对树皮厚度'!E45</f>
        <v/>
      </c>
      <c r="C45" s="4">
        <f>'相对韧皮部厚度'!E45</f>
        <v/>
      </c>
      <c r="D45" s="4">
        <f>'相对木质部厚度'!E45</f>
        <v/>
      </c>
      <c r="E45" s="4">
        <f>'导管密度'!E45</f>
        <v/>
      </c>
      <c r="F45" s="4">
        <f>'平均导管腔面积'!E45</f>
        <v/>
      </c>
      <c r="G45" s="4">
        <f>'导管腔面积占木质部比例'!E45</f>
        <v/>
      </c>
      <c r="H45" s="4">
        <f>'形成层连续性评分1（坏）-10（好）'!E45</f>
        <v/>
      </c>
    </row>
    <row r="46">
      <c r="A46" s="4" t="n">
        <v>45</v>
      </c>
      <c r="B46" s="4">
        <f>'相对树皮厚度'!E46</f>
        <v/>
      </c>
      <c r="C46" s="4">
        <f>'相对韧皮部厚度'!E46</f>
        <v/>
      </c>
      <c r="D46" s="4">
        <f>'相对木质部厚度'!E46</f>
        <v/>
      </c>
      <c r="E46" s="4">
        <f>'导管密度'!E46</f>
        <v/>
      </c>
      <c r="F46" s="4">
        <f>'平均导管腔面积'!E46</f>
        <v/>
      </c>
      <c r="G46" s="4">
        <f>'导管腔面积占木质部比例'!E46</f>
        <v/>
      </c>
      <c r="H46" s="4">
        <f>'形成层连续性评分1（坏）-10（好）'!E46</f>
        <v/>
      </c>
    </row>
    <row r="47">
      <c r="A47" s="4" t="n">
        <v>46</v>
      </c>
      <c r="B47" s="4">
        <f>'相对树皮厚度'!E47</f>
        <v/>
      </c>
      <c r="C47" s="4">
        <f>'相对韧皮部厚度'!E47</f>
        <v/>
      </c>
      <c r="D47" s="4">
        <f>'相对木质部厚度'!E47</f>
        <v/>
      </c>
      <c r="E47" s="4">
        <f>'导管密度'!E47</f>
        <v/>
      </c>
      <c r="F47" s="4">
        <f>'平均导管腔面积'!E47</f>
        <v/>
      </c>
      <c r="G47" s="4">
        <f>'导管腔面积占木质部比例'!E47</f>
        <v/>
      </c>
      <c r="H47" s="4">
        <f>'形成层连续性评分1（坏）-10（好）'!E47</f>
        <v/>
      </c>
    </row>
    <row r="48">
      <c r="A48" s="4" t="n">
        <v>47</v>
      </c>
      <c r="B48" s="4">
        <f>'相对树皮厚度'!E48</f>
        <v/>
      </c>
      <c r="C48" s="4">
        <f>'相对韧皮部厚度'!E48</f>
        <v/>
      </c>
      <c r="D48" s="4">
        <f>'相对木质部厚度'!E48</f>
        <v/>
      </c>
      <c r="E48" s="4">
        <f>'导管密度'!E48</f>
        <v/>
      </c>
      <c r="F48" s="4">
        <f>'平均导管腔面积'!E48</f>
        <v/>
      </c>
      <c r="G48" s="4">
        <f>'导管腔面积占木质部比例'!E48</f>
        <v/>
      </c>
      <c r="H48" s="4">
        <f>'形成层连续性评分1（坏）-10（好）'!E48</f>
        <v/>
      </c>
    </row>
    <row r="49">
      <c r="A49" s="4" t="n">
        <v>48</v>
      </c>
      <c r="B49" s="4">
        <f>'相对树皮厚度'!E49</f>
        <v/>
      </c>
      <c r="C49" s="4">
        <f>'相对韧皮部厚度'!E49</f>
        <v/>
      </c>
      <c r="D49" s="4">
        <f>'相对木质部厚度'!E49</f>
        <v/>
      </c>
      <c r="E49" s="4">
        <f>'导管密度'!E49</f>
        <v/>
      </c>
      <c r="F49" s="4">
        <f>'平均导管腔面积'!E49</f>
        <v/>
      </c>
      <c r="G49" s="4">
        <f>'导管腔面积占木质部比例'!E49</f>
        <v/>
      </c>
      <c r="H49" s="4">
        <f>'形成层连续性评分1（坏）-10（好）'!E49</f>
        <v/>
      </c>
    </row>
    <row r="50">
      <c r="A50" s="4" t="n">
        <v>49</v>
      </c>
      <c r="B50" s="4">
        <f>'相对树皮厚度'!E50</f>
        <v/>
      </c>
      <c r="C50" s="4">
        <f>'相对韧皮部厚度'!E50</f>
        <v/>
      </c>
      <c r="D50" s="4">
        <f>'相对木质部厚度'!E50</f>
        <v/>
      </c>
      <c r="E50" s="4">
        <f>'导管密度'!E50</f>
        <v/>
      </c>
      <c r="F50" s="4">
        <f>'平均导管腔面积'!E50</f>
        <v/>
      </c>
      <c r="G50" s="4">
        <f>'导管腔面积占木质部比例'!E50</f>
        <v/>
      </c>
      <c r="H50" s="4">
        <f>'形成层连续性评分1（坏）-10（好）'!E50</f>
        <v/>
      </c>
    </row>
    <row r="51">
      <c r="A51" s="4" t="n">
        <v>50</v>
      </c>
      <c r="B51" s="4">
        <f>'相对树皮厚度'!E51</f>
        <v/>
      </c>
      <c r="C51" s="4">
        <f>'相对韧皮部厚度'!E51</f>
        <v/>
      </c>
      <c r="D51" s="4">
        <f>'相对木质部厚度'!E51</f>
        <v/>
      </c>
      <c r="E51" s="4">
        <f>'导管密度'!E51</f>
        <v/>
      </c>
      <c r="F51" s="4">
        <f>'平均导管腔面积'!E51</f>
        <v/>
      </c>
      <c r="G51" s="4">
        <f>'导管腔面积占木质部比例'!E51</f>
        <v/>
      </c>
      <c r="H51" s="4">
        <f>'形成层连续性评分1（坏）-10（好）'!E51</f>
        <v/>
      </c>
    </row>
    <row r="52">
      <c r="A52" s="4" t="n">
        <v>51</v>
      </c>
      <c r="B52" s="4">
        <f>'相对树皮厚度'!E52</f>
        <v/>
      </c>
      <c r="C52" s="4">
        <f>'相对韧皮部厚度'!E52</f>
        <v/>
      </c>
      <c r="D52" s="4">
        <f>'相对木质部厚度'!E52</f>
        <v/>
      </c>
      <c r="E52" s="4">
        <f>'导管密度'!E52</f>
        <v/>
      </c>
      <c r="F52" s="4">
        <f>'平均导管腔面积'!E52</f>
        <v/>
      </c>
      <c r="G52" s="4">
        <f>'导管腔面积占木质部比例'!E52</f>
        <v/>
      </c>
      <c r="H52" s="4">
        <f>'形成层连续性评分1（坏）-10（好）'!E52</f>
        <v/>
      </c>
    </row>
    <row r="53">
      <c r="A53" s="4" t="n">
        <v>52</v>
      </c>
      <c r="B53" s="4">
        <f>'相对树皮厚度'!E53</f>
        <v/>
      </c>
      <c r="C53" s="4">
        <f>'相对韧皮部厚度'!E53</f>
        <v/>
      </c>
      <c r="D53" s="4">
        <f>'相对木质部厚度'!E53</f>
        <v/>
      </c>
      <c r="E53" s="4">
        <f>'导管密度'!E53</f>
        <v/>
      </c>
      <c r="F53" s="4">
        <f>'平均导管腔面积'!E53</f>
        <v/>
      </c>
      <c r="G53" s="4">
        <f>'导管腔面积占木质部比例'!E53</f>
        <v/>
      </c>
      <c r="H53" s="4">
        <f>'形成层连续性评分1（坏）-10（好）'!E53</f>
        <v/>
      </c>
    </row>
    <row r="54">
      <c r="A54" s="4" t="n">
        <v>53</v>
      </c>
      <c r="B54" s="4">
        <f>'相对树皮厚度'!E54</f>
        <v/>
      </c>
      <c r="C54" s="4">
        <f>'相对韧皮部厚度'!E54</f>
        <v/>
      </c>
      <c r="D54" s="4">
        <f>'相对木质部厚度'!E54</f>
        <v/>
      </c>
      <c r="E54" s="4">
        <f>'导管密度'!E54</f>
        <v/>
      </c>
      <c r="F54" s="4">
        <f>'平均导管腔面积'!E54</f>
        <v/>
      </c>
      <c r="G54" s="4">
        <f>'导管腔面积占木质部比例'!E54</f>
        <v/>
      </c>
      <c r="H54" s="4">
        <f>'形成层连续性评分1（坏）-10（好）'!E54</f>
        <v/>
      </c>
    </row>
    <row r="55">
      <c r="A55" s="4" t="n">
        <v>54</v>
      </c>
      <c r="B55" s="4">
        <f>'相对树皮厚度'!E55</f>
        <v/>
      </c>
      <c r="C55" s="4">
        <f>'相对韧皮部厚度'!E55</f>
        <v/>
      </c>
      <c r="D55" s="4">
        <f>'相对木质部厚度'!E55</f>
        <v/>
      </c>
      <c r="E55" s="4">
        <f>'导管密度'!E55</f>
        <v/>
      </c>
      <c r="F55" s="4">
        <f>'平均导管腔面积'!E55</f>
        <v/>
      </c>
      <c r="G55" s="4">
        <f>'导管腔面积占木质部比例'!E55</f>
        <v/>
      </c>
      <c r="H55" s="4">
        <f>'形成层连续性评分1（坏）-10（好）'!E55</f>
        <v/>
      </c>
    </row>
    <row r="56">
      <c r="A56" s="4" t="n">
        <v>55</v>
      </c>
      <c r="B56" s="4">
        <f>'相对树皮厚度'!E56</f>
        <v/>
      </c>
      <c r="C56" s="4">
        <f>'相对韧皮部厚度'!E56</f>
        <v/>
      </c>
      <c r="D56" s="4">
        <f>'相对木质部厚度'!E56</f>
        <v/>
      </c>
      <c r="E56" s="4">
        <f>'导管密度'!E56</f>
        <v/>
      </c>
      <c r="F56" s="4">
        <f>'平均导管腔面积'!E56</f>
        <v/>
      </c>
      <c r="G56" s="4">
        <f>'导管腔面积占木质部比例'!E56</f>
        <v/>
      </c>
      <c r="H56" s="4">
        <f>'形成层连续性评分1（坏）-10（好）'!E56</f>
        <v/>
      </c>
    </row>
    <row r="57">
      <c r="A57" s="4" t="n">
        <v>56</v>
      </c>
      <c r="B57" s="4">
        <f>'相对树皮厚度'!E57</f>
        <v/>
      </c>
      <c r="C57" s="4">
        <f>'相对韧皮部厚度'!E57</f>
        <v/>
      </c>
      <c r="D57" s="4">
        <f>'相对木质部厚度'!E57</f>
        <v/>
      </c>
      <c r="E57" s="4">
        <f>'导管密度'!E57</f>
        <v/>
      </c>
      <c r="F57" s="4">
        <f>'平均导管腔面积'!E57</f>
        <v/>
      </c>
      <c r="G57" s="4">
        <f>'导管腔面积占木质部比例'!E57</f>
        <v/>
      </c>
      <c r="H57" s="4">
        <f>'形成层连续性评分1（坏）-10（好）'!E57</f>
        <v/>
      </c>
    </row>
    <row r="58">
      <c r="A58" s="4" t="n">
        <v>57</v>
      </c>
      <c r="B58" s="4">
        <f>'相对树皮厚度'!E58</f>
        <v/>
      </c>
      <c r="C58" s="4">
        <f>'相对韧皮部厚度'!E58</f>
        <v/>
      </c>
      <c r="D58" s="4">
        <f>'相对木质部厚度'!E58</f>
        <v/>
      </c>
      <c r="E58" s="4">
        <f>'导管密度'!E58</f>
        <v/>
      </c>
      <c r="F58" s="4">
        <f>'平均导管腔面积'!E58</f>
        <v/>
      </c>
      <c r="G58" s="4">
        <f>'导管腔面积占木质部比例'!E58</f>
        <v/>
      </c>
      <c r="H58" s="4">
        <f>'形成层连续性评分1（坏）-10（好）'!E58</f>
        <v/>
      </c>
    </row>
    <row r="59">
      <c r="A59" s="4" t="n">
        <v>58</v>
      </c>
      <c r="B59" s="4">
        <f>'相对树皮厚度'!E59</f>
        <v/>
      </c>
      <c r="C59" s="4">
        <f>'相对韧皮部厚度'!E59</f>
        <v/>
      </c>
      <c r="D59" s="4">
        <f>'相对木质部厚度'!E59</f>
        <v/>
      </c>
      <c r="E59" s="4">
        <f>'导管密度'!E59</f>
        <v/>
      </c>
      <c r="F59" s="4">
        <f>'平均导管腔面积'!E59</f>
        <v/>
      </c>
      <c r="G59" s="4">
        <f>'导管腔面积占木质部比例'!E59</f>
        <v/>
      </c>
      <c r="H59" s="4">
        <f>'形成层连续性评分1（坏）-10（好）'!E59</f>
        <v/>
      </c>
    </row>
    <row r="60">
      <c r="A60" s="4" t="n">
        <v>59</v>
      </c>
      <c r="B60" s="4">
        <f>'相对树皮厚度'!E60</f>
        <v/>
      </c>
      <c r="C60" s="4">
        <f>'相对韧皮部厚度'!E60</f>
        <v/>
      </c>
      <c r="D60" s="4">
        <f>'相对木质部厚度'!E60</f>
        <v/>
      </c>
      <c r="E60" s="4">
        <f>'导管密度'!E60</f>
        <v/>
      </c>
      <c r="F60" s="4">
        <f>'平均导管腔面积'!E60</f>
        <v/>
      </c>
      <c r="G60" s="4">
        <f>'导管腔面积占木质部比例'!E60</f>
        <v/>
      </c>
      <c r="H60" s="4">
        <f>'形成层连续性评分1（坏）-10（好）'!E60</f>
        <v/>
      </c>
    </row>
    <row r="61">
      <c r="A61" s="4" t="n">
        <v>60</v>
      </c>
      <c r="B61" s="4">
        <f>'相对树皮厚度'!E61</f>
        <v/>
      </c>
      <c r="C61" s="4">
        <f>'相对韧皮部厚度'!E61</f>
        <v/>
      </c>
      <c r="D61" s="4">
        <f>'相对木质部厚度'!E61</f>
        <v/>
      </c>
      <c r="E61" s="4">
        <f>'导管密度'!E61</f>
        <v/>
      </c>
      <c r="F61" s="4">
        <f>'平均导管腔面积'!E61</f>
        <v/>
      </c>
      <c r="G61" s="4">
        <f>'导管腔面积占木质部比例'!E61</f>
        <v/>
      </c>
      <c r="H61" s="4">
        <f>'形成层连续性评分1（坏）-10（好）'!E61</f>
        <v/>
      </c>
    </row>
    <row r="62">
      <c r="A62" s="4" t="n">
        <v>61</v>
      </c>
      <c r="B62" s="4">
        <f>'相对树皮厚度'!E62</f>
        <v/>
      </c>
      <c r="C62" s="4">
        <f>'相对韧皮部厚度'!E62</f>
        <v/>
      </c>
      <c r="D62" s="4">
        <f>'相对木质部厚度'!E62</f>
        <v/>
      </c>
      <c r="E62" s="4">
        <f>'导管密度'!E62</f>
        <v/>
      </c>
      <c r="F62" s="4">
        <f>'平均导管腔面积'!E62</f>
        <v/>
      </c>
      <c r="G62" s="4">
        <f>'导管腔面积占木质部比例'!E62</f>
        <v/>
      </c>
      <c r="H62" s="4">
        <f>'形成层连续性评分1（坏）-10（好）'!E62</f>
        <v/>
      </c>
    </row>
    <row r="63">
      <c r="A63" s="4" t="n">
        <v>62</v>
      </c>
      <c r="B63" s="4">
        <f>'相对树皮厚度'!E63</f>
        <v/>
      </c>
      <c r="C63" s="4">
        <f>'相对韧皮部厚度'!E63</f>
        <v/>
      </c>
      <c r="D63" s="4">
        <f>'相对木质部厚度'!E63</f>
        <v/>
      </c>
      <c r="E63" s="4">
        <f>'导管密度'!E63</f>
        <v/>
      </c>
      <c r="F63" s="4">
        <f>'平均导管腔面积'!E63</f>
        <v/>
      </c>
      <c r="G63" s="4">
        <f>'导管腔面积占木质部比例'!E63</f>
        <v/>
      </c>
      <c r="H63" s="4">
        <f>'形成层连续性评分1（坏）-10（好）'!E63</f>
        <v/>
      </c>
    </row>
    <row r="64">
      <c r="A64" s="4" t="n">
        <v>63</v>
      </c>
      <c r="B64" s="4">
        <f>'相对树皮厚度'!E64</f>
        <v/>
      </c>
      <c r="C64" s="4">
        <f>'相对韧皮部厚度'!E64</f>
        <v/>
      </c>
      <c r="D64" s="4">
        <f>'相对木质部厚度'!E64</f>
        <v/>
      </c>
      <c r="E64" s="4">
        <f>'导管密度'!E64</f>
        <v/>
      </c>
      <c r="F64" s="4">
        <f>'平均导管腔面积'!E64</f>
        <v/>
      </c>
      <c r="G64" s="4">
        <f>'导管腔面积占木质部比例'!E64</f>
        <v/>
      </c>
      <c r="H64" s="4">
        <f>'形成层连续性评分1（坏）-10（好）'!E64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38" sqref="C38"/>
    </sheetView>
  </sheetViews>
  <sheetFormatPr baseColWidth="8" defaultColWidth="9" defaultRowHeight="13.5" outlineLevelCol="0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12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半径长度1</t>
        </is>
      </c>
      <c r="C1" s="4" t="inlineStr">
        <is>
          <t>半径长度2</t>
        </is>
      </c>
      <c r="D1" s="4" t="inlineStr">
        <is>
          <t>半径长度3</t>
        </is>
      </c>
    </row>
    <row r="2">
      <c r="A2" s="4" t="n">
        <v>1</v>
      </c>
      <c r="B2" s="4" t="n">
        <v>2054.67</v>
      </c>
      <c r="C2" s="4" t="n">
        <v>1937.8</v>
      </c>
      <c r="D2" s="4" t="n">
        <v>2183.57</v>
      </c>
    </row>
    <row r="3">
      <c r="A3" s="4" t="n">
        <v>2</v>
      </c>
      <c r="B3" s="4" t="n">
        <v>1833.71</v>
      </c>
      <c r="C3" s="4" t="n">
        <v>1765.1</v>
      </c>
      <c r="D3" s="4" t="n">
        <v>2008.45</v>
      </c>
    </row>
    <row r="4">
      <c r="A4" s="4" t="n">
        <v>3</v>
      </c>
      <c r="B4" s="4" t="n">
        <v>1436.22</v>
      </c>
      <c r="C4" s="4" t="n">
        <v>1496.38</v>
      </c>
      <c r="D4" s="4" t="n">
        <v>1531.4</v>
      </c>
    </row>
    <row r="5">
      <c r="A5" s="4" t="n">
        <v>4</v>
      </c>
      <c r="B5" s="4" t="n">
        <v>2328.02</v>
      </c>
      <c r="C5" s="4" t="n">
        <v>2180.56</v>
      </c>
      <c r="D5" s="4" t="n">
        <v>2352.05</v>
      </c>
    </row>
    <row r="6">
      <c r="A6" s="4" t="n">
        <v>5</v>
      </c>
      <c r="B6" s="4" t="n">
        <v>1843.96</v>
      </c>
      <c r="C6" s="4" t="n">
        <v>2001.21</v>
      </c>
      <c r="D6" s="4" t="n">
        <v>1960.75</v>
      </c>
    </row>
    <row r="7">
      <c r="A7" s="4" t="n">
        <v>6</v>
      </c>
      <c r="B7" s="4" t="n">
        <v>1297.27</v>
      </c>
      <c r="C7" s="4" t="n">
        <v>1496.98</v>
      </c>
      <c r="D7" s="4" t="n">
        <v>1379.83</v>
      </c>
    </row>
    <row r="8">
      <c r="A8" s="4" t="n">
        <v>7</v>
      </c>
      <c r="B8" s="4" t="n">
        <v>2734.62</v>
      </c>
      <c r="C8" s="4" t="n">
        <v>2872.81</v>
      </c>
      <c r="D8" s="4" t="n">
        <v>2921.49</v>
      </c>
    </row>
    <row r="9">
      <c r="A9" s="4" t="n">
        <v>8</v>
      </c>
      <c r="B9" s="4" t="n">
        <v>2252.85</v>
      </c>
      <c r="C9" s="4" t="n">
        <v>2437.8</v>
      </c>
      <c r="D9" s="4" t="n">
        <v>2507.25</v>
      </c>
    </row>
    <row r="10">
      <c r="A10" s="4" t="n">
        <v>9</v>
      </c>
      <c r="B10" s="4" t="n">
        <v>2247.15</v>
      </c>
      <c r="C10" s="4" t="n">
        <v>2188.41</v>
      </c>
      <c r="D10" s="4" t="n">
        <v>2200.48</v>
      </c>
    </row>
    <row r="11">
      <c r="A11" s="4" t="n">
        <v>10</v>
      </c>
      <c r="B11" s="4" t="n">
        <v>2193.62</v>
      </c>
      <c r="C11" s="4" t="n">
        <v>2251.81</v>
      </c>
      <c r="D11" s="4" t="n">
        <v>2480.07</v>
      </c>
    </row>
    <row r="12">
      <c r="A12" s="4" t="n">
        <v>11</v>
      </c>
      <c r="B12" s="4" t="n">
        <v>1902.05</v>
      </c>
      <c r="C12" s="4" t="n">
        <v>2100.85</v>
      </c>
      <c r="D12" s="4" t="n">
        <v>2013.89</v>
      </c>
    </row>
    <row r="13">
      <c r="A13" s="4" t="n">
        <v>12</v>
      </c>
      <c r="B13" s="4" t="n">
        <v>1584.28</v>
      </c>
      <c r="C13" s="4" t="n">
        <v>1657</v>
      </c>
      <c r="D13" s="4" t="n">
        <v>1694.44</v>
      </c>
    </row>
    <row r="14">
      <c r="A14" s="4" t="n">
        <v>13</v>
      </c>
      <c r="B14" s="4" t="n">
        <v>3181.09</v>
      </c>
      <c r="C14" s="4" t="n">
        <v>3287.44</v>
      </c>
      <c r="D14" s="4" t="n">
        <v>3030.39</v>
      </c>
    </row>
    <row r="15">
      <c r="A15" s="4" t="n">
        <v>14</v>
      </c>
      <c r="B15" s="4" t="n">
        <v>2348.52</v>
      </c>
      <c r="C15" s="4" t="n">
        <v>2574.88</v>
      </c>
      <c r="D15" s="4" t="n">
        <v>2591.18</v>
      </c>
    </row>
    <row r="16">
      <c r="A16" s="4" t="n">
        <v>15</v>
      </c>
      <c r="B16" s="4" t="n">
        <v>1330.3</v>
      </c>
      <c r="C16" s="4" t="n">
        <v>1451.09</v>
      </c>
      <c r="D16" s="4" t="n">
        <v>1393.12</v>
      </c>
    </row>
    <row r="17">
      <c r="A17" s="4" t="n">
        <v>16</v>
      </c>
      <c r="B17" s="4" t="n">
        <v>2351.94</v>
      </c>
      <c r="C17" s="4" t="n">
        <v>2343.6</v>
      </c>
      <c r="D17" s="4" t="n">
        <v>2528.99</v>
      </c>
    </row>
    <row r="18">
      <c r="A18" s="4" t="n">
        <v>17</v>
      </c>
      <c r="B18" s="4" t="n">
        <v>1972.67</v>
      </c>
      <c r="C18" s="4" t="n">
        <v>2054.35</v>
      </c>
      <c r="D18" s="4" t="n">
        <v>2138.89</v>
      </c>
    </row>
    <row r="19">
      <c r="A19" s="4" t="n">
        <v>18</v>
      </c>
      <c r="B19" s="4" t="n">
        <v>1323.46</v>
      </c>
      <c r="C19" s="4" t="n">
        <v>1371.38</v>
      </c>
      <c r="D19" s="4" t="n">
        <v>1398.55</v>
      </c>
    </row>
    <row r="20">
      <c r="A20" s="4" t="n">
        <v>19</v>
      </c>
      <c r="B20" s="4" t="n">
        <v>2357.63</v>
      </c>
      <c r="C20" s="4" t="n">
        <v>2787.44</v>
      </c>
      <c r="D20" s="4" t="n">
        <v>2669.9</v>
      </c>
    </row>
    <row r="21">
      <c r="A21" s="4" t="n">
        <v>20</v>
      </c>
      <c r="B21" s="4" t="n">
        <v>2184.51</v>
      </c>
      <c r="C21" s="4" t="n">
        <v>2366.55</v>
      </c>
      <c r="D21" s="4" t="n">
        <v>2350.24</v>
      </c>
    </row>
    <row r="22">
      <c r="A22" s="4" t="n">
        <v>21</v>
      </c>
      <c r="B22" s="4" t="n">
        <v>1875.85</v>
      </c>
      <c r="C22" s="4" t="n">
        <v>1809.18</v>
      </c>
      <c r="D22" s="4" t="n">
        <v>1882.28</v>
      </c>
    </row>
    <row r="23">
      <c r="A23" s="4" t="n">
        <v>22</v>
      </c>
      <c r="B23" s="4" t="n">
        <v>2356.49</v>
      </c>
      <c r="C23" s="4" t="n">
        <v>2300.12</v>
      </c>
      <c r="D23" s="4" t="n">
        <v>2443.24</v>
      </c>
    </row>
    <row r="24">
      <c r="A24" s="4" t="n">
        <v>23</v>
      </c>
      <c r="B24" s="4" t="n">
        <v>1851.94</v>
      </c>
      <c r="C24" s="4" t="n">
        <v>2304.35</v>
      </c>
      <c r="D24" s="4" t="n">
        <v>2107.49</v>
      </c>
    </row>
    <row r="25">
      <c r="A25" s="4" t="n">
        <v>24</v>
      </c>
      <c r="B25" s="4" t="n">
        <v>1746.01</v>
      </c>
      <c r="C25" s="4" t="n">
        <v>1988.53</v>
      </c>
      <c r="D25" s="4" t="n">
        <v>1565.94</v>
      </c>
    </row>
    <row r="26">
      <c r="A26" s="4" t="n">
        <v>25</v>
      </c>
      <c r="B26" s="4" t="n">
        <v>2671.98</v>
      </c>
      <c r="C26" s="4" t="n">
        <v>3234.9</v>
      </c>
      <c r="D26" s="4" t="n">
        <v>2742.15</v>
      </c>
    </row>
    <row r="27">
      <c r="A27" s="4" t="n">
        <v>26</v>
      </c>
      <c r="B27" s="4" t="n">
        <v>1988.61</v>
      </c>
      <c r="C27" s="4" t="n">
        <v>2138.35</v>
      </c>
      <c r="D27" s="4" t="n">
        <v>1826.09</v>
      </c>
    </row>
    <row r="28">
      <c r="A28" s="4" t="n">
        <v>27</v>
      </c>
      <c r="B28" s="4" t="n">
        <v>1396.36</v>
      </c>
      <c r="C28" s="4" t="n">
        <v>1548.31</v>
      </c>
      <c r="D28" s="4" t="n">
        <v>1596.01</v>
      </c>
    </row>
    <row r="29">
      <c r="A29" s="4" t="n">
        <v>28</v>
      </c>
      <c r="B29" s="4" t="n">
        <v>2753.99</v>
      </c>
      <c r="C29" s="4" t="n">
        <v>3215.58</v>
      </c>
      <c r="D29" s="4" t="n">
        <v>2891.91</v>
      </c>
    </row>
    <row r="30">
      <c r="A30" s="4" t="n">
        <v>29</v>
      </c>
      <c r="B30" s="4" t="n">
        <v>2240.32</v>
      </c>
      <c r="C30" s="4" t="n">
        <v>2432.97</v>
      </c>
      <c r="D30" s="4" t="n">
        <v>2319.44</v>
      </c>
    </row>
    <row r="31">
      <c r="A31" s="4" t="n">
        <v>30</v>
      </c>
      <c r="B31" s="4" t="n">
        <v>1486.33</v>
      </c>
      <c r="C31" s="4" t="n">
        <v>1589.98</v>
      </c>
      <c r="D31" s="4" t="n">
        <v>1574.88</v>
      </c>
    </row>
    <row r="32">
      <c r="A32" s="4" t="n">
        <v>31</v>
      </c>
      <c r="B32" s="4" t="n">
        <v>3202.73</v>
      </c>
      <c r="C32" s="4" t="n">
        <v>3286.23</v>
      </c>
      <c r="D32" s="4" t="n">
        <v>3311.59</v>
      </c>
    </row>
    <row r="33">
      <c r="A33" s="4" t="n">
        <v>32</v>
      </c>
      <c r="B33" s="4" t="n">
        <v>2473.8</v>
      </c>
      <c r="C33" s="4" t="n">
        <v>2621.38</v>
      </c>
      <c r="D33" s="4" t="n">
        <v>2611.04</v>
      </c>
    </row>
    <row r="34">
      <c r="A34" s="4" t="n">
        <v>33</v>
      </c>
      <c r="B34" s="4" t="n">
        <v>1369.02</v>
      </c>
      <c r="C34" s="4" t="n">
        <v>1457.13</v>
      </c>
      <c r="D34" s="4" t="n">
        <v>1478.26</v>
      </c>
    </row>
    <row r="35">
      <c r="A35" s="4" t="n">
        <v>34</v>
      </c>
      <c r="B35" s="4" t="n">
        <v>2117.31</v>
      </c>
      <c r="C35" s="4" t="n">
        <v>2257.25</v>
      </c>
      <c r="D35" s="4" t="n">
        <v>3060.99</v>
      </c>
    </row>
    <row r="36">
      <c r="A36" s="4" t="n">
        <v>35</v>
      </c>
      <c r="B36" s="4" t="n">
        <v>1965.83</v>
      </c>
      <c r="C36" s="4" t="n">
        <v>2118.96</v>
      </c>
      <c r="D36" s="4" t="n">
        <v>2084.34</v>
      </c>
    </row>
    <row r="37">
      <c r="A37" s="4" t="n">
        <v>36</v>
      </c>
      <c r="B37" s="4" t="n">
        <v>1510.25</v>
      </c>
      <c r="C37" s="4" t="n">
        <v>1617.15</v>
      </c>
      <c r="D37" s="4" t="n">
        <v>1567.63</v>
      </c>
    </row>
    <row r="38">
      <c r="A38" s="4" t="n">
        <v>37</v>
      </c>
      <c r="B38" s="4" t="n">
        <v>2529.61</v>
      </c>
      <c r="C38" s="4" t="n">
        <v>2636.47</v>
      </c>
      <c r="D38" s="4" t="n">
        <v>2583.94</v>
      </c>
    </row>
    <row r="39">
      <c r="A39" s="4" t="n">
        <v>38</v>
      </c>
      <c r="B39" s="4" t="n">
        <v>2029.61</v>
      </c>
      <c r="C39" s="4" t="n">
        <v>2191.43</v>
      </c>
      <c r="D39" s="4" t="n">
        <v>2296.12</v>
      </c>
    </row>
    <row r="40">
      <c r="A40" s="4" t="n">
        <v>39</v>
      </c>
      <c r="B40" s="4" t="n">
        <v>1675.4</v>
      </c>
      <c r="C40" s="4" t="n">
        <v>1790.46</v>
      </c>
      <c r="D40" s="4" t="n">
        <v>2009.06</v>
      </c>
    </row>
    <row r="41">
      <c r="A41" s="4" t="n">
        <v>40</v>
      </c>
      <c r="B41" s="4" t="n">
        <v>1969.25</v>
      </c>
      <c r="C41" s="4" t="n">
        <v>2176.33</v>
      </c>
      <c r="D41" s="4" t="n">
        <v>2103.26</v>
      </c>
    </row>
    <row r="42">
      <c r="A42" s="4" t="n">
        <v>41</v>
      </c>
      <c r="B42" s="4" t="n">
        <v>1591.12</v>
      </c>
      <c r="C42" s="4" t="n">
        <v>1726.45</v>
      </c>
      <c r="D42" s="4" t="n">
        <v>1631.07</v>
      </c>
    </row>
    <row r="43">
      <c r="A43" s="4" t="n">
        <v>42</v>
      </c>
      <c r="B43" s="4" t="n">
        <v>1112.76</v>
      </c>
      <c r="C43" s="4" t="n">
        <v>1293.48</v>
      </c>
      <c r="D43" s="4" t="n">
        <v>1263.89</v>
      </c>
    </row>
    <row r="44">
      <c r="A44" s="4" t="n">
        <v>43</v>
      </c>
      <c r="B44" s="4" t="n">
        <v>164.01</v>
      </c>
      <c r="C44" s="4" t="n">
        <v>3184.78</v>
      </c>
      <c r="D44" s="4" t="n">
        <v>3308.57</v>
      </c>
    </row>
    <row r="45">
      <c r="A45" s="4" t="n">
        <v>44</v>
      </c>
      <c r="B45" s="4" t="n">
        <v>2299.54</v>
      </c>
      <c r="C45" s="4" t="n">
        <v>2480.07</v>
      </c>
      <c r="D45" s="4" t="n">
        <v>2506.04</v>
      </c>
    </row>
    <row r="46">
      <c r="A46" s="4" t="n">
        <v>45</v>
      </c>
      <c r="B46" s="4" t="n">
        <v>1566.06</v>
      </c>
      <c r="C46" s="4" t="n">
        <v>1657.07</v>
      </c>
      <c r="D46" s="4" t="n">
        <v>1616.47</v>
      </c>
    </row>
    <row r="47">
      <c r="A47" s="4" t="n">
        <v>46</v>
      </c>
      <c r="B47" s="4" t="n">
        <v>2759.68</v>
      </c>
      <c r="C47" s="4" t="n">
        <v>2345.41</v>
      </c>
      <c r="D47" s="4" t="n">
        <v>2750.61</v>
      </c>
    </row>
    <row r="48">
      <c r="A48" s="4" t="n">
        <v>47</v>
      </c>
      <c r="B48" s="4" t="n">
        <v>2234.62</v>
      </c>
      <c r="C48" s="4" t="n">
        <v>2253.62</v>
      </c>
      <c r="D48" s="4" t="n">
        <v>2383.45</v>
      </c>
    </row>
    <row r="49">
      <c r="A49" s="4" t="n">
        <v>48</v>
      </c>
      <c r="B49" s="4" t="n">
        <v>1689.07</v>
      </c>
      <c r="C49" s="4" t="n">
        <v>1801.93</v>
      </c>
      <c r="D49" s="4" t="n">
        <v>1640.1</v>
      </c>
    </row>
    <row r="50">
      <c r="A50" s="4" t="n">
        <v>49</v>
      </c>
      <c r="B50" s="4" t="n">
        <v>2625.28</v>
      </c>
      <c r="C50" s="4" t="n">
        <v>2774.15</v>
      </c>
      <c r="D50" s="4" t="n">
        <v>2028.38</v>
      </c>
    </row>
    <row r="51">
      <c r="A51" s="4" t="n">
        <v>50</v>
      </c>
      <c r="B51" s="4" t="n">
        <v>2178.82</v>
      </c>
      <c r="C51" s="4" t="n">
        <v>2096.01</v>
      </c>
      <c r="D51" s="4" t="n">
        <v>2163.65</v>
      </c>
    </row>
    <row r="52">
      <c r="A52" s="4" t="n">
        <v>51</v>
      </c>
      <c r="B52" s="4" t="n">
        <v>1551.25</v>
      </c>
      <c r="C52" s="4" t="n">
        <v>1620.17</v>
      </c>
      <c r="D52" s="4" t="n">
        <v>1671.5</v>
      </c>
    </row>
    <row r="53">
      <c r="A53" s="4" t="n">
        <v>52</v>
      </c>
      <c r="B53" s="4" t="n">
        <v>2117.31</v>
      </c>
      <c r="C53" s="4" t="n">
        <v>2444.44</v>
      </c>
      <c r="D53" s="4" t="n">
        <v>1950.48</v>
      </c>
    </row>
    <row r="54">
      <c r="A54" s="4" t="n">
        <v>53</v>
      </c>
      <c r="B54" s="4" t="n">
        <v>1588.84</v>
      </c>
      <c r="C54" s="4" t="n">
        <v>1861.71</v>
      </c>
      <c r="D54" s="4" t="n">
        <v>1966.79</v>
      </c>
    </row>
    <row r="55">
      <c r="A55" s="4" t="n">
        <v>54</v>
      </c>
      <c r="B55" s="4" t="n">
        <v>1636.67</v>
      </c>
      <c r="C55" s="4" t="n">
        <v>1748.79</v>
      </c>
      <c r="D55" s="4" t="n">
        <v>1647.34</v>
      </c>
    </row>
    <row r="56">
      <c r="A56" s="4" t="n">
        <v>55</v>
      </c>
      <c r="B56" s="4" t="n">
        <v>2601.37</v>
      </c>
      <c r="C56" s="4" t="n">
        <v>2762.68</v>
      </c>
      <c r="D56" s="4" t="n">
        <v>2780.19</v>
      </c>
    </row>
    <row r="57">
      <c r="A57" s="4" t="n">
        <v>56</v>
      </c>
      <c r="B57" s="4" t="n">
        <v>2468.11</v>
      </c>
      <c r="C57" s="4" t="n">
        <v>2388.89</v>
      </c>
      <c r="D57" s="4" t="n">
        <v>2446.26</v>
      </c>
    </row>
    <row r="58">
      <c r="A58" s="4" t="n">
        <v>57</v>
      </c>
      <c r="B58" s="4" t="n">
        <v>1904.33</v>
      </c>
      <c r="C58" s="4" t="n">
        <v>2028.99</v>
      </c>
      <c r="D58" s="4" t="n">
        <v>1929.95</v>
      </c>
    </row>
    <row r="59">
      <c r="A59" s="4" t="n">
        <v>58</v>
      </c>
      <c r="B59" s="4" t="n">
        <v>2753.99</v>
      </c>
      <c r="C59" s="4" t="n">
        <v>2867.75</v>
      </c>
      <c r="D59" s="4" t="n">
        <v>2885.87</v>
      </c>
    </row>
    <row r="60">
      <c r="A60" s="4" t="n">
        <v>59</v>
      </c>
      <c r="B60" s="4" t="n">
        <v>2563.78</v>
      </c>
      <c r="C60" s="4" t="n">
        <v>2656.4</v>
      </c>
      <c r="D60" s="4" t="n">
        <v>2682.97</v>
      </c>
    </row>
    <row r="61">
      <c r="A61" s="4" t="n">
        <v>60</v>
      </c>
      <c r="B61" s="4" t="n">
        <v>1719.82</v>
      </c>
      <c r="C61" s="4" t="n">
        <v>1809.18</v>
      </c>
      <c r="D61" s="4" t="n">
        <v>1889.49</v>
      </c>
    </row>
    <row r="62">
      <c r="A62" s="4" t="n">
        <v>61</v>
      </c>
      <c r="B62" s="4" t="n"/>
      <c r="C62" s="4" t="n"/>
      <c r="D62" s="4" t="n"/>
    </row>
    <row r="63">
      <c r="A63" s="4" t="n">
        <v>62</v>
      </c>
      <c r="B63" s="4" t="n"/>
      <c r="C63" s="4" t="n"/>
      <c r="D63" s="4" t="n"/>
    </row>
    <row r="64">
      <c r="A64" s="4" t="n">
        <v>63</v>
      </c>
      <c r="B64" s="4" t="n"/>
      <c r="C64" s="4" t="n"/>
      <c r="D64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木质部长度1</t>
        </is>
      </c>
      <c r="C1" s="4" t="inlineStr">
        <is>
          <t>木质部长度2</t>
        </is>
      </c>
      <c r="D1" s="4" t="inlineStr">
        <is>
          <t>木质部长度3</t>
        </is>
      </c>
    </row>
    <row r="2">
      <c r="A2" s="4" t="n">
        <v>1</v>
      </c>
      <c r="B2" s="4" t="n">
        <v>1222.89</v>
      </c>
      <c r="C2" s="4" t="n">
        <v>1253.45</v>
      </c>
      <c r="D2" s="4" t="n">
        <v>1413.15</v>
      </c>
    </row>
    <row r="3">
      <c r="A3" s="4" t="n">
        <v>2</v>
      </c>
      <c r="B3" s="4" t="n">
        <v>1147.25</v>
      </c>
      <c r="C3" s="4" t="n">
        <v>1005.13</v>
      </c>
      <c r="D3" s="4" t="n">
        <v>1204.43</v>
      </c>
    </row>
    <row r="4">
      <c r="A4" s="4" t="n">
        <v>3</v>
      </c>
      <c r="B4" s="4" t="n">
        <v>801.35</v>
      </c>
      <c r="C4" s="4" t="n">
        <v>783.28</v>
      </c>
      <c r="D4" s="4" t="n">
        <v>882.52</v>
      </c>
    </row>
    <row r="5">
      <c r="A5" s="4" t="n">
        <v>4</v>
      </c>
      <c r="B5" s="4" t="n">
        <v>1474.2</v>
      </c>
      <c r="C5" s="4" t="n">
        <v>1413.9</v>
      </c>
      <c r="D5" s="4" t="n">
        <v>1439.03</v>
      </c>
    </row>
    <row r="6">
      <c r="A6" s="4" t="n">
        <v>5</v>
      </c>
      <c r="B6" s="4" t="n">
        <v>1163.61</v>
      </c>
      <c r="C6" s="4" t="n">
        <v>1263.05</v>
      </c>
      <c r="D6" s="4" t="n">
        <v>1068.77</v>
      </c>
    </row>
    <row r="7">
      <c r="A7" s="4" t="n">
        <v>6</v>
      </c>
      <c r="B7" s="4" t="n">
        <v>726.77</v>
      </c>
      <c r="C7" s="4" t="n">
        <v>789.71</v>
      </c>
      <c r="D7" s="4" t="n">
        <v>797.72</v>
      </c>
    </row>
    <row r="8">
      <c r="A8" s="4" t="n">
        <v>7</v>
      </c>
      <c r="B8" s="4" t="n">
        <v>1777.28</v>
      </c>
      <c r="C8" s="4" t="n">
        <v>1952</v>
      </c>
      <c r="D8" s="4" t="n">
        <v>1850.61</v>
      </c>
    </row>
    <row r="9">
      <c r="A9" s="4" t="n">
        <v>8</v>
      </c>
      <c r="B9" s="4" t="n">
        <v>1239.6</v>
      </c>
      <c r="C9" s="4" t="n">
        <v>1369.99</v>
      </c>
      <c r="D9" s="4" t="n">
        <v>1608.18</v>
      </c>
    </row>
    <row r="10">
      <c r="A10" s="4" t="n">
        <v>9</v>
      </c>
      <c r="B10" s="4" t="n">
        <v>1149</v>
      </c>
      <c r="C10" s="4" t="n">
        <v>1239.57</v>
      </c>
      <c r="D10" s="4" t="n">
        <v>1143.55</v>
      </c>
    </row>
    <row r="11">
      <c r="A11" s="4" t="n">
        <v>10</v>
      </c>
      <c r="B11" s="4" t="n">
        <v>1517.49</v>
      </c>
      <c r="C11" s="4" t="n">
        <v>1033.98</v>
      </c>
      <c r="D11" s="4" t="n">
        <v>1769.5</v>
      </c>
    </row>
    <row r="12">
      <c r="A12" s="4" t="n">
        <v>11</v>
      </c>
      <c r="B12" s="4" t="n">
        <v>1219.34</v>
      </c>
      <c r="C12" s="4" t="n">
        <v>1361.18</v>
      </c>
      <c r="D12" s="4" t="n">
        <v>1328.6</v>
      </c>
    </row>
    <row r="13">
      <c r="A13" s="4" t="n">
        <v>12</v>
      </c>
      <c r="B13" s="4" t="n">
        <v>986.02</v>
      </c>
      <c r="C13" s="4" t="n">
        <v>778.65</v>
      </c>
      <c r="D13" s="4" t="n">
        <v>1011.98</v>
      </c>
    </row>
    <row r="14">
      <c r="A14" s="4" t="n">
        <v>13</v>
      </c>
      <c r="B14" s="4" t="n">
        <v>2042.46</v>
      </c>
      <c r="C14" s="4" t="n">
        <v>1406.72</v>
      </c>
      <c r="D14" s="4" t="n">
        <v>1804.49</v>
      </c>
    </row>
    <row r="15">
      <c r="A15" s="4" t="n">
        <v>14</v>
      </c>
      <c r="B15" s="4" t="n">
        <v>1597.06</v>
      </c>
      <c r="C15" s="4" t="n">
        <v>1912.94</v>
      </c>
      <c r="D15" s="4" t="n">
        <v>1047.2</v>
      </c>
    </row>
    <row r="16">
      <c r="A16" s="4" t="n">
        <v>15</v>
      </c>
      <c r="B16" s="4" t="n">
        <v>770.12</v>
      </c>
      <c r="C16" s="4" t="n">
        <v>843.11</v>
      </c>
      <c r="D16" s="4" t="n">
        <v>778.6799999999999</v>
      </c>
    </row>
    <row r="17">
      <c r="A17" s="4" t="n">
        <v>16</v>
      </c>
      <c r="B17" s="4" t="n">
        <v>1644.47</v>
      </c>
      <c r="C17" s="4" t="n">
        <v>1700.2</v>
      </c>
      <c r="D17" s="4" t="n">
        <v>1865.82</v>
      </c>
    </row>
    <row r="18">
      <c r="A18" s="4" t="n">
        <v>17</v>
      </c>
      <c r="B18" s="4" t="n">
        <v>1307.06</v>
      </c>
      <c r="C18" s="4" t="n">
        <v>1304.48</v>
      </c>
      <c r="D18" s="4" t="n">
        <v>1335.13</v>
      </c>
    </row>
    <row r="19">
      <c r="A19" s="4" t="n">
        <v>18</v>
      </c>
      <c r="B19" s="4" t="n">
        <v>728.2</v>
      </c>
      <c r="C19" s="4" t="n">
        <v>794.9400000000001</v>
      </c>
      <c r="D19" s="4" t="n">
        <v>784.3</v>
      </c>
    </row>
    <row r="20">
      <c r="A20" s="4" t="n">
        <v>19</v>
      </c>
      <c r="B20" s="4" t="n">
        <v>1632.15</v>
      </c>
      <c r="C20" s="4" t="n">
        <v>2019.56</v>
      </c>
      <c r="D20" s="4" t="n">
        <v>1885.78</v>
      </c>
    </row>
    <row r="21">
      <c r="A21" s="4" t="n">
        <v>20</v>
      </c>
      <c r="B21" s="4" t="n">
        <v>1409.28</v>
      </c>
      <c r="C21" s="4" t="n">
        <v>1506.04</v>
      </c>
      <c r="D21" s="4" t="n">
        <v>1497.9</v>
      </c>
    </row>
    <row r="22">
      <c r="A22" s="4" t="n">
        <v>21</v>
      </c>
      <c r="B22" s="4" t="n">
        <v>972.59</v>
      </c>
      <c r="C22" s="4" t="n">
        <v>1168.97</v>
      </c>
      <c r="D22" s="4" t="n">
        <v>1197.18</v>
      </c>
    </row>
    <row r="23">
      <c r="A23" s="4" t="n">
        <v>22</v>
      </c>
      <c r="B23" s="4" t="n">
        <v>1378.54</v>
      </c>
      <c r="C23" s="4" t="n">
        <v>1459.59</v>
      </c>
      <c r="D23" s="4" t="n">
        <v>1541.74</v>
      </c>
    </row>
    <row r="24">
      <c r="A24" s="4" t="n">
        <v>23</v>
      </c>
      <c r="B24" s="4" t="n">
        <v>1175.7</v>
      </c>
      <c r="C24" s="4" t="n">
        <v>1481.67</v>
      </c>
      <c r="D24" s="4" t="n">
        <v>1302.23</v>
      </c>
    </row>
    <row r="25">
      <c r="A25" s="4" t="n">
        <v>24</v>
      </c>
      <c r="B25" s="4" t="n">
        <v>1077.84</v>
      </c>
      <c r="C25" s="4" t="n">
        <v>790.5599999999999</v>
      </c>
      <c r="D25" s="4" t="n">
        <v>742.03</v>
      </c>
    </row>
    <row r="26">
      <c r="A26" s="4" t="n">
        <v>25</v>
      </c>
      <c r="B26" s="4" t="n">
        <v>1787.29</v>
      </c>
      <c r="C26" s="4" t="n">
        <v>1823.25</v>
      </c>
      <c r="D26" s="4" t="n">
        <v>1895.32</v>
      </c>
    </row>
    <row r="27">
      <c r="A27" s="4" t="n">
        <v>26</v>
      </c>
      <c r="B27" s="4" t="n">
        <v>1443.58</v>
      </c>
      <c r="C27" s="4" t="n">
        <v>1070.89</v>
      </c>
      <c r="D27" s="4" t="n">
        <v>1268.47</v>
      </c>
    </row>
    <row r="28">
      <c r="A28" s="4" t="n">
        <v>27</v>
      </c>
      <c r="B28" s="4" t="n">
        <v>1029.43</v>
      </c>
      <c r="C28" s="4" t="n">
        <v>1058.82</v>
      </c>
      <c r="D28" s="4" t="n">
        <v>1061.17</v>
      </c>
    </row>
    <row r="29">
      <c r="A29" s="4" t="n">
        <v>28</v>
      </c>
      <c r="B29" s="4" t="n">
        <v>1971.27</v>
      </c>
      <c r="C29" s="4" t="n">
        <v>1756.69</v>
      </c>
      <c r="D29" s="4" t="n">
        <v>1413.94</v>
      </c>
    </row>
    <row r="30">
      <c r="A30" s="4" t="n">
        <v>29</v>
      </c>
      <c r="B30" s="4" t="n">
        <v>1405.7</v>
      </c>
      <c r="C30" s="4" t="n">
        <v>1610.95</v>
      </c>
      <c r="D30" s="4" t="n">
        <v>1477.02</v>
      </c>
    </row>
    <row r="31">
      <c r="A31" s="4" t="n">
        <v>30</v>
      </c>
      <c r="B31" s="4" t="n">
        <v>840.37</v>
      </c>
      <c r="C31" s="4" t="n">
        <v>906.8200000000001</v>
      </c>
      <c r="D31" s="4" t="n">
        <v>798.96</v>
      </c>
    </row>
    <row r="32">
      <c r="A32" s="4" t="n">
        <v>31</v>
      </c>
      <c r="B32" s="4" t="n">
        <v>2261.62</v>
      </c>
      <c r="C32" s="4" t="n">
        <v>2263.9</v>
      </c>
      <c r="D32" s="4" t="n">
        <v>2274.87</v>
      </c>
    </row>
    <row r="33">
      <c r="A33" s="4" t="n">
        <v>32</v>
      </c>
      <c r="B33" s="4" t="n">
        <v>1661.88</v>
      </c>
      <c r="C33" s="4" t="n">
        <v>1874.95</v>
      </c>
      <c r="D33" s="4" t="n">
        <v>1737.77</v>
      </c>
    </row>
    <row r="34">
      <c r="A34" s="4" t="n">
        <v>33</v>
      </c>
      <c r="B34" s="4" t="n">
        <v>815.5599999999999</v>
      </c>
      <c r="C34" s="4" t="n">
        <v>831.85</v>
      </c>
      <c r="D34" s="4" t="n">
        <v>737.15</v>
      </c>
    </row>
    <row r="35">
      <c r="A35" s="4" t="n">
        <v>34</v>
      </c>
      <c r="B35" s="4" t="n">
        <v>1459.09</v>
      </c>
      <c r="C35" s="4" t="n">
        <v>1507.05</v>
      </c>
      <c r="D35" s="4" t="n">
        <v>2101</v>
      </c>
    </row>
    <row r="36">
      <c r="A36" s="4" t="n">
        <v>35</v>
      </c>
      <c r="B36" s="4" t="n">
        <v>1252.49</v>
      </c>
      <c r="C36" s="4" t="n">
        <v>1289.27</v>
      </c>
      <c r="D36" s="4" t="n">
        <v>1374.44</v>
      </c>
    </row>
    <row r="37">
      <c r="A37" s="4" t="n">
        <v>36</v>
      </c>
      <c r="B37" s="4" t="n">
        <v>871.46</v>
      </c>
      <c r="C37" s="4" t="n">
        <v>1009.83</v>
      </c>
      <c r="D37" s="4" t="n">
        <v>817.29</v>
      </c>
    </row>
    <row r="38">
      <c r="A38" s="4" t="n">
        <v>37</v>
      </c>
      <c r="B38" s="4" t="n">
        <v>1677.3</v>
      </c>
      <c r="C38" s="4" t="n">
        <v>1742.01</v>
      </c>
      <c r="D38" s="4" t="n">
        <v>1795.37</v>
      </c>
    </row>
    <row r="39">
      <c r="A39" s="4" t="n">
        <v>38</v>
      </c>
      <c r="B39" s="4" t="n">
        <v>1278.99</v>
      </c>
      <c r="C39" s="4" t="n">
        <v>1388.81</v>
      </c>
      <c r="D39" s="4" t="n">
        <v>1255.02</v>
      </c>
    </row>
    <row r="40">
      <c r="A40" s="4" t="n">
        <v>39</v>
      </c>
      <c r="B40" s="4" t="n">
        <v>973.22</v>
      </c>
      <c r="C40" s="4" t="n">
        <v>1174.38</v>
      </c>
      <c r="D40" s="4" t="n">
        <v>1295.09</v>
      </c>
    </row>
    <row r="41">
      <c r="A41" s="4" t="n">
        <v>40</v>
      </c>
      <c r="B41" s="4" t="n">
        <v>1141.02</v>
      </c>
      <c r="C41" s="4" t="n">
        <v>1355.88</v>
      </c>
      <c r="D41" s="4" t="n">
        <v>1227.31</v>
      </c>
    </row>
    <row r="42">
      <c r="A42" s="4" t="n">
        <v>41</v>
      </c>
      <c r="B42" s="4" t="n">
        <v>1026.12</v>
      </c>
      <c r="C42" s="4" t="n">
        <v>1046.3</v>
      </c>
      <c r="D42" s="4" t="n">
        <v>1062.32</v>
      </c>
    </row>
    <row r="43">
      <c r="A43" s="4" t="n">
        <v>42</v>
      </c>
      <c r="B43" s="4" t="n">
        <v>452.15</v>
      </c>
      <c r="C43" s="4" t="n">
        <v>522.16</v>
      </c>
      <c r="D43" s="4" t="n">
        <v>604.11</v>
      </c>
    </row>
    <row r="44">
      <c r="A44" s="4" t="n">
        <v>43</v>
      </c>
      <c r="B44" s="4" t="n">
        <v>2263.47</v>
      </c>
      <c r="C44" s="4" t="n">
        <v>2288.06</v>
      </c>
      <c r="D44" s="4" t="n">
        <v>1159.47</v>
      </c>
    </row>
    <row r="45">
      <c r="A45" s="4" t="n">
        <v>44</v>
      </c>
      <c r="B45" s="4" t="n">
        <v>1503.28</v>
      </c>
      <c r="C45" s="4" t="n">
        <v>1704.43</v>
      </c>
      <c r="D45" s="4" t="n">
        <v>1731.19</v>
      </c>
    </row>
    <row r="46">
      <c r="A46" s="4" t="n">
        <v>45</v>
      </c>
      <c r="B46" s="4" t="n">
        <v>843.92</v>
      </c>
      <c r="C46" s="4" t="n">
        <v>867.22</v>
      </c>
      <c r="D46" s="4" t="n">
        <v>942.8</v>
      </c>
    </row>
    <row r="47">
      <c r="A47" s="4" t="n">
        <v>46</v>
      </c>
      <c r="B47" s="4" t="n">
        <v>1678.74</v>
      </c>
      <c r="C47" s="4" t="n">
        <v>804.3</v>
      </c>
      <c r="D47" s="4" t="n">
        <v>1793.23</v>
      </c>
    </row>
    <row r="48">
      <c r="A48" s="4" t="n">
        <v>47</v>
      </c>
      <c r="B48" s="4" t="n">
        <v>1327.3</v>
      </c>
      <c r="C48" s="4" t="n">
        <v>1227.72</v>
      </c>
      <c r="D48" s="4" t="n">
        <v>1438.62</v>
      </c>
    </row>
    <row r="49">
      <c r="A49" s="4" t="n">
        <v>48</v>
      </c>
      <c r="B49" s="4" t="n">
        <v>928.95</v>
      </c>
      <c r="C49" s="4" t="n">
        <v>1028.31</v>
      </c>
      <c r="D49" s="4" t="n">
        <v>881.97</v>
      </c>
    </row>
    <row r="50">
      <c r="A50" s="4" t="n">
        <v>49</v>
      </c>
      <c r="B50" s="4" t="n">
        <v>1608.94</v>
      </c>
      <c r="C50" s="4" t="n">
        <v>1682.05</v>
      </c>
      <c r="D50" s="4" t="n">
        <v>1496.8</v>
      </c>
    </row>
    <row r="51">
      <c r="A51" s="4" t="n">
        <v>50</v>
      </c>
      <c r="B51" s="4" t="n">
        <v>1011.56</v>
      </c>
      <c r="C51" s="4" t="n">
        <v>846.17</v>
      </c>
      <c r="D51" s="4" t="n">
        <v>1256.47</v>
      </c>
    </row>
    <row r="52">
      <c r="A52" s="4" t="n">
        <v>51</v>
      </c>
      <c r="B52" s="4" t="n">
        <v>831.3200000000001</v>
      </c>
      <c r="C52" s="4" t="n">
        <v>825.25</v>
      </c>
      <c r="D52" s="4" t="n">
        <v>841.99</v>
      </c>
    </row>
    <row r="53">
      <c r="A53" s="4" t="n">
        <v>52</v>
      </c>
      <c r="B53" s="4" t="n">
        <v>1227.08</v>
      </c>
      <c r="C53" s="4" t="n">
        <v>1424.09</v>
      </c>
      <c r="D53" s="4" t="n">
        <v>1212.75</v>
      </c>
    </row>
    <row r="54">
      <c r="A54" s="4" t="n">
        <v>53</v>
      </c>
      <c r="B54" s="4" t="n">
        <v>907.92</v>
      </c>
      <c r="C54" s="4" t="n">
        <v>1010.58</v>
      </c>
      <c r="D54" s="4" t="n">
        <v>1224.47</v>
      </c>
    </row>
    <row r="55">
      <c r="A55" s="4" t="n">
        <v>54</v>
      </c>
      <c r="B55" s="4" t="n">
        <v>863.01</v>
      </c>
      <c r="C55" s="4" t="n">
        <v>973.34</v>
      </c>
      <c r="D55" s="4" t="n">
        <v>888.96</v>
      </c>
    </row>
    <row r="56">
      <c r="A56" s="4" t="n">
        <v>55</v>
      </c>
      <c r="B56" s="4" t="n">
        <v>1659.49</v>
      </c>
      <c r="C56" s="4" t="n">
        <v>1453.88</v>
      </c>
      <c r="D56" s="4" t="n">
        <v>1867.96</v>
      </c>
    </row>
    <row r="57">
      <c r="A57" s="4" t="n">
        <v>56</v>
      </c>
      <c r="B57" s="4" t="n">
        <v>1505.04</v>
      </c>
      <c r="C57" s="4" t="n">
        <v>809.33</v>
      </c>
      <c r="D57" s="4" t="n">
        <v>1416.41</v>
      </c>
    </row>
    <row r="58">
      <c r="A58" s="4" t="n">
        <v>57</v>
      </c>
      <c r="B58" s="4" t="n">
        <v>1048.13</v>
      </c>
      <c r="C58" s="4" t="n">
        <v>1112.04</v>
      </c>
      <c r="D58" s="4" t="n">
        <v>1091.49</v>
      </c>
    </row>
    <row r="59">
      <c r="A59" s="4" t="n">
        <v>58</v>
      </c>
      <c r="B59" s="4" t="n">
        <v>1961.25</v>
      </c>
      <c r="C59" s="4" t="n">
        <v>1473.24</v>
      </c>
      <c r="D59" s="4" t="n">
        <v>1687.62</v>
      </c>
    </row>
    <row r="60">
      <c r="A60" s="4" t="n">
        <v>59</v>
      </c>
      <c r="B60" s="4" t="n">
        <v>1732.04</v>
      </c>
      <c r="C60" s="4" t="n">
        <v>1875.65</v>
      </c>
      <c r="D60" s="4" t="n">
        <v>1088.03</v>
      </c>
    </row>
    <row r="61">
      <c r="A61" s="4" t="n">
        <v>60</v>
      </c>
      <c r="B61" s="4" t="n">
        <v>1049.26</v>
      </c>
      <c r="C61" s="4" t="n">
        <v>864.17</v>
      </c>
      <c r="D61" s="4" t="n">
        <v>1105.01</v>
      </c>
    </row>
    <row r="62">
      <c r="A62" s="4" t="n">
        <v>61</v>
      </c>
      <c r="B62" s="4" t="n"/>
      <c r="C62" s="4" t="n"/>
      <c r="D62" s="4" t="n"/>
    </row>
    <row r="63">
      <c r="A63" s="4" t="n">
        <v>62</v>
      </c>
      <c r="B63" s="4" t="n"/>
      <c r="C63" s="4" t="n"/>
      <c r="D63" s="4" t="n"/>
    </row>
    <row r="64">
      <c r="A64" s="4" t="n">
        <v>63</v>
      </c>
      <c r="B64" s="4" t="n"/>
      <c r="C64" s="4" t="n"/>
      <c r="D64" s="4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韧皮部长度1</t>
        </is>
      </c>
      <c r="C1" s="4" t="inlineStr">
        <is>
          <t>韧皮部长度2</t>
        </is>
      </c>
      <c r="D1" s="4" t="inlineStr">
        <is>
          <t>韧皮部长度3</t>
        </is>
      </c>
    </row>
    <row r="2">
      <c r="A2" s="4" t="n">
        <v>1</v>
      </c>
      <c r="B2" s="4" t="n">
        <v>241.11</v>
      </c>
      <c r="C2" s="4" t="n">
        <v>278.26</v>
      </c>
      <c r="D2" s="4" t="n">
        <v>276.89</v>
      </c>
    </row>
    <row r="3">
      <c r="A3" s="4" t="n">
        <v>2</v>
      </c>
      <c r="B3" s="4" t="n">
        <v>235.55</v>
      </c>
      <c r="C3" s="4" t="n">
        <v>208.85</v>
      </c>
      <c r="D3" s="4" t="n">
        <v>224.58</v>
      </c>
    </row>
    <row r="4">
      <c r="A4" s="4" t="n">
        <v>3</v>
      </c>
      <c r="B4" s="4" t="n">
        <v>187.67</v>
      </c>
      <c r="C4" s="4" t="n">
        <v>208.49</v>
      </c>
      <c r="D4" s="4" t="n">
        <v>235.56</v>
      </c>
    </row>
    <row r="5">
      <c r="A5" s="4" t="n">
        <v>4</v>
      </c>
      <c r="B5" s="4" t="n">
        <v>298.12</v>
      </c>
      <c r="C5" s="4" t="n">
        <v>308.84</v>
      </c>
      <c r="D5" s="4" t="n">
        <v>316.71</v>
      </c>
    </row>
    <row r="6">
      <c r="A6" s="4" t="n">
        <v>5</v>
      </c>
      <c r="B6" s="4" t="n">
        <v>276.54</v>
      </c>
      <c r="C6" s="4" t="n">
        <v>317.41</v>
      </c>
      <c r="D6" s="4" t="n">
        <v>300.58</v>
      </c>
    </row>
    <row r="7">
      <c r="A7" s="4" t="n">
        <v>6</v>
      </c>
      <c r="B7" s="4" t="n">
        <v>231.88</v>
      </c>
      <c r="C7" s="4" t="n">
        <v>278.47</v>
      </c>
      <c r="D7" s="4" t="n">
        <v>260.71</v>
      </c>
    </row>
    <row r="8">
      <c r="A8" s="4" t="n">
        <v>7</v>
      </c>
      <c r="B8" s="4" t="n">
        <v>288.62</v>
      </c>
      <c r="C8" s="4" t="n">
        <v>270.4</v>
      </c>
      <c r="D8" s="4" t="n">
        <v>316.15</v>
      </c>
    </row>
    <row r="9">
      <c r="A9" s="4" t="n">
        <v>8</v>
      </c>
      <c r="B9" s="4" t="n">
        <v>224.43</v>
      </c>
      <c r="C9" s="4" t="n">
        <v>282.76</v>
      </c>
      <c r="D9" s="4" t="n">
        <v>245.36</v>
      </c>
    </row>
    <row r="10">
      <c r="A10" s="4" t="n">
        <v>9</v>
      </c>
      <c r="B10" s="4" t="n">
        <v>277.55</v>
      </c>
      <c r="C10" s="4" t="n">
        <v>287.54</v>
      </c>
      <c r="D10" s="4" t="n">
        <v>295.8</v>
      </c>
    </row>
    <row r="11">
      <c r="A11" s="4" t="n">
        <v>10</v>
      </c>
      <c r="B11" s="4" t="n">
        <v>282.57</v>
      </c>
      <c r="C11" s="4" t="n">
        <v>315.3</v>
      </c>
      <c r="D11" s="4" t="n">
        <v>300.88</v>
      </c>
    </row>
    <row r="12">
      <c r="A12" s="4" t="n">
        <v>11</v>
      </c>
      <c r="B12" s="4" t="n">
        <v>235.96</v>
      </c>
      <c r="C12" s="4" t="n">
        <v>272.73</v>
      </c>
      <c r="D12" s="4" t="n">
        <v>250.14</v>
      </c>
    </row>
    <row r="13">
      <c r="A13" s="4" t="n">
        <v>12</v>
      </c>
      <c r="B13" s="4" t="n">
        <v>225.1</v>
      </c>
      <c r="C13" s="4" t="n">
        <v>220.69</v>
      </c>
      <c r="D13" s="4" t="n">
        <v>218.33</v>
      </c>
    </row>
    <row r="14">
      <c r="A14" s="4" t="n">
        <v>13</v>
      </c>
      <c r="B14" s="4" t="n">
        <v>398.47</v>
      </c>
      <c r="C14" s="4" t="n">
        <v>431.89</v>
      </c>
      <c r="D14" s="4" t="n">
        <v>566.53</v>
      </c>
    </row>
    <row r="15">
      <c r="A15" s="4" t="n">
        <v>14</v>
      </c>
      <c r="B15" s="4" t="n">
        <v>350.55</v>
      </c>
      <c r="C15" s="4" t="n">
        <v>374.86</v>
      </c>
      <c r="D15" s="4" t="n">
        <v>364.61</v>
      </c>
    </row>
    <row r="16">
      <c r="A16" s="4" t="n">
        <v>15</v>
      </c>
      <c r="B16" s="4" t="n">
        <v>204.21</v>
      </c>
      <c r="C16" s="4" t="n">
        <v>228.5</v>
      </c>
      <c r="D16" s="4" t="n">
        <v>199.51</v>
      </c>
    </row>
    <row r="17">
      <c r="A17" s="4" t="n">
        <v>16</v>
      </c>
      <c r="B17" s="4" t="n">
        <v>285.73</v>
      </c>
      <c r="C17" s="4" t="n">
        <v>284.13</v>
      </c>
      <c r="D17" s="4" t="n">
        <v>333.64</v>
      </c>
    </row>
    <row r="18">
      <c r="A18" s="4" t="n">
        <v>17</v>
      </c>
      <c r="B18" s="4" t="n">
        <v>260.76</v>
      </c>
      <c r="C18" s="4" t="n">
        <v>248.21</v>
      </c>
      <c r="D18" s="4" t="n">
        <v>261.13</v>
      </c>
    </row>
    <row r="19">
      <c r="A19" s="4" t="n">
        <v>18</v>
      </c>
      <c r="B19" s="4" t="n">
        <v>175.73</v>
      </c>
      <c r="C19" s="4" t="n">
        <v>199.32</v>
      </c>
      <c r="D19" s="4" t="n">
        <v>201.84</v>
      </c>
    </row>
    <row r="20">
      <c r="A20" s="4" t="n">
        <v>19</v>
      </c>
      <c r="B20" s="4" t="n">
        <v>325.47</v>
      </c>
      <c r="C20" s="4" t="n">
        <v>389.29</v>
      </c>
      <c r="D20" s="4" t="n">
        <v>392.38</v>
      </c>
    </row>
    <row r="21">
      <c r="A21" s="4" t="n">
        <v>20</v>
      </c>
      <c r="B21" s="4" t="n">
        <v>307.99</v>
      </c>
      <c r="C21" s="4" t="n">
        <v>302.17</v>
      </c>
      <c r="D21" s="4" t="n">
        <v>319.43</v>
      </c>
    </row>
    <row r="22">
      <c r="A22" s="4" t="n">
        <v>21</v>
      </c>
      <c r="B22" s="4" t="n">
        <v>233.18</v>
      </c>
      <c r="C22" s="4" t="n">
        <v>227.94</v>
      </c>
      <c r="D22" s="4" t="n">
        <v>256.07</v>
      </c>
    </row>
    <row r="23">
      <c r="A23" s="4" t="n">
        <v>22</v>
      </c>
      <c r="B23" s="4" t="n">
        <v>255.64</v>
      </c>
      <c r="C23" s="4" t="n">
        <v>259.71</v>
      </c>
      <c r="D23" s="4" t="n">
        <v>298.02</v>
      </c>
    </row>
    <row r="24">
      <c r="A24" s="4" t="n">
        <v>23</v>
      </c>
      <c r="B24" s="4" t="n">
        <v>221.17</v>
      </c>
      <c r="C24" s="4" t="n">
        <v>277.21</v>
      </c>
      <c r="D24" s="4" t="n">
        <v>259.87</v>
      </c>
    </row>
    <row r="25">
      <c r="A25" s="4" t="n">
        <v>24</v>
      </c>
      <c r="B25" s="4" t="n">
        <v>221.22</v>
      </c>
      <c r="C25" s="4" t="n">
        <v>239.18</v>
      </c>
      <c r="D25" s="4" t="n">
        <v>194.35</v>
      </c>
    </row>
    <row r="26">
      <c r="A26" s="4" t="n">
        <v>25</v>
      </c>
      <c r="B26" s="4" t="n">
        <v>381.9</v>
      </c>
      <c r="C26" s="4" t="n">
        <v>424.39</v>
      </c>
      <c r="D26" s="4" t="n">
        <v>433.21</v>
      </c>
    </row>
    <row r="27">
      <c r="A27" s="4" t="n">
        <v>26</v>
      </c>
      <c r="B27" s="4" t="n">
        <v>269.24</v>
      </c>
      <c r="C27" s="4" t="n">
        <v>307.99</v>
      </c>
      <c r="D27" s="4" t="n">
        <v>263.23</v>
      </c>
    </row>
    <row r="28">
      <c r="A28" s="4" t="n">
        <v>27</v>
      </c>
      <c r="B28" s="4" t="n">
        <v>229.73</v>
      </c>
      <c r="C28" s="4" t="n">
        <v>282.42</v>
      </c>
      <c r="D28" s="4" t="n">
        <v>258.31</v>
      </c>
    </row>
    <row r="29">
      <c r="A29" s="4" t="n">
        <v>28</v>
      </c>
      <c r="B29" s="4" t="n">
        <v>378.84</v>
      </c>
      <c r="C29" s="4" t="n">
        <v>436.46</v>
      </c>
      <c r="D29" s="4" t="n">
        <v>443.6</v>
      </c>
    </row>
    <row r="30">
      <c r="A30" s="4" t="n">
        <v>29</v>
      </c>
      <c r="B30" s="4" t="n">
        <v>379.6</v>
      </c>
      <c r="C30" s="4" t="n">
        <v>349.29</v>
      </c>
      <c r="D30" s="4" t="n">
        <v>337.12</v>
      </c>
    </row>
    <row r="31">
      <c r="A31" s="4" t="n">
        <v>30</v>
      </c>
      <c r="B31" s="4" t="n">
        <v>265.44</v>
      </c>
      <c r="C31" s="4" t="n">
        <v>299.61</v>
      </c>
      <c r="D31" s="4" t="n">
        <v>275.15</v>
      </c>
    </row>
    <row r="32">
      <c r="A32" s="4" t="n">
        <v>31</v>
      </c>
      <c r="B32" s="4" t="n">
        <v>361.68</v>
      </c>
      <c r="C32" s="4" t="n">
        <v>371.6</v>
      </c>
      <c r="D32" s="4" t="n">
        <v>360.95</v>
      </c>
    </row>
    <row r="33">
      <c r="A33" s="4" t="n">
        <v>32</v>
      </c>
      <c r="B33" s="4" t="n">
        <v>332.69</v>
      </c>
      <c r="C33" s="4" t="n">
        <v>324.51</v>
      </c>
      <c r="D33" s="4" t="n">
        <v>336.58</v>
      </c>
    </row>
    <row r="34">
      <c r="A34" s="4" t="n">
        <v>33</v>
      </c>
      <c r="B34" s="4" t="n">
        <v>234.58</v>
      </c>
      <c r="C34" s="4" t="n">
        <v>251.05</v>
      </c>
      <c r="D34" s="4" t="n">
        <v>239.81</v>
      </c>
    </row>
    <row r="35">
      <c r="A35" s="4" t="n">
        <v>34</v>
      </c>
      <c r="B35" s="4" t="n">
        <v>255.32</v>
      </c>
      <c r="C35" s="4" t="n">
        <v>286.25</v>
      </c>
      <c r="D35" s="4" t="n">
        <v>433.48</v>
      </c>
    </row>
    <row r="36">
      <c r="A36" s="4" t="n">
        <v>35</v>
      </c>
      <c r="B36" s="4" t="n">
        <v>257.99</v>
      </c>
      <c r="C36" s="4" t="n">
        <v>264.67</v>
      </c>
      <c r="D36" s="4" t="n">
        <v>255.21</v>
      </c>
    </row>
    <row r="37">
      <c r="A37" s="4" t="n">
        <v>36</v>
      </c>
      <c r="B37" s="4" t="n">
        <v>225.52</v>
      </c>
      <c r="C37" s="4" t="n">
        <v>220.7</v>
      </c>
      <c r="D37" s="4" t="n">
        <v>239.99</v>
      </c>
    </row>
    <row r="38">
      <c r="A38" s="4" t="n">
        <v>37</v>
      </c>
      <c r="B38" s="4" t="n">
        <v>373.1</v>
      </c>
      <c r="C38" s="4" t="n">
        <v>374.56</v>
      </c>
      <c r="D38" s="4" t="n">
        <v>289.18</v>
      </c>
    </row>
    <row r="39">
      <c r="A39" s="4" t="n">
        <v>38</v>
      </c>
      <c r="B39" s="4" t="n">
        <v>250.97</v>
      </c>
      <c r="C39" s="4" t="n">
        <v>319.13</v>
      </c>
      <c r="D39" s="4" t="n">
        <v>274.9</v>
      </c>
    </row>
    <row r="40">
      <c r="A40" s="4" t="n">
        <v>39</v>
      </c>
      <c r="B40" s="4" t="n">
        <v>251.61</v>
      </c>
      <c r="C40" s="4" t="n">
        <v>297.66</v>
      </c>
      <c r="D40" s="4" t="n">
        <v>273.33</v>
      </c>
    </row>
    <row r="41">
      <c r="A41" s="4" t="n">
        <v>40</v>
      </c>
      <c r="B41" s="4" t="n">
        <v>326.18</v>
      </c>
      <c r="C41" s="4" t="n">
        <v>341.04</v>
      </c>
      <c r="D41" s="4" t="n">
        <v>304.4</v>
      </c>
    </row>
    <row r="42">
      <c r="A42" s="4" t="n">
        <v>41</v>
      </c>
      <c r="B42" s="4" t="n">
        <v>222.85</v>
      </c>
      <c r="C42" s="4" t="n">
        <v>264.54</v>
      </c>
      <c r="D42" s="4" t="n">
        <v>301.58</v>
      </c>
    </row>
    <row r="43">
      <c r="A43" s="4" t="n">
        <v>42</v>
      </c>
      <c r="B43" s="4" t="n">
        <v>173.25</v>
      </c>
      <c r="C43" s="4" t="n">
        <v>200.66</v>
      </c>
      <c r="D43" s="4" t="n">
        <v>201.89</v>
      </c>
    </row>
    <row r="44">
      <c r="A44" s="4" t="n">
        <v>43</v>
      </c>
      <c r="B44" s="4" t="n">
        <v>438.04</v>
      </c>
      <c r="C44" s="4" t="n">
        <v>512.03</v>
      </c>
      <c r="D44" s="4" t="n">
        <v>461.15</v>
      </c>
    </row>
    <row r="45">
      <c r="A45" s="4" t="n">
        <v>44</v>
      </c>
      <c r="B45" s="4" t="n">
        <v>366.42</v>
      </c>
      <c r="C45" s="4" t="n">
        <v>392.34</v>
      </c>
      <c r="D45" s="4" t="n">
        <v>360.42</v>
      </c>
    </row>
    <row r="46">
      <c r="A46" s="4" t="n">
        <v>45</v>
      </c>
      <c r="B46" s="4" t="n">
        <v>285.69</v>
      </c>
      <c r="C46" s="4" t="n">
        <v>300.35</v>
      </c>
      <c r="D46" s="4" t="n">
        <v>244.14</v>
      </c>
    </row>
    <row r="47">
      <c r="A47" s="4" t="n">
        <v>46</v>
      </c>
      <c r="B47" s="4" t="n">
        <v>416.02</v>
      </c>
      <c r="C47" s="4" t="n">
        <v>374.6</v>
      </c>
      <c r="D47" s="4" t="n">
        <v>438.8</v>
      </c>
    </row>
    <row r="48">
      <c r="A48" s="4" t="n">
        <v>47</v>
      </c>
      <c r="B48" s="4" t="n">
        <v>357.38</v>
      </c>
      <c r="C48" s="4" t="n">
        <v>410.69</v>
      </c>
      <c r="D48" s="4" t="n">
        <v>355.25</v>
      </c>
    </row>
    <row r="49">
      <c r="A49" s="4" t="n">
        <v>48</v>
      </c>
      <c r="B49" s="4" t="n">
        <v>347.81</v>
      </c>
      <c r="C49" s="4" t="n">
        <v>401.28</v>
      </c>
      <c r="D49" s="4" t="n">
        <v>345.11</v>
      </c>
    </row>
    <row r="50">
      <c r="A50" s="4" t="n">
        <v>49</v>
      </c>
      <c r="B50" s="4" t="n">
        <v>419.82</v>
      </c>
      <c r="C50" s="4" t="n">
        <v>480.69</v>
      </c>
      <c r="D50" s="4" t="n">
        <v>394.6</v>
      </c>
    </row>
    <row r="51">
      <c r="A51" s="4" t="n">
        <v>50</v>
      </c>
      <c r="B51" s="4" t="n">
        <v>310.72</v>
      </c>
      <c r="C51" s="4" t="n">
        <v>317.24</v>
      </c>
      <c r="D51" s="4" t="n">
        <v>307.93</v>
      </c>
    </row>
    <row r="52">
      <c r="A52" s="4" t="n">
        <v>51</v>
      </c>
      <c r="B52" s="4" t="n">
        <v>240.94</v>
      </c>
      <c r="C52" s="4" t="n">
        <v>277.34</v>
      </c>
      <c r="D52" s="4" t="n">
        <v>281.26</v>
      </c>
    </row>
    <row r="53">
      <c r="A53" s="4" t="n">
        <v>52</v>
      </c>
      <c r="B53" s="4" t="n">
        <v>275.82</v>
      </c>
      <c r="C53" s="4" t="n">
        <v>337.08</v>
      </c>
      <c r="D53" s="4" t="n">
        <v>294.29</v>
      </c>
    </row>
    <row r="54">
      <c r="A54" s="4" t="n">
        <v>53</v>
      </c>
      <c r="B54" s="4" t="n">
        <v>236.18</v>
      </c>
      <c r="C54" s="4" t="n">
        <v>255.44</v>
      </c>
      <c r="D54" s="4" t="n">
        <v>241.09</v>
      </c>
    </row>
    <row r="55">
      <c r="A55" s="4" t="n">
        <v>54</v>
      </c>
      <c r="B55" s="4" t="n">
        <v>208.77</v>
      </c>
      <c r="C55" s="4" t="n">
        <v>233.19</v>
      </c>
      <c r="D55" s="4" t="n">
        <v>205.03</v>
      </c>
    </row>
    <row r="56">
      <c r="A56" s="4" t="n">
        <v>55</v>
      </c>
      <c r="B56" s="4" t="n">
        <v>371.29</v>
      </c>
      <c r="C56" s="4" t="n">
        <v>407.68</v>
      </c>
      <c r="D56" s="4" t="n">
        <v>381.98</v>
      </c>
    </row>
    <row r="57">
      <c r="A57" s="4" t="n">
        <v>56</v>
      </c>
      <c r="B57" s="4" t="n">
        <v>336.33</v>
      </c>
      <c r="C57" s="4" t="n">
        <v>297.29</v>
      </c>
      <c r="D57" s="4" t="n">
        <v>370.57</v>
      </c>
    </row>
    <row r="58">
      <c r="A58" s="4" t="n">
        <v>57</v>
      </c>
      <c r="B58" s="4" t="n">
        <v>239.13</v>
      </c>
      <c r="C58" s="4" t="n">
        <v>258.06</v>
      </c>
      <c r="D58" s="4" t="n">
        <v>293.35</v>
      </c>
    </row>
    <row r="59">
      <c r="A59" s="4" t="n">
        <v>58</v>
      </c>
      <c r="B59" s="4" t="n">
        <v>321.78</v>
      </c>
      <c r="C59" s="4" t="n">
        <v>348.74</v>
      </c>
      <c r="D59" s="4" t="n">
        <v>344.33</v>
      </c>
    </row>
    <row r="60">
      <c r="A60" s="4" t="n">
        <v>59</v>
      </c>
      <c r="B60" s="4" t="n">
        <v>372.46</v>
      </c>
      <c r="C60" s="4" t="n">
        <v>330.11</v>
      </c>
      <c r="D60" s="4" t="n">
        <v>398.92</v>
      </c>
    </row>
    <row r="61">
      <c r="A61" s="4" t="n">
        <v>60</v>
      </c>
      <c r="B61" s="4" t="n">
        <v>266.39</v>
      </c>
      <c r="C61" s="4" t="n">
        <v>275.72</v>
      </c>
      <c r="D61" s="4" t="n">
        <v>265.49</v>
      </c>
    </row>
    <row r="62">
      <c r="A62" s="4" t="n">
        <v>61</v>
      </c>
      <c r="B62" s="4" t="n"/>
      <c r="C62" s="4" t="n"/>
      <c r="D62" s="4" t="n"/>
    </row>
    <row r="63">
      <c r="A63" s="4" t="n">
        <v>62</v>
      </c>
      <c r="B63" s="4" t="n"/>
      <c r="C63" s="4" t="n"/>
      <c r="D63" s="4" t="n"/>
    </row>
    <row r="64">
      <c r="A64" s="4" t="n">
        <v>63</v>
      </c>
      <c r="B64" s="4" t="n"/>
      <c r="C64" s="4" t="n"/>
      <c r="D64" s="4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H18" sqref="H18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皮层长度1</t>
        </is>
      </c>
      <c r="C1" s="4" t="inlineStr">
        <is>
          <t>皮层长度2</t>
        </is>
      </c>
      <c r="D1" s="4" t="inlineStr">
        <is>
          <t>皮层长度3</t>
        </is>
      </c>
    </row>
    <row r="2">
      <c r="A2" s="4" t="n">
        <v>1</v>
      </c>
      <c r="B2" s="4" t="n">
        <v>212.54</v>
      </c>
      <c r="C2" s="4" t="n">
        <v>80.62</v>
      </c>
      <c r="D2" s="4" t="n">
        <v>88.95</v>
      </c>
    </row>
    <row r="3">
      <c r="A3" s="4" t="n">
        <v>2</v>
      </c>
      <c r="B3" s="4" t="n">
        <v>72.78</v>
      </c>
      <c r="C3" s="4" t="n">
        <v>90.37</v>
      </c>
      <c r="D3" s="4" t="n">
        <v>75.20999999999999</v>
      </c>
    </row>
    <row r="4">
      <c r="A4" s="4" t="n">
        <v>3</v>
      </c>
      <c r="B4" s="4" t="n">
        <v>119.19</v>
      </c>
      <c r="C4" s="4" t="n">
        <v>193.62</v>
      </c>
      <c r="D4" s="4" t="n">
        <v>58.85</v>
      </c>
    </row>
    <row r="5">
      <c r="A5" s="4" t="n">
        <v>4</v>
      </c>
      <c r="B5" s="4" t="n">
        <v>93.28</v>
      </c>
      <c r="C5" s="4" t="n">
        <v>90.67</v>
      </c>
      <c r="D5" s="4" t="n">
        <v>106.58</v>
      </c>
    </row>
    <row r="6">
      <c r="A6" s="4" t="n">
        <v>5</v>
      </c>
      <c r="B6" s="4" t="n">
        <v>75.8</v>
      </c>
      <c r="C6" s="4" t="n">
        <v>83.18000000000001</v>
      </c>
      <c r="D6" s="4" t="n">
        <v>72.06999999999999</v>
      </c>
    </row>
    <row r="7">
      <c r="A7" s="4" t="n">
        <v>6</v>
      </c>
      <c r="B7" s="4" t="n">
        <v>50.46</v>
      </c>
      <c r="C7" s="4" t="n">
        <v>56.22</v>
      </c>
      <c r="D7" s="4" t="n">
        <v>55.71</v>
      </c>
    </row>
    <row r="8">
      <c r="A8" s="4" t="n">
        <v>7</v>
      </c>
      <c r="B8" s="4" t="n">
        <v>164.16</v>
      </c>
      <c r="C8" s="4" t="n">
        <v>75.91</v>
      </c>
      <c r="D8" s="4" t="n">
        <v>114.04</v>
      </c>
    </row>
    <row r="9">
      <c r="A9" s="4" t="n">
        <v>8</v>
      </c>
      <c r="B9" s="4" t="n">
        <v>173.79</v>
      </c>
      <c r="C9" s="4" t="n">
        <v>86.98999999999999</v>
      </c>
      <c r="D9" s="4" t="n">
        <v>97.55</v>
      </c>
    </row>
    <row r="10">
      <c r="A10" s="4" t="n">
        <v>9</v>
      </c>
      <c r="B10" s="4" t="n">
        <v>108.75</v>
      </c>
      <c r="C10" s="4" t="n">
        <v>80.37</v>
      </c>
      <c r="D10" s="4" t="n">
        <v>75.75</v>
      </c>
    </row>
    <row r="11">
      <c r="A11" s="4" t="n">
        <v>10</v>
      </c>
      <c r="B11" s="4" t="n">
        <v>160.07</v>
      </c>
      <c r="C11" s="4" t="n">
        <v>71.01000000000001</v>
      </c>
      <c r="D11" s="4" t="n">
        <v>108.97</v>
      </c>
    </row>
    <row r="12">
      <c r="A12" s="4" t="n">
        <v>11</v>
      </c>
      <c r="B12" s="4" t="n">
        <v>76.59</v>
      </c>
      <c r="C12" s="4" t="n">
        <v>88.31</v>
      </c>
      <c r="D12" s="4" t="n">
        <v>83.09</v>
      </c>
    </row>
    <row r="13">
      <c r="A13" s="4" t="n">
        <v>12</v>
      </c>
      <c r="B13" s="4" t="n">
        <v>82.72</v>
      </c>
      <c r="C13" s="4" t="n">
        <v>52.6</v>
      </c>
      <c r="D13" s="4" t="n">
        <v>91.55</v>
      </c>
    </row>
    <row r="14">
      <c r="A14" s="4" t="n">
        <v>13</v>
      </c>
      <c r="B14" s="4" t="n">
        <v>330.14</v>
      </c>
      <c r="C14" s="4" t="n">
        <v>96.77</v>
      </c>
      <c r="D14" s="4" t="n">
        <v>124.79</v>
      </c>
    </row>
    <row r="15">
      <c r="A15" s="4" t="n">
        <v>14</v>
      </c>
      <c r="B15" s="4" t="n">
        <v>102.51</v>
      </c>
      <c r="C15" s="4" t="n">
        <v>120.41</v>
      </c>
      <c r="D15" s="4" t="n">
        <v>74.31</v>
      </c>
    </row>
    <row r="16">
      <c r="A16" s="4" t="n">
        <v>15</v>
      </c>
      <c r="B16" s="4" t="n">
        <v>82.62</v>
      </c>
      <c r="C16" s="4" t="n">
        <v>56.4</v>
      </c>
      <c r="D16" s="4" t="n">
        <v>68.91</v>
      </c>
    </row>
    <row r="17">
      <c r="A17" s="4" t="n">
        <v>16</v>
      </c>
      <c r="B17" s="4" t="n">
        <v>188.25</v>
      </c>
      <c r="C17" s="4" t="n">
        <v>104.44</v>
      </c>
      <c r="D17" s="4" t="n">
        <v>115.76</v>
      </c>
    </row>
    <row r="18">
      <c r="A18" s="4" t="n">
        <v>17</v>
      </c>
      <c r="B18" s="4" t="n">
        <v>82.52</v>
      </c>
      <c r="C18" s="4" t="n">
        <v>132.09</v>
      </c>
      <c r="D18" s="4" t="n">
        <v>124.75</v>
      </c>
    </row>
    <row r="19">
      <c r="A19" s="4" t="n">
        <v>18</v>
      </c>
      <c r="B19" s="4" t="n">
        <v>55.07</v>
      </c>
      <c r="C19" s="4" t="n">
        <v>82.43000000000001</v>
      </c>
      <c r="D19" s="4" t="n">
        <v>51.9</v>
      </c>
    </row>
    <row r="20">
      <c r="A20" s="4" t="n">
        <v>19</v>
      </c>
      <c r="B20" s="4" t="n">
        <v>135.77</v>
      </c>
      <c r="C20" s="4" t="n">
        <v>126.78</v>
      </c>
      <c r="D20" s="4" t="n">
        <v>119.9</v>
      </c>
    </row>
    <row r="21">
      <c r="A21" s="4" t="n">
        <v>20</v>
      </c>
      <c r="B21" s="4" t="n">
        <v>147.19</v>
      </c>
      <c r="C21" s="4" t="n">
        <v>95.17</v>
      </c>
      <c r="D21" s="4" t="n">
        <v>178.44</v>
      </c>
    </row>
    <row r="22">
      <c r="A22" s="4" t="n">
        <v>21</v>
      </c>
      <c r="B22" s="4" t="n">
        <v>232.72</v>
      </c>
      <c r="C22" s="4" t="n">
        <v>108.53</v>
      </c>
      <c r="D22" s="4" t="n">
        <v>76.48999999999999</v>
      </c>
    </row>
    <row r="23">
      <c r="A23" s="4" t="n">
        <v>22</v>
      </c>
      <c r="B23" s="4" t="n">
        <v>147.15</v>
      </c>
      <c r="C23" s="4" t="n">
        <v>90.48999999999999</v>
      </c>
      <c r="D23" s="4" t="n">
        <v>96.83</v>
      </c>
    </row>
    <row r="24">
      <c r="A24" s="4" t="n">
        <v>23</v>
      </c>
      <c r="B24" s="4" t="n">
        <v>73.52</v>
      </c>
      <c r="C24" s="4" t="n">
        <v>92.56999999999999</v>
      </c>
      <c r="D24" s="4" t="n">
        <v>82.22</v>
      </c>
    </row>
    <row r="25">
      <c r="A25" s="4" t="n">
        <v>24</v>
      </c>
      <c r="B25" s="4" t="n">
        <v>203.22</v>
      </c>
      <c r="C25" s="4" t="n">
        <v>54.2</v>
      </c>
      <c r="D25" s="4" t="n">
        <v>49.28</v>
      </c>
    </row>
    <row r="26">
      <c r="A26" s="4" t="n">
        <v>25</v>
      </c>
      <c r="B26" s="4" t="n">
        <v>149.71</v>
      </c>
      <c r="C26" s="4" t="n">
        <v>118.3</v>
      </c>
      <c r="D26" s="4" t="n">
        <v>122.55</v>
      </c>
    </row>
    <row r="27">
      <c r="A27" s="4" t="n">
        <v>26</v>
      </c>
      <c r="B27" s="4" t="n">
        <v>90.15000000000001</v>
      </c>
      <c r="C27" s="4" t="n">
        <v>72.56999999999999</v>
      </c>
      <c r="D27" s="4" t="n">
        <v>80.62</v>
      </c>
    </row>
    <row r="28">
      <c r="A28" s="4" t="n">
        <v>27</v>
      </c>
      <c r="B28" s="4" t="n">
        <v>73.42</v>
      </c>
      <c r="C28" s="4" t="n">
        <v>70.59</v>
      </c>
      <c r="D28" s="4" t="n">
        <v>120.14</v>
      </c>
    </row>
    <row r="29">
      <c r="A29" s="4" t="n">
        <v>28</v>
      </c>
      <c r="B29" s="4" t="n">
        <v>123.69</v>
      </c>
      <c r="C29" s="4" t="n">
        <v>115.43</v>
      </c>
      <c r="D29" s="4" t="n">
        <v>97.77</v>
      </c>
    </row>
    <row r="30">
      <c r="A30" s="4" t="n">
        <v>29</v>
      </c>
      <c r="B30" s="4" t="n">
        <v>93.95999999999999</v>
      </c>
      <c r="C30" s="4" t="n">
        <v>103.17</v>
      </c>
      <c r="D30" s="4" t="n">
        <v>142.98</v>
      </c>
    </row>
    <row r="31">
      <c r="A31" s="4" t="n">
        <v>30</v>
      </c>
      <c r="B31" s="4" t="n">
        <v>58.2</v>
      </c>
      <c r="C31" s="4" t="n">
        <v>63.5</v>
      </c>
      <c r="D31" s="4" t="n">
        <v>129.4</v>
      </c>
    </row>
    <row r="32">
      <c r="A32" s="4" t="n">
        <v>31</v>
      </c>
      <c r="B32" s="4" t="n">
        <v>268.5</v>
      </c>
      <c r="C32" s="4" t="n">
        <v>183.34</v>
      </c>
      <c r="D32" s="4" t="n">
        <v>219.25</v>
      </c>
    </row>
    <row r="33">
      <c r="A33" s="4" t="n">
        <v>32</v>
      </c>
      <c r="B33" s="4" t="n">
        <v>107.94</v>
      </c>
      <c r="C33" s="4" t="n">
        <v>115.76</v>
      </c>
      <c r="D33" s="4" t="n">
        <v>113.76</v>
      </c>
    </row>
    <row r="34">
      <c r="A34" s="4" t="n">
        <v>33</v>
      </c>
      <c r="B34" s="4" t="n">
        <v>60.33</v>
      </c>
      <c r="C34" s="4" t="n">
        <v>150.19</v>
      </c>
      <c r="D34" s="4" t="n">
        <v>51.42</v>
      </c>
    </row>
    <row r="35">
      <c r="A35" s="4" t="n">
        <v>34</v>
      </c>
      <c r="B35" s="4" t="n">
        <v>146.64</v>
      </c>
      <c r="C35" s="4" t="n">
        <v>94.38</v>
      </c>
      <c r="D35" s="4" t="n">
        <v>133.39</v>
      </c>
    </row>
    <row r="36">
      <c r="A36" s="4" t="n">
        <v>35</v>
      </c>
      <c r="B36" s="4" t="n">
        <v>79.5</v>
      </c>
      <c r="C36" s="4" t="n">
        <v>168.89</v>
      </c>
      <c r="D36" s="4" t="n">
        <v>85.77</v>
      </c>
    </row>
    <row r="37">
      <c r="A37" s="4" t="n">
        <v>36</v>
      </c>
      <c r="B37" s="4" t="n">
        <v>170.67</v>
      </c>
      <c r="C37" s="4" t="n">
        <v>64.76000000000001</v>
      </c>
      <c r="D37" s="4" t="n">
        <v>55.65</v>
      </c>
    </row>
    <row r="38">
      <c r="A38" s="4" t="n">
        <v>37</v>
      </c>
      <c r="B38" s="4" t="n">
        <v>107.92</v>
      </c>
      <c r="C38" s="4" t="n">
        <v>118.94</v>
      </c>
      <c r="D38" s="4" t="n">
        <v>225.23</v>
      </c>
    </row>
    <row r="39">
      <c r="A39" s="4" t="n">
        <v>38</v>
      </c>
      <c r="B39" s="4" t="n">
        <v>80.52</v>
      </c>
      <c r="C39" s="4" t="n">
        <v>105.46</v>
      </c>
      <c r="D39" s="4" t="n">
        <v>80.52</v>
      </c>
    </row>
    <row r="40">
      <c r="A40" s="4" t="n">
        <v>39</v>
      </c>
      <c r="B40" s="4" t="n">
        <v>64.45999999999999</v>
      </c>
      <c r="C40" s="4" t="n">
        <v>77.48</v>
      </c>
      <c r="D40" s="4" t="n">
        <v>82.55</v>
      </c>
    </row>
    <row r="41">
      <c r="A41" s="4" t="n">
        <v>40</v>
      </c>
      <c r="B41" s="4" t="n">
        <v>77.22</v>
      </c>
      <c r="C41" s="4" t="n">
        <v>89.31</v>
      </c>
      <c r="D41" s="4" t="n">
        <v>80.62</v>
      </c>
    </row>
    <row r="42">
      <c r="A42" s="4" t="n">
        <v>41</v>
      </c>
      <c r="B42" s="4" t="n">
        <v>102.97</v>
      </c>
      <c r="C42" s="4" t="n">
        <v>68.98999999999999</v>
      </c>
      <c r="D42" s="4" t="n">
        <v>71.78</v>
      </c>
    </row>
    <row r="43">
      <c r="A43" s="4" t="n">
        <v>42</v>
      </c>
      <c r="B43" s="4" t="n">
        <v>32.92</v>
      </c>
      <c r="C43" s="4" t="n">
        <v>38.04</v>
      </c>
      <c r="D43" s="4" t="n">
        <v>42.42</v>
      </c>
    </row>
    <row r="44">
      <c r="A44" s="4" t="n">
        <v>43</v>
      </c>
      <c r="B44" s="4" t="n">
        <v>145.87</v>
      </c>
      <c r="C44" s="4" t="n">
        <v>147.37</v>
      </c>
      <c r="D44" s="4" t="n">
        <v>85.3</v>
      </c>
    </row>
    <row r="45">
      <c r="A45" s="4" t="n">
        <v>44</v>
      </c>
      <c r="B45" s="4" t="n">
        <v>98.41</v>
      </c>
      <c r="C45" s="4" t="n">
        <v>110.36</v>
      </c>
      <c r="D45" s="4" t="n">
        <v>110.08</v>
      </c>
    </row>
    <row r="46">
      <c r="A46" s="4" t="n">
        <v>45</v>
      </c>
      <c r="B46" s="4" t="n">
        <v>59.45</v>
      </c>
      <c r="C46" s="4" t="n">
        <v>61.45</v>
      </c>
      <c r="D46" s="4" t="n">
        <v>62.47</v>
      </c>
    </row>
    <row r="47">
      <c r="A47" s="4" t="n">
        <v>46</v>
      </c>
      <c r="B47" s="4" t="n">
        <v>110.25</v>
      </c>
      <c r="C47" s="4" t="n">
        <v>62.05</v>
      </c>
      <c r="D47" s="4" t="n">
        <v>117.48</v>
      </c>
    </row>
    <row r="48">
      <c r="A48" s="4" t="n">
        <v>47</v>
      </c>
      <c r="B48" s="4" t="n">
        <v>88.67</v>
      </c>
      <c r="C48" s="4" t="n">
        <v>86.23</v>
      </c>
      <c r="D48" s="4" t="n">
        <v>94.41</v>
      </c>
    </row>
    <row r="49">
      <c r="A49" s="4" t="n">
        <v>48</v>
      </c>
      <c r="B49" s="4" t="n">
        <v>67.2</v>
      </c>
      <c r="C49" s="4" t="n">
        <v>75.23999999999999</v>
      </c>
      <c r="D49" s="4" t="n">
        <v>64.58</v>
      </c>
    </row>
    <row r="50">
      <c r="A50" s="4" t="n">
        <v>49</v>
      </c>
      <c r="B50" s="4" t="n">
        <v>106.78</v>
      </c>
      <c r="C50" s="4" t="n">
        <v>113.83</v>
      </c>
      <c r="D50" s="4" t="n">
        <v>99.55</v>
      </c>
    </row>
    <row r="51">
      <c r="A51" s="4" t="n">
        <v>50</v>
      </c>
      <c r="B51" s="4" t="n">
        <v>76.34999999999999</v>
      </c>
      <c r="C51" s="4" t="n">
        <v>61.23</v>
      </c>
      <c r="D51" s="4" t="n">
        <v>82.34</v>
      </c>
    </row>
    <row r="52">
      <c r="A52" s="4" t="n">
        <v>51</v>
      </c>
      <c r="B52" s="4" t="n">
        <v>56.44</v>
      </c>
      <c r="C52" s="4" t="n">
        <v>58.03</v>
      </c>
      <c r="D52" s="4" t="n">
        <v>59.12</v>
      </c>
    </row>
    <row r="53">
      <c r="A53" s="4" t="n">
        <v>52</v>
      </c>
      <c r="B53" s="4" t="n">
        <v>79.09999999999999</v>
      </c>
      <c r="C53" s="4" t="n">
        <v>92.69</v>
      </c>
      <c r="D53" s="4" t="n">
        <v>79.31999999999999</v>
      </c>
    </row>
    <row r="54">
      <c r="A54" s="4" t="n">
        <v>53</v>
      </c>
      <c r="B54" s="4" t="n">
        <v>149.74</v>
      </c>
      <c r="C54" s="4" t="n">
        <v>111.4</v>
      </c>
      <c r="D54" s="4" t="n">
        <v>96.03</v>
      </c>
    </row>
    <row r="55">
      <c r="A55" s="4" t="n">
        <v>54</v>
      </c>
      <c r="B55" s="4" t="n">
        <v>167.41</v>
      </c>
      <c r="C55" s="4" t="n">
        <v>80.31</v>
      </c>
      <c r="D55" s="4" t="n">
        <v>57.58</v>
      </c>
    </row>
    <row r="56">
      <c r="A56" s="4" t="n">
        <v>55</v>
      </c>
      <c r="B56" s="4" t="n">
        <v>119.57</v>
      </c>
      <c r="C56" s="4" t="n">
        <v>97.98</v>
      </c>
      <c r="D56" s="4" t="n">
        <v>118.42</v>
      </c>
    </row>
    <row r="57">
      <c r="A57" s="4" t="n">
        <v>56</v>
      </c>
      <c r="B57" s="4" t="n">
        <v>101.68</v>
      </c>
      <c r="C57" s="4" t="n">
        <v>58.24</v>
      </c>
      <c r="D57" s="4" t="n">
        <v>94.05</v>
      </c>
    </row>
    <row r="58">
      <c r="A58" s="4" t="n">
        <v>57</v>
      </c>
      <c r="B58" s="4" t="n">
        <v>126.18</v>
      </c>
      <c r="C58" s="4" t="n">
        <v>120.85</v>
      </c>
      <c r="D58" s="4" t="n">
        <v>72.89</v>
      </c>
    </row>
    <row r="59">
      <c r="A59" s="4" t="n">
        <v>58</v>
      </c>
      <c r="B59" s="4" t="n">
        <v>120.16</v>
      </c>
      <c r="C59" s="4" t="n">
        <v>95.89</v>
      </c>
      <c r="D59" s="4" t="n">
        <v>114.78</v>
      </c>
    </row>
    <row r="60">
      <c r="A60" s="4" t="n">
        <v>59</v>
      </c>
      <c r="B60" s="4" t="n">
        <v>110.76</v>
      </c>
      <c r="C60" s="4" t="n">
        <v>116.09</v>
      </c>
      <c r="D60" s="4" t="n">
        <v>78.26000000000001</v>
      </c>
    </row>
    <row r="61">
      <c r="A61" s="4" t="n">
        <v>60</v>
      </c>
      <c r="B61" s="4" t="n">
        <v>87.54000000000001</v>
      </c>
      <c r="C61" s="4" t="n">
        <v>59.99</v>
      </c>
      <c r="D61" s="4" t="n">
        <v>72.13</v>
      </c>
    </row>
    <row r="62">
      <c r="A62" s="4" t="n">
        <v>61</v>
      </c>
      <c r="B62" s="4" t="n"/>
      <c r="C62" s="4" t="n"/>
      <c r="D62" s="4" t="n"/>
    </row>
    <row r="63">
      <c r="A63" s="4" t="n">
        <v>62</v>
      </c>
      <c r="B63" s="4" t="n"/>
      <c r="C63" s="4" t="n"/>
      <c r="D63" s="4" t="n"/>
    </row>
    <row r="64">
      <c r="A64" s="4" t="n">
        <v>63</v>
      </c>
      <c r="B64" s="4" t="n"/>
      <c r="C64" s="4" t="n"/>
      <c r="D64" s="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J7" sqref="J7:N16"/>
    </sheetView>
  </sheetViews>
  <sheetFormatPr baseColWidth="8" defaultColWidth="9" defaultRowHeight="13.5" outlineLevelCol="0"/>
  <cols>
    <col width="9" customWidth="1" style="6" min="1" max="1"/>
    <col width="24.75" customWidth="1" style="6" min="2" max="2"/>
    <col width="24.25" customWidth="1" style="6" min="3" max="3"/>
    <col width="24.875" customWidth="1" style="6" min="4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相对树皮厚度1</t>
        </is>
      </c>
      <c r="C1" s="4" t="inlineStr">
        <is>
          <t>相对树皮厚度2</t>
        </is>
      </c>
      <c r="D1" s="4" t="inlineStr">
        <is>
          <t>相对树皮厚度3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IF(OR('半径长度'!B2="",'半径长度'!B2=0),"",('皮层长度'!B2+'韧皮部长度'!B2)/'半径长度'!B2)</f>
        <v/>
      </c>
      <c r="C2" s="4">
        <f>IF(OR('半径长度'!C2="",'半径长度'!C2=0),"",('皮层长度'!C2+'韧皮部长度'!C2)/'半径长度'!C2)</f>
        <v/>
      </c>
      <c r="D2" s="4">
        <f>IF(OR('半径长度'!D2="",'半径长度'!D2=0),"",('皮层长度'!D2+'韧皮部长度'!D2)/'半径长度'!D2)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IF(OR('半径长度'!B3="",'半径长度'!B3=0),"",('皮层长度'!B3+'韧皮部长度'!B3)/'半径长度'!B3)</f>
        <v/>
      </c>
      <c r="C3" s="4">
        <f>IF(OR('半径长度'!C3="",'半径长度'!C3=0),"",('皮层长度'!C3+'韧皮部长度'!C3)/'半径长度'!C3)</f>
        <v/>
      </c>
      <c r="D3" s="4">
        <f>IF(OR('半径长度'!D3="",'半径长度'!D3=0),"",('皮层长度'!D3+'韧皮部长度'!D3)/'半径长度'!D3)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IF(OR('半径长度'!B4="",'半径长度'!B4=0),"",('皮层长度'!B4+'韧皮部长度'!B4)/'半径长度'!B4)</f>
        <v/>
      </c>
      <c r="C4" s="4">
        <f>IF(OR('半径长度'!C4="",'半径长度'!C4=0),"",('皮层长度'!C4+'韧皮部长度'!C4)/'半径长度'!C4)</f>
        <v/>
      </c>
      <c r="D4" s="4">
        <f>IF(OR('半径长度'!D4="",'半径长度'!D4=0),"",('皮层长度'!D4+'韧皮部长度'!D4)/'半径长度'!D4)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IF(OR('半径长度'!B5="",'半径长度'!B5=0),"",('皮层长度'!B5+'韧皮部长度'!B5)/'半径长度'!B5)</f>
        <v/>
      </c>
      <c r="C5" s="4">
        <f>IF(OR('半径长度'!C5="",'半径长度'!C5=0),"",('皮层长度'!C5+'韧皮部长度'!C5)/'半径长度'!C5)</f>
        <v/>
      </c>
      <c r="D5" s="4">
        <f>IF(OR('半径长度'!D5="",'半径长度'!D5=0),"",('皮层长度'!D5+'韧皮部长度'!D5)/'半径长度'!D5)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IF(OR('半径长度'!B6="",'半径长度'!B6=0),"",('皮层长度'!B6+'韧皮部长度'!B6)/'半径长度'!B6)</f>
        <v/>
      </c>
      <c r="C6" s="4">
        <f>IF(OR('半径长度'!C6="",'半径长度'!C6=0),"",('皮层长度'!C6+'韧皮部长度'!C6)/'半径长度'!C6)</f>
        <v/>
      </c>
      <c r="D6" s="4">
        <f>IF(OR('半径长度'!D6="",'半径长度'!D6=0),"",('皮层长度'!D6+'韧皮部长度'!D6)/'半径长度'!D6)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IF(OR('半径长度'!B7="",'半径长度'!B7=0),"",('皮层长度'!B7+'韧皮部长度'!B7)/'半径长度'!B7)</f>
        <v/>
      </c>
      <c r="C7" s="4">
        <f>IF(OR('半径长度'!C7="",'半径长度'!C7=0),"",('皮层长度'!C7+'韧皮部长度'!C7)/'半径长度'!C7)</f>
        <v/>
      </c>
      <c r="D7" s="4">
        <f>IF(OR('半径长度'!D7="",'半径长度'!D7=0),"",('皮层长度'!D7+'韧皮部长度'!D7)/'半径长度'!D7)</f>
        <v/>
      </c>
      <c r="E7" s="4">
        <f>IF(COUNT(B7:D7)=0,"",AVERAGE(B7:D7))</f>
        <v/>
      </c>
      <c r="J7" s="8" t="inlineStr">
        <is>
          <t>相对树皮厚度=（皮层长度+韧皮部长度）/半径长度</t>
        </is>
      </c>
    </row>
    <row r="8">
      <c r="A8" s="4" t="n">
        <v>7</v>
      </c>
      <c r="B8" s="4">
        <f>IF(OR('半径长度'!B8="",'半径长度'!B8=0),"",('皮层长度'!B8+'韧皮部长度'!B8)/'半径长度'!B8)</f>
        <v/>
      </c>
      <c r="C8" s="4">
        <f>IF(OR('半径长度'!C8="",'半径长度'!C8=0),"",('皮层长度'!C8+'韧皮部长度'!C8)/'半径长度'!C8)</f>
        <v/>
      </c>
      <c r="D8" s="4">
        <f>IF(OR('半径长度'!D8="",'半径长度'!D8=0),"",('皮层长度'!D8+'韧皮部长度'!D8)/'半径长度'!D8)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IF(OR('半径长度'!B9="",'半径长度'!B9=0),"",('皮层长度'!B9+'韧皮部长度'!B9)/'半径长度'!B9)</f>
        <v/>
      </c>
      <c r="C9" s="4">
        <f>IF(OR('半径长度'!C9="",'半径长度'!C9=0),"",('皮层长度'!C9+'韧皮部长度'!C9)/'半径长度'!C9)</f>
        <v/>
      </c>
      <c r="D9" s="4">
        <f>IF(OR('半径长度'!D9="",'半径长度'!D9=0),"",('皮层长度'!D9+'韧皮部长度'!D9)/'半径长度'!D9)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IF(OR('半径长度'!B10="",'半径长度'!B10=0),"",('皮层长度'!B10+'韧皮部长度'!B10)/'半径长度'!B10)</f>
        <v/>
      </c>
      <c r="C10" s="4">
        <f>IF(OR('半径长度'!C10="",'半径长度'!C10=0),"",('皮层长度'!C10+'韧皮部长度'!C10)/'半径长度'!C10)</f>
        <v/>
      </c>
      <c r="D10" s="4">
        <f>IF(OR('半径长度'!D10="",'半径长度'!D10=0),"",('皮层长度'!D10+'韧皮部长度'!D10)/'半径长度'!D10)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IF(OR('半径长度'!B11="",'半径长度'!B11=0),"",('皮层长度'!B11+'韧皮部长度'!B11)/'半径长度'!B11)</f>
        <v/>
      </c>
      <c r="C11" s="4">
        <f>IF(OR('半径长度'!C11="",'半径长度'!C11=0),"",('皮层长度'!C11+'韧皮部长度'!C11)/'半径长度'!C11)</f>
        <v/>
      </c>
      <c r="D11" s="4">
        <f>IF(OR('半径长度'!D11="",'半径长度'!D11=0),"",('皮层长度'!D11+'韧皮部长度'!D11)/'半径长度'!D11)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IF(OR('半径长度'!B12="",'半径长度'!B12=0),"",('皮层长度'!B12+'韧皮部长度'!B12)/'半径长度'!B12)</f>
        <v/>
      </c>
      <c r="C12" s="4">
        <f>IF(OR('半径长度'!C12="",'半径长度'!C12=0),"",('皮层长度'!C12+'韧皮部长度'!C12)/'半径长度'!C12)</f>
        <v/>
      </c>
      <c r="D12" s="4">
        <f>IF(OR('半径长度'!D12="",'半径长度'!D12=0),"",('皮层长度'!D12+'韧皮部长度'!D12)/'半径长度'!D12)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IF(OR('半径长度'!B13="",'半径长度'!B13=0),"",('皮层长度'!B13+'韧皮部长度'!B13)/'半径长度'!B13)</f>
        <v/>
      </c>
      <c r="C13" s="4">
        <f>IF(OR('半径长度'!C13="",'半径长度'!C13=0),"",('皮层长度'!C13+'韧皮部长度'!C13)/'半径长度'!C13)</f>
        <v/>
      </c>
      <c r="D13" s="4">
        <f>IF(OR('半径长度'!D13="",'半径长度'!D13=0),"",('皮层长度'!D13+'韧皮部长度'!D13)/'半径长度'!D13)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IF(OR('半径长度'!B14="",'半径长度'!B14=0),"",('皮层长度'!B14+'韧皮部长度'!B14)/'半径长度'!B14)</f>
        <v/>
      </c>
      <c r="C14" s="4">
        <f>IF(OR('半径长度'!C14="",'半径长度'!C14=0),"",('皮层长度'!C14+'韧皮部长度'!C14)/'半径长度'!C14)</f>
        <v/>
      </c>
      <c r="D14" s="4">
        <f>IF(OR('半径长度'!D14="",'半径长度'!D14=0),"",('皮层长度'!D14+'韧皮部长度'!D14)/'半径长度'!D14)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IF(OR('半径长度'!B15="",'半径长度'!B15=0),"",('皮层长度'!B15+'韧皮部长度'!B15)/'半径长度'!B15)</f>
        <v/>
      </c>
      <c r="C15" s="4">
        <f>IF(OR('半径长度'!C15="",'半径长度'!C15=0),"",('皮层长度'!C15+'韧皮部长度'!C15)/'半径长度'!C15)</f>
        <v/>
      </c>
      <c r="D15" s="4">
        <f>IF(OR('半径长度'!D15="",'半径长度'!D15=0),"",('皮层长度'!D15+'韧皮部长度'!D15)/'半径长度'!D15)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IF(OR('半径长度'!B16="",'半径长度'!B16=0),"",('皮层长度'!B16+'韧皮部长度'!B16)/'半径长度'!B16)</f>
        <v/>
      </c>
      <c r="C16" s="4">
        <f>IF(OR('半径长度'!C16="",'半径长度'!C16=0),"",('皮层长度'!C16+'韧皮部长度'!C16)/'半径长度'!C16)</f>
        <v/>
      </c>
      <c r="D16" s="4">
        <f>IF(OR('半径长度'!D16="",'半径长度'!D16=0),"",('皮层长度'!D16+'韧皮部长度'!D16)/'半径长度'!D16)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IF(OR('半径长度'!B17="",'半径长度'!B17=0),"",('皮层长度'!B17+'韧皮部长度'!B17)/'半径长度'!B17)</f>
        <v/>
      </c>
      <c r="C17" s="4">
        <f>IF(OR('半径长度'!C17="",'半径长度'!C17=0),"",('皮层长度'!C17+'韧皮部长度'!C17)/'半径长度'!C17)</f>
        <v/>
      </c>
      <c r="D17" s="4">
        <f>IF(OR('半径长度'!D17="",'半径长度'!D17=0),"",('皮层长度'!D17+'韧皮部长度'!D17)/'半径长度'!D17)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IF(OR('半径长度'!B18="",'半径长度'!B18=0),"",('皮层长度'!B18+'韧皮部长度'!B18)/'半径长度'!B18)</f>
        <v/>
      </c>
      <c r="C18" s="4">
        <f>IF(OR('半径长度'!C18="",'半径长度'!C18=0),"",('皮层长度'!C18+'韧皮部长度'!C18)/'半径长度'!C18)</f>
        <v/>
      </c>
      <c r="D18" s="4">
        <f>IF(OR('半径长度'!D18="",'半径长度'!D18=0),"",('皮层长度'!D18+'韧皮部长度'!D18)/'半径长度'!D18)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IF(OR('半径长度'!B19="",'半径长度'!B19=0),"",('皮层长度'!B19+'韧皮部长度'!B19)/'半径长度'!B19)</f>
        <v/>
      </c>
      <c r="C19" s="4">
        <f>IF(OR('半径长度'!C19="",'半径长度'!C19=0),"",('皮层长度'!C19+'韧皮部长度'!C19)/'半径长度'!C19)</f>
        <v/>
      </c>
      <c r="D19" s="4">
        <f>IF(OR('半径长度'!D19="",'半径长度'!D19=0),"",('皮层长度'!D19+'韧皮部长度'!D19)/'半径长度'!D19)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IF(OR('半径长度'!B20="",'半径长度'!B20=0),"",('皮层长度'!B20+'韧皮部长度'!B20)/'半径长度'!B20)</f>
        <v/>
      </c>
      <c r="C20" s="4">
        <f>IF(OR('半径长度'!C20="",'半径长度'!C20=0),"",('皮层长度'!C20+'韧皮部长度'!C20)/'半径长度'!C20)</f>
        <v/>
      </c>
      <c r="D20" s="4">
        <f>IF(OR('半径长度'!D20="",'半径长度'!D20=0),"",('皮层长度'!D20+'韧皮部长度'!D20)/'半径长度'!D20)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IF(OR('半径长度'!B21="",'半径长度'!B21=0),"",('皮层长度'!B21+'韧皮部长度'!B21)/'半径长度'!B21)</f>
        <v/>
      </c>
      <c r="C21" s="4">
        <f>IF(OR('半径长度'!C21="",'半径长度'!C21=0),"",('皮层长度'!C21+'韧皮部长度'!C21)/'半径长度'!C21)</f>
        <v/>
      </c>
      <c r="D21" s="4">
        <f>IF(OR('半径长度'!D21="",'半径长度'!D21=0),"",('皮层长度'!D21+'韧皮部长度'!D21)/'半径长度'!D21)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IF(OR('半径长度'!B22="",'半径长度'!B22=0),"",('皮层长度'!B22+'韧皮部长度'!B22)/'半径长度'!B22)</f>
        <v/>
      </c>
      <c r="C22" s="4">
        <f>IF(OR('半径长度'!C22="",'半径长度'!C22=0),"",('皮层长度'!C22+'韧皮部长度'!C22)/'半径长度'!C22)</f>
        <v/>
      </c>
      <c r="D22" s="4">
        <f>IF(OR('半径长度'!D22="",'半径长度'!D22=0),"",('皮层长度'!D22+'韧皮部长度'!D22)/'半径长度'!D22)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IF(OR('半径长度'!B23="",'半径长度'!B23=0),"",('皮层长度'!B23+'韧皮部长度'!B23)/'半径长度'!B23)</f>
        <v/>
      </c>
      <c r="C23" s="4">
        <f>IF(OR('半径长度'!C23="",'半径长度'!C23=0),"",('皮层长度'!C23+'韧皮部长度'!C23)/'半径长度'!C23)</f>
        <v/>
      </c>
      <c r="D23" s="4">
        <f>IF(OR('半径长度'!D23="",'半径长度'!D23=0),"",('皮层长度'!D23+'韧皮部长度'!D23)/'半径长度'!D23)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IF(OR('半径长度'!B24="",'半径长度'!B24=0),"",('皮层长度'!B24+'韧皮部长度'!B24)/'半径长度'!B24)</f>
        <v/>
      </c>
      <c r="C24" s="4">
        <f>IF(OR('半径长度'!C24="",'半径长度'!C24=0),"",('皮层长度'!C24+'韧皮部长度'!C24)/'半径长度'!C24)</f>
        <v/>
      </c>
      <c r="D24" s="4">
        <f>IF(OR('半径长度'!D24="",'半径长度'!D24=0),"",('皮层长度'!D24+'韧皮部长度'!D24)/'半径长度'!D24)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IF(OR('半径长度'!B25="",'半径长度'!B25=0),"",('皮层长度'!B25+'韧皮部长度'!B25)/'半径长度'!B25)</f>
        <v/>
      </c>
      <c r="C25" s="4">
        <f>IF(OR('半径长度'!C25="",'半径长度'!C25=0),"",('皮层长度'!C25+'韧皮部长度'!C25)/'半径长度'!C25)</f>
        <v/>
      </c>
      <c r="D25" s="4">
        <f>IF(OR('半径长度'!D25="",'半径长度'!D25=0),"",('皮层长度'!D25+'韧皮部长度'!D25)/'半径长度'!D25)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IF(OR('半径长度'!B26="",'半径长度'!B26=0),"",('皮层长度'!B26+'韧皮部长度'!B26)/'半径长度'!B26)</f>
        <v/>
      </c>
      <c r="C26" s="4">
        <f>IF(OR('半径长度'!C26="",'半径长度'!C26=0),"",('皮层长度'!C26+'韧皮部长度'!C26)/'半径长度'!C26)</f>
        <v/>
      </c>
      <c r="D26" s="4">
        <f>IF(OR('半径长度'!D26="",'半径长度'!D26=0),"",('皮层长度'!D26+'韧皮部长度'!D26)/'半径长度'!D26)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IF(OR('半径长度'!B27="",'半径长度'!B27=0),"",('皮层长度'!B27+'韧皮部长度'!B27)/'半径长度'!B27)</f>
        <v/>
      </c>
      <c r="C27" s="4">
        <f>IF(OR('半径长度'!C27="",'半径长度'!C27=0),"",('皮层长度'!C27+'韧皮部长度'!C27)/'半径长度'!C27)</f>
        <v/>
      </c>
      <c r="D27" s="4">
        <f>IF(OR('半径长度'!D27="",'半径长度'!D27=0),"",('皮层长度'!D27+'韧皮部长度'!D27)/'半径长度'!D27)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IF(OR('半径长度'!B28="",'半径长度'!B28=0),"",('皮层长度'!B28+'韧皮部长度'!B28)/'半径长度'!B28)</f>
        <v/>
      </c>
      <c r="C28" s="4">
        <f>IF(OR('半径长度'!C28="",'半径长度'!C28=0),"",('皮层长度'!C28+'韧皮部长度'!C28)/'半径长度'!C28)</f>
        <v/>
      </c>
      <c r="D28" s="4">
        <f>IF(OR('半径长度'!D28="",'半径长度'!D28=0),"",('皮层长度'!D28+'韧皮部长度'!D28)/'半径长度'!D28)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IF(OR('半径长度'!B29="",'半径长度'!B29=0),"",('皮层长度'!B29+'韧皮部长度'!B29)/'半径长度'!B29)</f>
        <v/>
      </c>
      <c r="C29" s="4">
        <f>IF(OR('半径长度'!C29="",'半径长度'!C29=0),"",('皮层长度'!C29+'韧皮部长度'!C29)/'半径长度'!C29)</f>
        <v/>
      </c>
      <c r="D29" s="4">
        <f>IF(OR('半径长度'!D29="",'半径长度'!D29=0),"",('皮层长度'!D29+'韧皮部长度'!D29)/'半径长度'!D29)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IF(OR('半径长度'!B30="",'半径长度'!B30=0),"",('皮层长度'!B30+'韧皮部长度'!B30)/'半径长度'!B30)</f>
        <v/>
      </c>
      <c r="C30" s="4">
        <f>IF(OR('半径长度'!C30="",'半径长度'!C30=0),"",('皮层长度'!C30+'韧皮部长度'!C30)/'半径长度'!C30)</f>
        <v/>
      </c>
      <c r="D30" s="4">
        <f>IF(OR('半径长度'!D30="",'半径长度'!D30=0),"",('皮层长度'!D30+'韧皮部长度'!D30)/'半径长度'!D30)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IF(OR('半径长度'!B31="",'半径长度'!B31=0),"",('皮层长度'!B31+'韧皮部长度'!B31)/'半径长度'!B31)</f>
        <v/>
      </c>
      <c r="C31" s="4">
        <f>IF(OR('半径长度'!C31="",'半径长度'!C31=0),"",('皮层长度'!C31+'韧皮部长度'!C31)/'半径长度'!C31)</f>
        <v/>
      </c>
      <c r="D31" s="4">
        <f>IF(OR('半径长度'!D31="",'半径长度'!D31=0),"",('皮层长度'!D31+'韧皮部长度'!D31)/'半径长度'!D31)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IF(OR('半径长度'!B32="",'半径长度'!B32=0),"",('皮层长度'!B32+'韧皮部长度'!B32)/'半径长度'!B32)</f>
        <v/>
      </c>
      <c r="C32" s="4">
        <f>IF(OR('半径长度'!C32="",'半径长度'!C32=0),"",('皮层长度'!C32+'韧皮部长度'!C32)/'半径长度'!C32)</f>
        <v/>
      </c>
      <c r="D32" s="4">
        <f>IF(OR('半径长度'!D32="",'半径长度'!D32=0),"",('皮层长度'!D32+'韧皮部长度'!D32)/'半径长度'!D32)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IF(OR('半径长度'!B33="",'半径长度'!B33=0),"",('皮层长度'!B33+'韧皮部长度'!B33)/'半径长度'!B33)</f>
        <v/>
      </c>
      <c r="C33" s="4">
        <f>IF(OR('半径长度'!C33="",'半径长度'!C33=0),"",('皮层长度'!C33+'韧皮部长度'!C33)/'半径长度'!C33)</f>
        <v/>
      </c>
      <c r="D33" s="4">
        <f>IF(OR('半径长度'!D33="",'半径长度'!D33=0),"",('皮层长度'!D33+'韧皮部长度'!D33)/'半径长度'!D33)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IF(OR('半径长度'!B34="",'半径长度'!B34=0),"",('皮层长度'!B34+'韧皮部长度'!B34)/'半径长度'!B34)</f>
        <v/>
      </c>
      <c r="C34" s="4">
        <f>IF(OR('半径长度'!C34="",'半径长度'!C34=0),"",('皮层长度'!C34+'韧皮部长度'!C34)/'半径长度'!C34)</f>
        <v/>
      </c>
      <c r="D34" s="4">
        <f>IF(OR('半径长度'!D34="",'半径长度'!D34=0),"",('皮层长度'!D34+'韧皮部长度'!D34)/'半径长度'!D34)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IF(OR('半径长度'!B35="",'半径长度'!B35=0),"",('皮层长度'!B35+'韧皮部长度'!B35)/'半径长度'!B35)</f>
        <v/>
      </c>
      <c r="C35" s="4">
        <f>IF(OR('半径长度'!C35="",'半径长度'!C35=0),"",('皮层长度'!C35+'韧皮部长度'!C35)/'半径长度'!C35)</f>
        <v/>
      </c>
      <c r="D35" s="4">
        <f>IF(OR('半径长度'!D35="",'半径长度'!D35=0),"",('皮层长度'!D35+'韧皮部长度'!D35)/'半径长度'!D35)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IF(OR('半径长度'!B36="",'半径长度'!B36=0),"",('皮层长度'!B36+'韧皮部长度'!B36)/'半径长度'!B36)</f>
        <v/>
      </c>
      <c r="C36" s="4">
        <f>IF(OR('半径长度'!C36="",'半径长度'!C36=0),"",('皮层长度'!C36+'韧皮部长度'!C36)/'半径长度'!C36)</f>
        <v/>
      </c>
      <c r="D36" s="4">
        <f>IF(OR('半径长度'!D36="",'半径长度'!D36=0),"",('皮层长度'!D36+'韧皮部长度'!D36)/'半径长度'!D36)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IF(OR('半径长度'!B37="",'半径长度'!B37=0),"",('皮层长度'!B37+'韧皮部长度'!B37)/'半径长度'!B37)</f>
        <v/>
      </c>
      <c r="C37" s="4">
        <f>IF(OR('半径长度'!C37="",'半径长度'!C37=0),"",('皮层长度'!C37+'韧皮部长度'!C37)/'半径长度'!C37)</f>
        <v/>
      </c>
      <c r="D37" s="4">
        <f>IF(OR('半径长度'!D37="",'半径长度'!D37=0),"",('皮层长度'!D37+'韧皮部长度'!D37)/'半径长度'!D37)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IF(OR('半径长度'!B38="",'半径长度'!B38=0),"",('皮层长度'!B38+'韧皮部长度'!B38)/'半径长度'!B38)</f>
        <v/>
      </c>
      <c r="C38" s="4">
        <f>IF(OR('半径长度'!C38="",'半径长度'!C38=0),"",('皮层长度'!C38+'韧皮部长度'!C38)/'半径长度'!C38)</f>
        <v/>
      </c>
      <c r="D38" s="4">
        <f>IF(OR('半径长度'!D38="",'半径长度'!D38=0),"",('皮层长度'!D38+'韧皮部长度'!D38)/'半径长度'!D38)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IF(OR('半径长度'!B39="",'半径长度'!B39=0),"",('皮层长度'!B39+'韧皮部长度'!B39)/'半径长度'!B39)</f>
        <v/>
      </c>
      <c r="C39" s="4">
        <f>IF(OR('半径长度'!C39="",'半径长度'!C39=0),"",('皮层长度'!C39+'韧皮部长度'!C39)/'半径长度'!C39)</f>
        <v/>
      </c>
      <c r="D39" s="4">
        <f>IF(OR('半径长度'!D39="",'半径长度'!D39=0),"",('皮层长度'!D39+'韧皮部长度'!D39)/'半径长度'!D39)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IF(OR('半径长度'!B40="",'半径长度'!B40=0),"",('皮层长度'!B40+'韧皮部长度'!B40)/'半径长度'!B40)</f>
        <v/>
      </c>
      <c r="C40" s="4">
        <f>IF(OR('半径长度'!C40="",'半径长度'!C40=0),"",('皮层长度'!C40+'韧皮部长度'!C40)/'半径长度'!C40)</f>
        <v/>
      </c>
      <c r="D40" s="4">
        <f>IF(OR('半径长度'!D40="",'半径长度'!D40=0),"",('皮层长度'!D40+'韧皮部长度'!D40)/'半径长度'!D40)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IF(OR('半径长度'!B41="",'半径长度'!B41=0),"",('皮层长度'!B41+'韧皮部长度'!B41)/'半径长度'!B41)</f>
        <v/>
      </c>
      <c r="C41" s="4">
        <f>IF(OR('半径长度'!C41="",'半径长度'!C41=0),"",('皮层长度'!C41+'韧皮部长度'!C41)/'半径长度'!C41)</f>
        <v/>
      </c>
      <c r="D41" s="4">
        <f>IF(OR('半径长度'!D41="",'半径长度'!D41=0),"",('皮层长度'!D41+'韧皮部长度'!D41)/'半径长度'!D41)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IF(OR('半径长度'!B42="",'半径长度'!B42=0),"",('皮层长度'!B42+'韧皮部长度'!B42)/'半径长度'!B42)</f>
        <v/>
      </c>
      <c r="C42" s="4">
        <f>IF(OR('半径长度'!C42="",'半径长度'!C42=0),"",('皮层长度'!C42+'韧皮部长度'!C42)/'半径长度'!C42)</f>
        <v/>
      </c>
      <c r="D42" s="4">
        <f>IF(OR('半径长度'!D42="",'半径长度'!D42=0),"",('皮层长度'!D42+'韧皮部长度'!D42)/'半径长度'!D42)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IF(OR('半径长度'!B43="",'半径长度'!B43=0),"",('皮层长度'!B43+'韧皮部长度'!B43)/'半径长度'!B43)</f>
        <v/>
      </c>
      <c r="C43" s="4">
        <f>IF(OR('半径长度'!C43="",'半径长度'!C43=0),"",('皮层长度'!C43+'韧皮部长度'!C43)/'半径长度'!C43)</f>
        <v/>
      </c>
      <c r="D43" s="4">
        <f>IF(OR('半径长度'!D43="",'半径长度'!D43=0),"",('皮层长度'!D43+'韧皮部长度'!D43)/'半径长度'!D43)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IF(OR('半径长度'!B44="",'半径长度'!B44=0),"",('皮层长度'!B44+'韧皮部长度'!B44)/'半径长度'!B44)</f>
        <v/>
      </c>
      <c r="C44" s="4">
        <f>IF(OR('半径长度'!C44="",'半径长度'!C44=0),"",('皮层长度'!C44+'韧皮部长度'!C44)/'半径长度'!C44)</f>
        <v/>
      </c>
      <c r="D44" s="4">
        <f>IF(OR('半径长度'!D44="",'半径长度'!D44=0),"",('皮层长度'!D44+'韧皮部长度'!D44)/'半径长度'!D44)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IF(OR('半径长度'!B45="",'半径长度'!B45=0),"",('皮层长度'!B45+'韧皮部长度'!B45)/'半径长度'!B45)</f>
        <v/>
      </c>
      <c r="C45" s="4">
        <f>IF(OR('半径长度'!C45="",'半径长度'!C45=0),"",('皮层长度'!C45+'韧皮部长度'!C45)/'半径长度'!C45)</f>
        <v/>
      </c>
      <c r="D45" s="4">
        <f>IF(OR('半径长度'!D45="",'半径长度'!D45=0),"",('皮层长度'!D45+'韧皮部长度'!D45)/'半径长度'!D45)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IF(OR('半径长度'!B46="",'半径长度'!B46=0),"",('皮层长度'!B46+'韧皮部长度'!B46)/'半径长度'!B46)</f>
        <v/>
      </c>
      <c r="C46" s="4">
        <f>IF(OR('半径长度'!C46="",'半径长度'!C46=0),"",('皮层长度'!C46+'韧皮部长度'!C46)/'半径长度'!C46)</f>
        <v/>
      </c>
      <c r="D46" s="4">
        <f>IF(OR('半径长度'!D46="",'半径长度'!D46=0),"",('皮层长度'!D46+'韧皮部长度'!D46)/'半径长度'!D46)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IF(OR('半径长度'!B47="",'半径长度'!B47=0),"",('皮层长度'!B47+'韧皮部长度'!B47)/'半径长度'!B47)</f>
        <v/>
      </c>
      <c r="C47" s="4">
        <f>IF(OR('半径长度'!C47="",'半径长度'!C47=0),"",('皮层长度'!C47+'韧皮部长度'!C47)/'半径长度'!C47)</f>
        <v/>
      </c>
      <c r="D47" s="4">
        <f>IF(OR('半径长度'!D47="",'半径长度'!D47=0),"",('皮层长度'!D47+'韧皮部长度'!D47)/'半径长度'!D47)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IF(OR('半径长度'!B48="",'半径长度'!B48=0),"",('皮层长度'!B48+'韧皮部长度'!B48)/'半径长度'!B48)</f>
        <v/>
      </c>
      <c r="C48" s="4">
        <f>IF(OR('半径长度'!C48="",'半径长度'!C48=0),"",('皮层长度'!C48+'韧皮部长度'!C48)/'半径长度'!C48)</f>
        <v/>
      </c>
      <c r="D48" s="4">
        <f>IF(OR('半径长度'!D48="",'半径长度'!D48=0),"",('皮层长度'!D48+'韧皮部长度'!D48)/'半径长度'!D48)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IF(OR('半径长度'!B49="",'半径长度'!B49=0),"",('皮层长度'!B49+'韧皮部长度'!B49)/'半径长度'!B49)</f>
        <v/>
      </c>
      <c r="C49" s="4">
        <f>IF(OR('半径长度'!C49="",'半径长度'!C49=0),"",('皮层长度'!C49+'韧皮部长度'!C49)/'半径长度'!C49)</f>
        <v/>
      </c>
      <c r="D49" s="4">
        <f>IF(OR('半径长度'!D49="",'半径长度'!D49=0),"",('皮层长度'!D49+'韧皮部长度'!D49)/'半径长度'!D49)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IF(OR('半径长度'!B50="",'半径长度'!B50=0),"",('皮层长度'!B50+'韧皮部长度'!B50)/'半径长度'!B50)</f>
        <v/>
      </c>
      <c r="C50" s="4">
        <f>IF(OR('半径长度'!C50="",'半径长度'!C50=0),"",('皮层长度'!C50+'韧皮部长度'!C50)/'半径长度'!C50)</f>
        <v/>
      </c>
      <c r="D50" s="4">
        <f>IF(OR('半径长度'!D50="",'半径长度'!D50=0),"",('皮层长度'!D50+'韧皮部长度'!D50)/'半径长度'!D50)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IF(OR('半径长度'!B51="",'半径长度'!B51=0),"",('皮层长度'!B51+'韧皮部长度'!B51)/'半径长度'!B51)</f>
        <v/>
      </c>
      <c r="C51" s="4">
        <f>IF(OR('半径长度'!C51="",'半径长度'!C51=0),"",('皮层长度'!C51+'韧皮部长度'!C51)/'半径长度'!C51)</f>
        <v/>
      </c>
      <c r="D51" s="4">
        <f>IF(OR('半径长度'!D51="",'半径长度'!D51=0),"",('皮层长度'!D51+'韧皮部长度'!D51)/'半径长度'!D51)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IF(OR('半径长度'!B52="",'半径长度'!B52=0),"",('皮层长度'!B52+'韧皮部长度'!B52)/'半径长度'!B52)</f>
        <v/>
      </c>
      <c r="C52" s="4">
        <f>IF(OR('半径长度'!C52="",'半径长度'!C52=0),"",('皮层长度'!C52+'韧皮部长度'!C52)/'半径长度'!C52)</f>
        <v/>
      </c>
      <c r="D52" s="4">
        <f>IF(OR('半径长度'!D52="",'半径长度'!D52=0),"",('皮层长度'!D52+'韧皮部长度'!D52)/'半径长度'!D52)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IF(OR('半径长度'!B53="",'半径长度'!B53=0),"",('皮层长度'!B53+'韧皮部长度'!B53)/'半径长度'!B53)</f>
        <v/>
      </c>
      <c r="C53" s="4">
        <f>IF(OR('半径长度'!C53="",'半径长度'!C53=0),"",('皮层长度'!C53+'韧皮部长度'!C53)/'半径长度'!C53)</f>
        <v/>
      </c>
      <c r="D53" s="4">
        <f>IF(OR('半径长度'!D53="",'半径长度'!D53=0),"",('皮层长度'!D53+'韧皮部长度'!D53)/'半径长度'!D53)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IF(OR('半径长度'!B54="",'半径长度'!B54=0),"",('皮层长度'!B54+'韧皮部长度'!B54)/'半径长度'!B54)</f>
        <v/>
      </c>
      <c r="C54" s="4">
        <f>IF(OR('半径长度'!C54="",'半径长度'!C54=0),"",('皮层长度'!C54+'韧皮部长度'!C54)/'半径长度'!C54)</f>
        <v/>
      </c>
      <c r="D54" s="4">
        <f>IF(OR('半径长度'!D54="",'半径长度'!D54=0),"",('皮层长度'!D54+'韧皮部长度'!D54)/'半径长度'!D54)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IF(OR('半径长度'!B55="",'半径长度'!B55=0),"",('皮层长度'!B55+'韧皮部长度'!B55)/'半径长度'!B55)</f>
        <v/>
      </c>
      <c r="C55" s="4">
        <f>IF(OR('半径长度'!C55="",'半径长度'!C55=0),"",('皮层长度'!C55+'韧皮部长度'!C55)/'半径长度'!C55)</f>
        <v/>
      </c>
      <c r="D55" s="4">
        <f>IF(OR('半径长度'!D55="",'半径长度'!D55=0),"",('皮层长度'!D55+'韧皮部长度'!D55)/'半径长度'!D55)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IF(OR('半径长度'!B56="",'半径长度'!B56=0),"",('皮层长度'!B56+'韧皮部长度'!B56)/'半径长度'!B56)</f>
        <v/>
      </c>
      <c r="C56" s="4">
        <f>IF(OR('半径长度'!C56="",'半径长度'!C56=0),"",('皮层长度'!C56+'韧皮部长度'!C56)/'半径长度'!C56)</f>
        <v/>
      </c>
      <c r="D56" s="4">
        <f>IF(OR('半径长度'!D56="",'半径长度'!D56=0),"",('皮层长度'!D56+'韧皮部长度'!D56)/'半径长度'!D56)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IF(OR('半径长度'!B57="",'半径长度'!B57=0),"",('皮层长度'!B57+'韧皮部长度'!B57)/'半径长度'!B57)</f>
        <v/>
      </c>
      <c r="C57" s="4">
        <f>IF(OR('半径长度'!C57="",'半径长度'!C57=0),"",('皮层长度'!C57+'韧皮部长度'!C57)/'半径长度'!C57)</f>
        <v/>
      </c>
      <c r="D57" s="4">
        <f>IF(OR('半径长度'!D57="",'半径长度'!D57=0),"",('皮层长度'!D57+'韧皮部长度'!D57)/'半径长度'!D57)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IF(OR('半径长度'!B58="",'半径长度'!B58=0),"",('皮层长度'!B58+'韧皮部长度'!B58)/'半径长度'!B58)</f>
        <v/>
      </c>
      <c r="C58" s="4">
        <f>IF(OR('半径长度'!C58="",'半径长度'!C58=0),"",('皮层长度'!C58+'韧皮部长度'!C58)/'半径长度'!C58)</f>
        <v/>
      </c>
      <c r="D58" s="4">
        <f>IF(OR('半径长度'!D58="",'半径长度'!D58=0),"",('皮层长度'!D58+'韧皮部长度'!D58)/'半径长度'!D58)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IF(OR('半径长度'!B59="",'半径长度'!B59=0),"",('皮层长度'!B59+'韧皮部长度'!B59)/'半径长度'!B59)</f>
        <v/>
      </c>
      <c r="C59" s="4">
        <f>IF(OR('半径长度'!C59="",'半径长度'!C59=0),"",('皮层长度'!C59+'韧皮部长度'!C59)/'半径长度'!C59)</f>
        <v/>
      </c>
      <c r="D59" s="4">
        <f>IF(OR('半径长度'!D59="",'半径长度'!D59=0),"",('皮层长度'!D59+'韧皮部长度'!D59)/'半径长度'!D59)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IF(OR('半径长度'!B60="",'半径长度'!B60=0),"",('皮层长度'!B60+'韧皮部长度'!B60)/'半径长度'!B60)</f>
        <v/>
      </c>
      <c r="C60" s="4">
        <f>IF(OR('半径长度'!C60="",'半径长度'!C60=0),"",('皮层长度'!C60+'韧皮部长度'!C60)/'半径长度'!C60)</f>
        <v/>
      </c>
      <c r="D60" s="4">
        <f>IF(OR('半径长度'!D60="",'半径长度'!D60=0),"",('皮层长度'!D60+'韧皮部长度'!D60)/'半径长度'!D60)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IF(OR('半径长度'!B61="",'半径长度'!B61=0),"",('皮层长度'!B61+'韧皮部长度'!B61)/'半径长度'!B61)</f>
        <v/>
      </c>
      <c r="C61" s="4">
        <f>IF(OR('半径长度'!C61="",'半径长度'!C61=0),"",('皮层长度'!C61+'韧皮部长度'!C61)/'半径长度'!C61)</f>
        <v/>
      </c>
      <c r="D61" s="4">
        <f>IF(OR('半径长度'!D61="",'半径长度'!D61=0),"",('皮层长度'!D61+'韧皮部长度'!D61)/'半径长度'!D61)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IF(OR('半径长度'!B62="",'半径长度'!B62=0),"",('皮层长度'!B62+'韧皮部长度'!B62)/'半径长度'!B62)</f>
        <v/>
      </c>
      <c r="C62" s="4">
        <f>IF(OR('半径长度'!C62="",'半径长度'!C62=0),"",('皮层长度'!C62+'韧皮部长度'!C62)/'半径长度'!C62)</f>
        <v/>
      </c>
      <c r="D62" s="4">
        <f>IF(OR('半径长度'!D62="",'半径长度'!D62=0),"",('皮层长度'!D62+'韧皮部长度'!D62)/'半径长度'!D62)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IF(OR('半径长度'!B63="",'半径长度'!B63=0),"",('皮层长度'!B63+'韧皮部长度'!B63)/'半径长度'!B63)</f>
        <v/>
      </c>
      <c r="C63" s="4">
        <f>IF(OR('半径长度'!C63="",'半径长度'!C63=0),"",('皮层长度'!C63+'韧皮部长度'!C63)/'半径长度'!C63)</f>
        <v/>
      </c>
      <c r="D63" s="4">
        <f>IF(OR('半径长度'!D63="",'半径长度'!D63=0),"",('皮层长度'!D63+'韧皮部长度'!D63)/'半径长度'!D63)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IF(OR('半径长度'!B64="",'半径长度'!B64=0),"",('皮层长度'!B64+'韧皮部长度'!B64)/'半径长度'!B64)</f>
        <v/>
      </c>
      <c r="C64" s="4">
        <f>IF(OR('半径长度'!C64="",'半径长度'!C64=0),"",('皮层长度'!C64+'韧皮部长度'!C64)/'半径长度'!C64)</f>
        <v/>
      </c>
      <c r="D64" s="4">
        <f>IF(OR('半径长度'!D64="",'半径长度'!D64=0),"",('皮层长度'!D64+'韧皮部长度'!D64)/'半径长度'!D64)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M22" sqref="M22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相对韧皮部厚度1</t>
        </is>
      </c>
      <c r="C1" s="4" t="inlineStr">
        <is>
          <t>相对韧皮部厚度2</t>
        </is>
      </c>
      <c r="D1" s="4" t="inlineStr">
        <is>
          <t>相对韧皮部厚度3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IF(OR('半径长度'!B2="",'半径长度'!B2=0),"",('韧皮部长度'!B2)/'半径长度'!B2)</f>
        <v/>
      </c>
      <c r="C2" s="4">
        <f>IF(OR('半径长度'!C2="",'半径长度'!C2=0),"",('韧皮部长度'!C2)/'半径长度'!C2)</f>
        <v/>
      </c>
      <c r="D2" s="4">
        <f>IF(OR('半径长度'!D2="",'半径长度'!D2=0),"",('韧皮部长度'!D2)/'半径长度'!D2)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IF(OR('半径长度'!B3="",'半径长度'!B3=0),"",('韧皮部长度'!B3)/'半径长度'!B3)</f>
        <v/>
      </c>
      <c r="C3" s="4">
        <f>IF(OR('半径长度'!C3="",'半径长度'!C3=0),"",('韧皮部长度'!C3)/'半径长度'!C3)</f>
        <v/>
      </c>
      <c r="D3" s="4">
        <f>IF(OR('半径长度'!D3="",'半径长度'!D3=0),"",('韧皮部长度'!D3)/'半径长度'!D3)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IF(OR('半径长度'!B4="",'半径长度'!B4=0),"",('韧皮部长度'!B4)/'半径长度'!B4)</f>
        <v/>
      </c>
      <c r="C4" s="4">
        <f>IF(OR('半径长度'!C4="",'半径长度'!C4=0),"",('韧皮部长度'!C4)/'半径长度'!C4)</f>
        <v/>
      </c>
      <c r="D4" s="4">
        <f>IF(OR('半径长度'!D4="",'半径长度'!D4=0),"",('韧皮部长度'!D4)/'半径长度'!D4)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IF(OR('半径长度'!B5="",'半径长度'!B5=0),"",('韧皮部长度'!B5)/'半径长度'!B5)</f>
        <v/>
      </c>
      <c r="C5" s="4">
        <f>IF(OR('半径长度'!C5="",'半径长度'!C5=0),"",('韧皮部长度'!C5)/'半径长度'!C5)</f>
        <v/>
      </c>
      <c r="D5" s="4">
        <f>IF(OR('半径长度'!D5="",'半径长度'!D5=0),"",('韧皮部长度'!D5)/'半径长度'!D5)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IF(OR('半径长度'!B6="",'半径长度'!B6=0),"",('韧皮部长度'!B6)/'半径长度'!B6)</f>
        <v/>
      </c>
      <c r="C6" s="4">
        <f>IF(OR('半径长度'!C6="",'半径长度'!C6=0),"",('韧皮部长度'!C6)/'半径长度'!C6)</f>
        <v/>
      </c>
      <c r="D6" s="4">
        <f>IF(OR('半径长度'!D6="",'半径长度'!D6=0),"",('韧皮部长度'!D6)/'半径长度'!D6)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IF(OR('半径长度'!B7="",'半径长度'!B7=0),"",('韧皮部长度'!B7)/'半径长度'!B7)</f>
        <v/>
      </c>
      <c r="C7" s="4">
        <f>IF(OR('半径长度'!C7="",'半径长度'!C7=0),"",('韧皮部长度'!C7)/'半径长度'!C7)</f>
        <v/>
      </c>
      <c r="D7" s="4">
        <f>IF(OR('半径长度'!D7="",'半径长度'!D7=0),"",('韧皮部长度'!D7)/'半径长度'!D7)</f>
        <v/>
      </c>
      <c r="E7" s="4">
        <f>IF(COUNT(B7:D7)=0,"",AVERAGE(B7:D7))</f>
        <v/>
      </c>
      <c r="J7" s="8" t="inlineStr">
        <is>
          <t>相对韧皮部厚度=韧皮部长度/半径长度</t>
        </is>
      </c>
    </row>
    <row r="8">
      <c r="A8" s="4" t="n">
        <v>7</v>
      </c>
      <c r="B8" s="4">
        <f>IF(OR('半径长度'!B8="",'半径长度'!B8=0),"",('韧皮部长度'!B8)/'半径长度'!B8)</f>
        <v/>
      </c>
      <c r="C8" s="4">
        <f>IF(OR('半径长度'!C8="",'半径长度'!C8=0),"",('韧皮部长度'!C8)/'半径长度'!C8)</f>
        <v/>
      </c>
      <c r="D8" s="4">
        <f>IF(OR('半径长度'!D8="",'半径长度'!D8=0),"",('韧皮部长度'!D8)/'半径长度'!D8)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IF(OR('半径长度'!B9="",'半径长度'!B9=0),"",('韧皮部长度'!B9)/'半径长度'!B9)</f>
        <v/>
      </c>
      <c r="C9" s="4">
        <f>IF(OR('半径长度'!C9="",'半径长度'!C9=0),"",('韧皮部长度'!C9)/'半径长度'!C9)</f>
        <v/>
      </c>
      <c r="D9" s="4">
        <f>IF(OR('半径长度'!D9="",'半径长度'!D9=0),"",('韧皮部长度'!D9)/'半径长度'!D9)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IF(OR('半径长度'!B10="",'半径长度'!B10=0),"",('韧皮部长度'!B10)/'半径长度'!B10)</f>
        <v/>
      </c>
      <c r="C10" s="4">
        <f>IF(OR('半径长度'!C10="",'半径长度'!C10=0),"",('韧皮部长度'!C10)/'半径长度'!C10)</f>
        <v/>
      </c>
      <c r="D10" s="4">
        <f>IF(OR('半径长度'!D10="",'半径长度'!D10=0),"",('韧皮部长度'!D10)/'半径长度'!D10)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IF(OR('半径长度'!B11="",'半径长度'!B11=0),"",('韧皮部长度'!B11)/'半径长度'!B11)</f>
        <v/>
      </c>
      <c r="C11" s="4">
        <f>IF(OR('半径长度'!C11="",'半径长度'!C11=0),"",('韧皮部长度'!C11)/'半径长度'!C11)</f>
        <v/>
      </c>
      <c r="D11" s="4">
        <f>IF(OR('半径长度'!D11="",'半径长度'!D11=0),"",('韧皮部长度'!D11)/'半径长度'!D11)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IF(OR('半径长度'!B12="",'半径长度'!B12=0),"",('韧皮部长度'!B12)/'半径长度'!B12)</f>
        <v/>
      </c>
      <c r="C12" s="4">
        <f>IF(OR('半径长度'!C12="",'半径长度'!C12=0),"",('韧皮部长度'!C12)/'半径长度'!C12)</f>
        <v/>
      </c>
      <c r="D12" s="4">
        <f>IF(OR('半径长度'!D12="",'半径长度'!D12=0),"",('韧皮部长度'!D12)/'半径长度'!D12)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IF(OR('半径长度'!B13="",'半径长度'!B13=0),"",('韧皮部长度'!B13)/'半径长度'!B13)</f>
        <v/>
      </c>
      <c r="C13" s="4">
        <f>IF(OR('半径长度'!C13="",'半径长度'!C13=0),"",('韧皮部长度'!C13)/'半径长度'!C13)</f>
        <v/>
      </c>
      <c r="D13" s="4">
        <f>IF(OR('半径长度'!D13="",'半径长度'!D13=0),"",('韧皮部长度'!D13)/'半径长度'!D13)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IF(OR('半径长度'!B14="",'半径长度'!B14=0),"",('韧皮部长度'!B14)/'半径长度'!B14)</f>
        <v/>
      </c>
      <c r="C14" s="4">
        <f>IF(OR('半径长度'!C14="",'半径长度'!C14=0),"",('韧皮部长度'!C14)/'半径长度'!C14)</f>
        <v/>
      </c>
      <c r="D14" s="4">
        <f>IF(OR('半径长度'!D14="",'半径长度'!D14=0),"",('韧皮部长度'!D14)/'半径长度'!D14)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IF(OR('半径长度'!B15="",'半径长度'!B15=0),"",('韧皮部长度'!B15)/'半径长度'!B15)</f>
        <v/>
      </c>
      <c r="C15" s="4">
        <f>IF(OR('半径长度'!C15="",'半径长度'!C15=0),"",('韧皮部长度'!C15)/'半径长度'!C15)</f>
        <v/>
      </c>
      <c r="D15" s="4">
        <f>IF(OR('半径长度'!D15="",'半径长度'!D15=0),"",('韧皮部长度'!D15)/'半径长度'!D15)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IF(OR('半径长度'!B16="",'半径长度'!B16=0),"",('韧皮部长度'!B16)/'半径长度'!B16)</f>
        <v/>
      </c>
      <c r="C16" s="4">
        <f>IF(OR('半径长度'!C16="",'半径长度'!C16=0),"",('韧皮部长度'!C16)/'半径长度'!C16)</f>
        <v/>
      </c>
      <c r="D16" s="4">
        <f>IF(OR('半径长度'!D16="",'半径长度'!D16=0),"",('韧皮部长度'!D16)/'半径长度'!D16)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IF(OR('半径长度'!B17="",'半径长度'!B17=0),"",('韧皮部长度'!B17)/'半径长度'!B17)</f>
        <v/>
      </c>
      <c r="C17" s="4">
        <f>IF(OR('半径长度'!C17="",'半径长度'!C17=0),"",('韧皮部长度'!C17)/'半径长度'!C17)</f>
        <v/>
      </c>
      <c r="D17" s="4">
        <f>IF(OR('半径长度'!D17="",'半径长度'!D17=0),"",('韧皮部长度'!D17)/'半径长度'!D17)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IF(OR('半径长度'!B18="",'半径长度'!B18=0),"",('韧皮部长度'!B18)/'半径长度'!B18)</f>
        <v/>
      </c>
      <c r="C18" s="4">
        <f>IF(OR('半径长度'!C18="",'半径长度'!C18=0),"",('韧皮部长度'!C18)/'半径长度'!C18)</f>
        <v/>
      </c>
      <c r="D18" s="4">
        <f>IF(OR('半径长度'!D18="",'半径长度'!D18=0),"",('韧皮部长度'!D18)/'半径长度'!D18)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IF(OR('半径长度'!B19="",'半径长度'!B19=0),"",('韧皮部长度'!B19)/'半径长度'!B19)</f>
        <v/>
      </c>
      <c r="C19" s="4">
        <f>IF(OR('半径长度'!C19="",'半径长度'!C19=0),"",('韧皮部长度'!C19)/'半径长度'!C19)</f>
        <v/>
      </c>
      <c r="D19" s="4">
        <f>IF(OR('半径长度'!D19="",'半径长度'!D19=0),"",('韧皮部长度'!D19)/'半径长度'!D19)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IF(OR('半径长度'!B20="",'半径长度'!B20=0),"",('韧皮部长度'!B20)/'半径长度'!B20)</f>
        <v/>
      </c>
      <c r="C20" s="4">
        <f>IF(OR('半径长度'!C20="",'半径长度'!C20=0),"",('韧皮部长度'!C20)/'半径长度'!C20)</f>
        <v/>
      </c>
      <c r="D20" s="4">
        <f>IF(OR('半径长度'!D20="",'半径长度'!D20=0),"",('韧皮部长度'!D20)/'半径长度'!D20)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IF(OR('半径长度'!B21="",'半径长度'!B21=0),"",('韧皮部长度'!B21)/'半径长度'!B21)</f>
        <v/>
      </c>
      <c r="C21" s="4">
        <f>IF(OR('半径长度'!C21="",'半径长度'!C21=0),"",('韧皮部长度'!C21)/'半径长度'!C21)</f>
        <v/>
      </c>
      <c r="D21" s="4">
        <f>IF(OR('半径长度'!D21="",'半径长度'!D21=0),"",('韧皮部长度'!D21)/'半径长度'!D21)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IF(OR('半径长度'!B22="",'半径长度'!B22=0),"",('韧皮部长度'!B22)/'半径长度'!B22)</f>
        <v/>
      </c>
      <c r="C22" s="4">
        <f>IF(OR('半径长度'!C22="",'半径长度'!C22=0),"",('韧皮部长度'!C22)/'半径长度'!C22)</f>
        <v/>
      </c>
      <c r="D22" s="4">
        <f>IF(OR('半径长度'!D22="",'半径长度'!D22=0),"",('韧皮部长度'!D22)/'半径长度'!D22)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IF(OR('半径长度'!B23="",'半径长度'!B23=0),"",('韧皮部长度'!B23)/'半径长度'!B23)</f>
        <v/>
      </c>
      <c r="C23" s="4">
        <f>IF(OR('半径长度'!C23="",'半径长度'!C23=0),"",('韧皮部长度'!C23)/'半径长度'!C23)</f>
        <v/>
      </c>
      <c r="D23" s="4">
        <f>IF(OR('半径长度'!D23="",'半径长度'!D23=0),"",('韧皮部长度'!D23)/'半径长度'!D23)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IF(OR('半径长度'!B24="",'半径长度'!B24=0),"",('韧皮部长度'!B24)/'半径长度'!B24)</f>
        <v/>
      </c>
      <c r="C24" s="4">
        <f>IF(OR('半径长度'!C24="",'半径长度'!C24=0),"",('韧皮部长度'!C24)/'半径长度'!C24)</f>
        <v/>
      </c>
      <c r="D24" s="4">
        <f>IF(OR('半径长度'!D24="",'半径长度'!D24=0),"",('韧皮部长度'!D24)/'半径长度'!D24)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IF(OR('半径长度'!B25="",'半径长度'!B25=0),"",('韧皮部长度'!B25)/'半径长度'!B25)</f>
        <v/>
      </c>
      <c r="C25" s="4">
        <f>IF(OR('半径长度'!C25="",'半径长度'!C25=0),"",('韧皮部长度'!C25)/'半径长度'!C25)</f>
        <v/>
      </c>
      <c r="D25" s="4">
        <f>IF(OR('半径长度'!D25="",'半径长度'!D25=0),"",('韧皮部长度'!D25)/'半径长度'!D25)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IF(OR('半径长度'!B26="",'半径长度'!B26=0),"",('韧皮部长度'!B26)/'半径长度'!B26)</f>
        <v/>
      </c>
      <c r="C26" s="4">
        <f>IF(OR('半径长度'!C26="",'半径长度'!C26=0),"",('韧皮部长度'!C26)/'半径长度'!C26)</f>
        <v/>
      </c>
      <c r="D26" s="4">
        <f>IF(OR('半径长度'!D26="",'半径长度'!D26=0),"",('韧皮部长度'!D26)/'半径长度'!D26)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IF(OR('半径长度'!B27="",'半径长度'!B27=0),"",('韧皮部长度'!B27)/'半径长度'!B27)</f>
        <v/>
      </c>
      <c r="C27" s="4">
        <f>IF(OR('半径长度'!C27="",'半径长度'!C27=0),"",('韧皮部长度'!C27)/'半径长度'!C27)</f>
        <v/>
      </c>
      <c r="D27" s="4">
        <f>IF(OR('半径长度'!D27="",'半径长度'!D27=0),"",('韧皮部长度'!D27)/'半径长度'!D27)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IF(OR('半径长度'!B28="",'半径长度'!B28=0),"",('韧皮部长度'!B28)/'半径长度'!B28)</f>
        <v/>
      </c>
      <c r="C28" s="4">
        <f>IF(OR('半径长度'!C28="",'半径长度'!C28=0),"",('韧皮部长度'!C28)/'半径长度'!C28)</f>
        <v/>
      </c>
      <c r="D28" s="4">
        <f>IF(OR('半径长度'!D28="",'半径长度'!D28=0),"",('韧皮部长度'!D28)/'半径长度'!D28)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IF(OR('半径长度'!B29="",'半径长度'!B29=0),"",('韧皮部长度'!B29)/'半径长度'!B29)</f>
        <v/>
      </c>
      <c r="C29" s="4">
        <f>IF(OR('半径长度'!C29="",'半径长度'!C29=0),"",('韧皮部长度'!C29)/'半径长度'!C29)</f>
        <v/>
      </c>
      <c r="D29" s="4">
        <f>IF(OR('半径长度'!D29="",'半径长度'!D29=0),"",('韧皮部长度'!D29)/'半径长度'!D29)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IF(OR('半径长度'!B30="",'半径长度'!B30=0),"",('韧皮部长度'!B30)/'半径长度'!B30)</f>
        <v/>
      </c>
      <c r="C30" s="4">
        <f>IF(OR('半径长度'!C30="",'半径长度'!C30=0),"",('韧皮部长度'!C30)/'半径长度'!C30)</f>
        <v/>
      </c>
      <c r="D30" s="4">
        <f>IF(OR('半径长度'!D30="",'半径长度'!D30=0),"",('韧皮部长度'!D30)/'半径长度'!D30)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IF(OR('半径长度'!B31="",'半径长度'!B31=0),"",('韧皮部长度'!B31)/'半径长度'!B31)</f>
        <v/>
      </c>
      <c r="C31" s="4">
        <f>IF(OR('半径长度'!C31="",'半径长度'!C31=0),"",('韧皮部长度'!C31)/'半径长度'!C31)</f>
        <v/>
      </c>
      <c r="D31" s="4">
        <f>IF(OR('半径长度'!D31="",'半径长度'!D31=0),"",('韧皮部长度'!D31)/'半径长度'!D31)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IF(OR('半径长度'!B32="",'半径长度'!B32=0),"",('韧皮部长度'!B32)/'半径长度'!B32)</f>
        <v/>
      </c>
      <c r="C32" s="4">
        <f>IF(OR('半径长度'!C32="",'半径长度'!C32=0),"",('韧皮部长度'!C32)/'半径长度'!C32)</f>
        <v/>
      </c>
      <c r="D32" s="4">
        <f>IF(OR('半径长度'!D32="",'半径长度'!D32=0),"",('韧皮部长度'!D32)/'半径长度'!D32)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IF(OR('半径长度'!B33="",'半径长度'!B33=0),"",('韧皮部长度'!B33)/'半径长度'!B33)</f>
        <v/>
      </c>
      <c r="C33" s="4">
        <f>IF(OR('半径长度'!C33="",'半径长度'!C33=0),"",('韧皮部长度'!C33)/'半径长度'!C33)</f>
        <v/>
      </c>
      <c r="D33" s="4">
        <f>IF(OR('半径长度'!D33="",'半径长度'!D33=0),"",('韧皮部长度'!D33)/'半径长度'!D33)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IF(OR('半径长度'!B34="",'半径长度'!B34=0),"",('韧皮部长度'!B34)/'半径长度'!B34)</f>
        <v/>
      </c>
      <c r="C34" s="4">
        <f>IF(OR('半径长度'!C34="",'半径长度'!C34=0),"",('韧皮部长度'!C34)/'半径长度'!C34)</f>
        <v/>
      </c>
      <c r="D34" s="4">
        <f>IF(OR('半径长度'!D34="",'半径长度'!D34=0),"",('韧皮部长度'!D34)/'半径长度'!D34)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IF(OR('半径长度'!B35="",'半径长度'!B35=0),"",('韧皮部长度'!B35)/'半径长度'!B35)</f>
        <v/>
      </c>
      <c r="C35" s="4">
        <f>IF(OR('半径长度'!C35="",'半径长度'!C35=0),"",('韧皮部长度'!C35)/'半径长度'!C35)</f>
        <v/>
      </c>
      <c r="D35" s="4">
        <f>IF(OR('半径长度'!D35="",'半径长度'!D35=0),"",('韧皮部长度'!D35)/'半径长度'!D35)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IF(OR('半径长度'!B36="",'半径长度'!B36=0),"",('韧皮部长度'!B36)/'半径长度'!B36)</f>
        <v/>
      </c>
      <c r="C36" s="4">
        <f>IF(OR('半径长度'!C36="",'半径长度'!C36=0),"",('韧皮部长度'!C36)/'半径长度'!C36)</f>
        <v/>
      </c>
      <c r="D36" s="4">
        <f>IF(OR('半径长度'!D36="",'半径长度'!D36=0),"",('韧皮部长度'!D36)/'半径长度'!D36)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IF(OR('半径长度'!B37="",'半径长度'!B37=0),"",('韧皮部长度'!B37)/'半径长度'!B37)</f>
        <v/>
      </c>
      <c r="C37" s="4">
        <f>IF(OR('半径长度'!C37="",'半径长度'!C37=0),"",('韧皮部长度'!C37)/'半径长度'!C37)</f>
        <v/>
      </c>
      <c r="D37" s="4">
        <f>IF(OR('半径长度'!D37="",'半径长度'!D37=0),"",('韧皮部长度'!D37)/'半径长度'!D37)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IF(OR('半径长度'!B38="",'半径长度'!B38=0),"",('韧皮部长度'!B38)/'半径长度'!B38)</f>
        <v/>
      </c>
      <c r="C38" s="4">
        <f>IF(OR('半径长度'!C38="",'半径长度'!C38=0),"",('韧皮部长度'!C38)/'半径长度'!C38)</f>
        <v/>
      </c>
      <c r="D38" s="4">
        <f>IF(OR('半径长度'!D38="",'半径长度'!D38=0),"",('韧皮部长度'!D38)/'半径长度'!D38)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IF(OR('半径长度'!B39="",'半径长度'!B39=0),"",('韧皮部长度'!B39)/'半径长度'!B39)</f>
        <v/>
      </c>
      <c r="C39" s="4">
        <f>IF(OR('半径长度'!C39="",'半径长度'!C39=0),"",('韧皮部长度'!C39)/'半径长度'!C39)</f>
        <v/>
      </c>
      <c r="D39" s="4">
        <f>IF(OR('半径长度'!D39="",'半径长度'!D39=0),"",('韧皮部长度'!D39)/'半径长度'!D39)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IF(OR('半径长度'!B40="",'半径长度'!B40=0),"",('韧皮部长度'!B40)/'半径长度'!B40)</f>
        <v/>
      </c>
      <c r="C40" s="4">
        <f>IF(OR('半径长度'!C40="",'半径长度'!C40=0),"",('韧皮部长度'!C40)/'半径长度'!C40)</f>
        <v/>
      </c>
      <c r="D40" s="4">
        <f>IF(OR('半径长度'!D40="",'半径长度'!D40=0),"",('韧皮部长度'!D40)/'半径长度'!D40)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IF(OR('半径长度'!B41="",'半径长度'!B41=0),"",('韧皮部长度'!B41)/'半径长度'!B41)</f>
        <v/>
      </c>
      <c r="C41" s="4">
        <f>IF(OR('半径长度'!C41="",'半径长度'!C41=0),"",('韧皮部长度'!C41)/'半径长度'!C41)</f>
        <v/>
      </c>
      <c r="D41" s="4">
        <f>IF(OR('半径长度'!D41="",'半径长度'!D41=0),"",('韧皮部长度'!D41)/'半径长度'!D41)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IF(OR('半径长度'!B42="",'半径长度'!B42=0),"",('韧皮部长度'!B42)/'半径长度'!B42)</f>
        <v/>
      </c>
      <c r="C42" s="4">
        <f>IF(OR('半径长度'!C42="",'半径长度'!C42=0),"",('韧皮部长度'!C42)/'半径长度'!C42)</f>
        <v/>
      </c>
      <c r="D42" s="4">
        <f>IF(OR('半径长度'!D42="",'半径长度'!D42=0),"",('韧皮部长度'!D42)/'半径长度'!D42)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IF(OR('半径长度'!B43="",'半径长度'!B43=0),"",('韧皮部长度'!B43)/'半径长度'!B43)</f>
        <v/>
      </c>
      <c r="C43" s="4">
        <f>IF(OR('半径长度'!C43="",'半径长度'!C43=0),"",('韧皮部长度'!C43)/'半径长度'!C43)</f>
        <v/>
      </c>
      <c r="D43" s="4">
        <f>IF(OR('半径长度'!D43="",'半径长度'!D43=0),"",('韧皮部长度'!D43)/'半径长度'!D43)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IF(OR('半径长度'!B44="",'半径长度'!B44=0),"",('韧皮部长度'!B44)/'半径长度'!B44)</f>
        <v/>
      </c>
      <c r="C44" s="4">
        <f>IF(OR('半径长度'!C44="",'半径长度'!C44=0),"",('韧皮部长度'!C44)/'半径长度'!C44)</f>
        <v/>
      </c>
      <c r="D44" s="4">
        <f>IF(OR('半径长度'!D44="",'半径长度'!D44=0),"",('韧皮部长度'!D44)/'半径长度'!D44)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IF(OR('半径长度'!B45="",'半径长度'!B45=0),"",('韧皮部长度'!B45)/'半径长度'!B45)</f>
        <v/>
      </c>
      <c r="C45" s="4">
        <f>IF(OR('半径长度'!C45="",'半径长度'!C45=0),"",('韧皮部长度'!C45)/'半径长度'!C45)</f>
        <v/>
      </c>
      <c r="D45" s="4">
        <f>IF(OR('半径长度'!D45="",'半径长度'!D45=0),"",('韧皮部长度'!D45)/'半径长度'!D45)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IF(OR('半径长度'!B46="",'半径长度'!B46=0),"",('韧皮部长度'!B46)/'半径长度'!B46)</f>
        <v/>
      </c>
      <c r="C46" s="4">
        <f>IF(OR('半径长度'!C46="",'半径长度'!C46=0),"",('韧皮部长度'!C46)/'半径长度'!C46)</f>
        <v/>
      </c>
      <c r="D46" s="4">
        <f>IF(OR('半径长度'!D46="",'半径长度'!D46=0),"",('韧皮部长度'!D46)/'半径长度'!D46)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IF(OR('半径长度'!B47="",'半径长度'!B47=0),"",('韧皮部长度'!B47)/'半径长度'!B47)</f>
        <v/>
      </c>
      <c r="C47" s="4">
        <f>IF(OR('半径长度'!C47="",'半径长度'!C47=0),"",('韧皮部长度'!C47)/'半径长度'!C47)</f>
        <v/>
      </c>
      <c r="D47" s="4">
        <f>IF(OR('半径长度'!D47="",'半径长度'!D47=0),"",('韧皮部长度'!D47)/'半径长度'!D47)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IF(OR('半径长度'!B48="",'半径长度'!B48=0),"",('韧皮部长度'!B48)/'半径长度'!B48)</f>
        <v/>
      </c>
      <c r="C48" s="4">
        <f>IF(OR('半径长度'!C48="",'半径长度'!C48=0),"",('韧皮部长度'!C48)/'半径长度'!C48)</f>
        <v/>
      </c>
      <c r="D48" s="4">
        <f>IF(OR('半径长度'!D48="",'半径长度'!D48=0),"",('韧皮部长度'!D48)/'半径长度'!D48)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IF(OR('半径长度'!B49="",'半径长度'!B49=0),"",('韧皮部长度'!B49)/'半径长度'!B49)</f>
        <v/>
      </c>
      <c r="C49" s="4">
        <f>IF(OR('半径长度'!C49="",'半径长度'!C49=0),"",('韧皮部长度'!C49)/'半径长度'!C49)</f>
        <v/>
      </c>
      <c r="D49" s="4">
        <f>IF(OR('半径长度'!D49="",'半径长度'!D49=0),"",('韧皮部长度'!D49)/'半径长度'!D49)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IF(OR('半径长度'!B50="",'半径长度'!B50=0),"",('韧皮部长度'!B50)/'半径长度'!B50)</f>
        <v/>
      </c>
      <c r="C50" s="4">
        <f>IF(OR('半径长度'!C50="",'半径长度'!C50=0),"",('韧皮部长度'!C50)/'半径长度'!C50)</f>
        <v/>
      </c>
      <c r="D50" s="4">
        <f>IF(OR('半径长度'!D50="",'半径长度'!D50=0),"",('韧皮部长度'!D50)/'半径长度'!D50)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IF(OR('半径长度'!B51="",'半径长度'!B51=0),"",('韧皮部长度'!B51)/'半径长度'!B51)</f>
        <v/>
      </c>
      <c r="C51" s="4">
        <f>IF(OR('半径长度'!C51="",'半径长度'!C51=0),"",('韧皮部长度'!C51)/'半径长度'!C51)</f>
        <v/>
      </c>
      <c r="D51" s="4">
        <f>IF(OR('半径长度'!D51="",'半径长度'!D51=0),"",('韧皮部长度'!D51)/'半径长度'!D51)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IF(OR('半径长度'!B52="",'半径长度'!B52=0),"",('韧皮部长度'!B52)/'半径长度'!B52)</f>
        <v/>
      </c>
      <c r="C52" s="4">
        <f>IF(OR('半径长度'!C52="",'半径长度'!C52=0),"",('韧皮部长度'!C52)/'半径长度'!C52)</f>
        <v/>
      </c>
      <c r="D52" s="4">
        <f>IF(OR('半径长度'!D52="",'半径长度'!D52=0),"",('韧皮部长度'!D52)/'半径长度'!D52)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IF(OR('半径长度'!B53="",'半径长度'!B53=0),"",('韧皮部长度'!B53)/'半径长度'!B53)</f>
        <v/>
      </c>
      <c r="C53" s="4">
        <f>IF(OR('半径长度'!C53="",'半径长度'!C53=0),"",('韧皮部长度'!C53)/'半径长度'!C53)</f>
        <v/>
      </c>
      <c r="D53" s="4">
        <f>IF(OR('半径长度'!D53="",'半径长度'!D53=0),"",('韧皮部长度'!D53)/'半径长度'!D53)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IF(OR('半径长度'!B54="",'半径长度'!B54=0),"",('韧皮部长度'!B54)/'半径长度'!B54)</f>
        <v/>
      </c>
      <c r="C54" s="4">
        <f>IF(OR('半径长度'!C54="",'半径长度'!C54=0),"",('韧皮部长度'!C54)/'半径长度'!C54)</f>
        <v/>
      </c>
      <c r="D54" s="4">
        <f>IF(OR('半径长度'!D54="",'半径长度'!D54=0),"",('韧皮部长度'!D54)/'半径长度'!D54)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IF(OR('半径长度'!B55="",'半径长度'!B55=0),"",('韧皮部长度'!B55)/'半径长度'!B55)</f>
        <v/>
      </c>
      <c r="C55" s="4">
        <f>IF(OR('半径长度'!C55="",'半径长度'!C55=0),"",('韧皮部长度'!C55)/'半径长度'!C55)</f>
        <v/>
      </c>
      <c r="D55" s="4">
        <f>IF(OR('半径长度'!D55="",'半径长度'!D55=0),"",('韧皮部长度'!D55)/'半径长度'!D55)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IF(OR('半径长度'!B56="",'半径长度'!B56=0),"",('韧皮部长度'!B56)/'半径长度'!B56)</f>
        <v/>
      </c>
      <c r="C56" s="4">
        <f>IF(OR('半径长度'!C56="",'半径长度'!C56=0),"",('韧皮部长度'!C56)/'半径长度'!C56)</f>
        <v/>
      </c>
      <c r="D56" s="4">
        <f>IF(OR('半径长度'!D56="",'半径长度'!D56=0),"",('韧皮部长度'!D56)/'半径长度'!D56)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IF(OR('半径长度'!B57="",'半径长度'!B57=0),"",('韧皮部长度'!B57)/'半径长度'!B57)</f>
        <v/>
      </c>
      <c r="C57" s="4">
        <f>IF(OR('半径长度'!C57="",'半径长度'!C57=0),"",('韧皮部长度'!C57)/'半径长度'!C57)</f>
        <v/>
      </c>
      <c r="D57" s="4">
        <f>IF(OR('半径长度'!D57="",'半径长度'!D57=0),"",('韧皮部长度'!D57)/'半径长度'!D57)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IF(OR('半径长度'!B58="",'半径长度'!B58=0),"",('韧皮部长度'!B58)/'半径长度'!B58)</f>
        <v/>
      </c>
      <c r="C58" s="4">
        <f>IF(OR('半径长度'!C58="",'半径长度'!C58=0),"",('韧皮部长度'!C58)/'半径长度'!C58)</f>
        <v/>
      </c>
      <c r="D58" s="4">
        <f>IF(OR('半径长度'!D58="",'半径长度'!D58=0),"",('韧皮部长度'!D58)/'半径长度'!D58)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IF(OR('半径长度'!B59="",'半径长度'!B59=0),"",('韧皮部长度'!B59)/'半径长度'!B59)</f>
        <v/>
      </c>
      <c r="C59" s="4">
        <f>IF(OR('半径长度'!C59="",'半径长度'!C59=0),"",('韧皮部长度'!C59)/'半径长度'!C59)</f>
        <v/>
      </c>
      <c r="D59" s="4">
        <f>IF(OR('半径长度'!D59="",'半径长度'!D59=0),"",('韧皮部长度'!D59)/'半径长度'!D59)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IF(OR('半径长度'!B60="",'半径长度'!B60=0),"",('韧皮部长度'!B60)/'半径长度'!B60)</f>
        <v/>
      </c>
      <c r="C60" s="4">
        <f>IF(OR('半径长度'!C60="",'半径长度'!C60=0),"",('韧皮部长度'!C60)/'半径长度'!C60)</f>
        <v/>
      </c>
      <c r="D60" s="4">
        <f>IF(OR('半径长度'!D60="",'半径长度'!D60=0),"",('韧皮部长度'!D60)/'半径长度'!D60)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IF(OR('半径长度'!B61="",'半径长度'!B61=0),"",('韧皮部长度'!B61)/'半径长度'!B61)</f>
        <v/>
      </c>
      <c r="C61" s="4">
        <f>IF(OR('半径长度'!C61="",'半径长度'!C61=0),"",('韧皮部长度'!C61)/'半径长度'!C61)</f>
        <v/>
      </c>
      <c r="D61" s="4">
        <f>IF(OR('半径长度'!D61="",'半径长度'!D61=0),"",('韧皮部长度'!D61)/'半径长度'!D61)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IF(OR('半径长度'!B62="",'半径长度'!B62=0),"",('韧皮部长度'!B62)/'半径长度'!B62)</f>
        <v/>
      </c>
      <c r="C62" s="4">
        <f>IF(OR('半径长度'!C62="",'半径长度'!C62=0),"",('韧皮部长度'!C62)/'半径长度'!C62)</f>
        <v/>
      </c>
      <c r="D62" s="4">
        <f>IF(OR('半径长度'!D62="",'半径长度'!D62=0),"",('韧皮部长度'!D62)/'半径长度'!D62)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IF(OR('半径长度'!B63="",'半径长度'!B63=0),"",('韧皮部长度'!B63)/'半径长度'!B63)</f>
        <v/>
      </c>
      <c r="C63" s="4">
        <f>IF(OR('半径长度'!C63="",'半径长度'!C63=0),"",('韧皮部长度'!C63)/'半径长度'!C63)</f>
        <v/>
      </c>
      <c r="D63" s="4">
        <f>IF(OR('半径长度'!D63="",'半径长度'!D63=0),"",('韧皮部长度'!D63)/'半径长度'!D63)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IF(OR('半径长度'!B64="",'半径长度'!B64=0),"",('韧皮部长度'!B64)/'半径长度'!B64)</f>
        <v/>
      </c>
      <c r="C64" s="4">
        <f>IF(OR('半径长度'!C64="",'半径长度'!C64=0),"",('韧皮部长度'!C64)/'半径长度'!C64)</f>
        <v/>
      </c>
      <c r="D64" s="4">
        <f>IF(OR('半径长度'!D64="",'半径长度'!D64=0),"",('韧皮部长度'!D64)/'半径长度'!D64)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H31" sqref="H31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相对木质部厚度1</t>
        </is>
      </c>
      <c r="C1" s="4" t="inlineStr">
        <is>
          <t>相对木质部厚度2</t>
        </is>
      </c>
      <c r="D1" s="4" t="inlineStr">
        <is>
          <t>相对木质部厚度3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IF(OR('半径长度'!B2="",'半径长度'!B2=0),"",('木质部长度'!B2)/'半径长度'!B2)</f>
        <v/>
      </c>
      <c r="C2" s="4">
        <f>IF(OR('半径长度'!C2="",'半径长度'!C2=0),"",('木质部长度'!C2)/'半径长度'!C2)</f>
        <v/>
      </c>
      <c r="D2" s="4">
        <f>IF(OR('半径长度'!D2="",'半径长度'!D2=0),"",('木质部长度'!D2)/'半径长度'!D2)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IF(OR('半径长度'!B3="",'半径长度'!B3=0),"",('木质部长度'!B3)/'半径长度'!B3)</f>
        <v/>
      </c>
      <c r="C3" s="4">
        <f>IF(OR('半径长度'!C3="",'半径长度'!C3=0),"",('木质部长度'!C3)/'半径长度'!C3)</f>
        <v/>
      </c>
      <c r="D3" s="4">
        <f>IF(OR('半径长度'!D3="",'半径长度'!D3=0),"",('木质部长度'!D3)/'半径长度'!D3)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IF(OR('半径长度'!B4="",'半径长度'!B4=0),"",('木质部长度'!B4)/'半径长度'!B4)</f>
        <v/>
      </c>
      <c r="C4" s="4">
        <f>IF(OR('半径长度'!C4="",'半径长度'!C4=0),"",('木质部长度'!C4)/'半径长度'!C4)</f>
        <v/>
      </c>
      <c r="D4" s="4">
        <f>IF(OR('半径长度'!D4="",'半径长度'!D4=0),"",('木质部长度'!D4)/'半径长度'!D4)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IF(OR('半径长度'!B5="",'半径长度'!B5=0),"",('木质部长度'!B5)/'半径长度'!B5)</f>
        <v/>
      </c>
      <c r="C5" s="4">
        <f>IF(OR('半径长度'!C5="",'半径长度'!C5=0),"",('木质部长度'!C5)/'半径长度'!C5)</f>
        <v/>
      </c>
      <c r="D5" s="4">
        <f>IF(OR('半径长度'!D5="",'半径长度'!D5=0),"",('木质部长度'!D5)/'半径长度'!D5)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IF(OR('半径长度'!B6="",'半径长度'!B6=0),"",('木质部长度'!B6)/'半径长度'!B6)</f>
        <v/>
      </c>
      <c r="C6" s="4">
        <f>IF(OR('半径长度'!C6="",'半径长度'!C6=0),"",('木质部长度'!C6)/'半径长度'!C6)</f>
        <v/>
      </c>
      <c r="D6" s="4">
        <f>IF(OR('半径长度'!D6="",'半径长度'!D6=0),"",('木质部长度'!D6)/'半径长度'!D6)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IF(OR('半径长度'!B7="",'半径长度'!B7=0),"",('木质部长度'!B7)/'半径长度'!B7)</f>
        <v/>
      </c>
      <c r="C7" s="4">
        <f>IF(OR('半径长度'!C7="",'半径长度'!C7=0),"",('木质部长度'!C7)/'半径长度'!C7)</f>
        <v/>
      </c>
      <c r="D7" s="4">
        <f>IF(OR('半径长度'!D7="",'半径长度'!D7=0),"",('木质部长度'!D7)/'半径长度'!D7)</f>
        <v/>
      </c>
      <c r="E7" s="4">
        <f>IF(COUNT(B7:D7)=0,"",AVERAGE(B7:D7))</f>
        <v/>
      </c>
      <c r="J7" s="8" t="inlineStr">
        <is>
          <t>相对木质部厚度=木质部长度/半径长度</t>
        </is>
      </c>
    </row>
    <row r="8">
      <c r="A8" s="4" t="n">
        <v>7</v>
      </c>
      <c r="B8" s="4">
        <f>IF(OR('半径长度'!B8="",'半径长度'!B8=0),"",('木质部长度'!B8)/'半径长度'!B8)</f>
        <v/>
      </c>
      <c r="C8" s="4">
        <f>IF(OR('半径长度'!C8="",'半径长度'!C8=0),"",('木质部长度'!C8)/'半径长度'!C8)</f>
        <v/>
      </c>
      <c r="D8" s="4">
        <f>IF(OR('半径长度'!D8="",'半径长度'!D8=0),"",('木质部长度'!D8)/'半径长度'!D8)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IF(OR('半径长度'!B9="",'半径长度'!B9=0),"",('木质部长度'!B9)/'半径长度'!B9)</f>
        <v/>
      </c>
      <c r="C9" s="4">
        <f>IF(OR('半径长度'!C9="",'半径长度'!C9=0),"",('木质部长度'!C9)/'半径长度'!C9)</f>
        <v/>
      </c>
      <c r="D9" s="4">
        <f>IF(OR('半径长度'!D9="",'半径长度'!D9=0),"",('木质部长度'!D9)/'半径长度'!D9)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IF(OR('半径长度'!B10="",'半径长度'!B10=0),"",('木质部长度'!B10)/'半径长度'!B10)</f>
        <v/>
      </c>
      <c r="C10" s="4">
        <f>IF(OR('半径长度'!C10="",'半径长度'!C10=0),"",('木质部长度'!C10)/'半径长度'!C10)</f>
        <v/>
      </c>
      <c r="D10" s="4">
        <f>IF(OR('半径长度'!D10="",'半径长度'!D10=0),"",('木质部长度'!D10)/'半径长度'!D10)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IF(OR('半径长度'!B11="",'半径长度'!B11=0),"",('木质部长度'!B11)/'半径长度'!B11)</f>
        <v/>
      </c>
      <c r="C11" s="4">
        <f>IF(OR('半径长度'!C11="",'半径长度'!C11=0),"",('木质部长度'!C11)/'半径长度'!C11)</f>
        <v/>
      </c>
      <c r="D11" s="4">
        <f>IF(OR('半径长度'!D11="",'半径长度'!D11=0),"",('木质部长度'!D11)/'半径长度'!D11)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IF(OR('半径长度'!B12="",'半径长度'!B12=0),"",('木质部长度'!B12)/'半径长度'!B12)</f>
        <v/>
      </c>
      <c r="C12" s="4">
        <f>IF(OR('半径长度'!C12="",'半径长度'!C12=0),"",('木质部长度'!C12)/'半径长度'!C12)</f>
        <v/>
      </c>
      <c r="D12" s="4">
        <f>IF(OR('半径长度'!D12="",'半径长度'!D12=0),"",('木质部长度'!D12)/'半径长度'!D12)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IF(OR('半径长度'!B13="",'半径长度'!B13=0),"",('木质部长度'!B13)/'半径长度'!B13)</f>
        <v/>
      </c>
      <c r="C13" s="4">
        <f>IF(OR('半径长度'!C13="",'半径长度'!C13=0),"",('木质部长度'!C13)/'半径长度'!C13)</f>
        <v/>
      </c>
      <c r="D13" s="4">
        <f>IF(OR('半径长度'!D13="",'半径长度'!D13=0),"",('木质部长度'!D13)/'半径长度'!D13)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IF(OR('半径长度'!B14="",'半径长度'!B14=0),"",('木质部长度'!B14)/'半径长度'!B14)</f>
        <v/>
      </c>
      <c r="C14" s="4">
        <f>IF(OR('半径长度'!C14="",'半径长度'!C14=0),"",('木质部长度'!C14)/'半径长度'!C14)</f>
        <v/>
      </c>
      <c r="D14" s="4">
        <f>IF(OR('半径长度'!D14="",'半径长度'!D14=0),"",('木质部长度'!D14)/'半径长度'!D14)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IF(OR('半径长度'!B15="",'半径长度'!B15=0),"",('木质部长度'!B15)/'半径长度'!B15)</f>
        <v/>
      </c>
      <c r="C15" s="4">
        <f>IF(OR('半径长度'!C15="",'半径长度'!C15=0),"",('木质部长度'!C15)/'半径长度'!C15)</f>
        <v/>
      </c>
      <c r="D15" s="4">
        <f>IF(OR('半径长度'!D15="",'半径长度'!D15=0),"",('木质部长度'!D15)/'半径长度'!D15)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IF(OR('半径长度'!B16="",'半径长度'!B16=0),"",('木质部长度'!B16)/'半径长度'!B16)</f>
        <v/>
      </c>
      <c r="C16" s="4">
        <f>IF(OR('半径长度'!C16="",'半径长度'!C16=0),"",('木质部长度'!C16)/'半径长度'!C16)</f>
        <v/>
      </c>
      <c r="D16" s="4">
        <f>IF(OR('半径长度'!D16="",'半径长度'!D16=0),"",('木质部长度'!D16)/'半径长度'!D16)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IF(OR('半径长度'!B17="",'半径长度'!B17=0),"",('木质部长度'!B17)/'半径长度'!B17)</f>
        <v/>
      </c>
      <c r="C17" s="4">
        <f>IF(OR('半径长度'!C17="",'半径长度'!C17=0),"",('木质部长度'!C17)/'半径长度'!C17)</f>
        <v/>
      </c>
      <c r="D17" s="4">
        <f>IF(OR('半径长度'!D17="",'半径长度'!D17=0),"",('木质部长度'!D17)/'半径长度'!D17)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IF(OR('半径长度'!B18="",'半径长度'!B18=0),"",('木质部长度'!B18)/'半径长度'!B18)</f>
        <v/>
      </c>
      <c r="C18" s="4">
        <f>IF(OR('半径长度'!C18="",'半径长度'!C18=0),"",('木质部长度'!C18)/'半径长度'!C18)</f>
        <v/>
      </c>
      <c r="D18" s="4">
        <f>IF(OR('半径长度'!D18="",'半径长度'!D18=0),"",('木质部长度'!D18)/'半径长度'!D18)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IF(OR('半径长度'!B19="",'半径长度'!B19=0),"",('木质部长度'!B19)/'半径长度'!B19)</f>
        <v/>
      </c>
      <c r="C19" s="4">
        <f>IF(OR('半径长度'!C19="",'半径长度'!C19=0),"",('木质部长度'!C19)/'半径长度'!C19)</f>
        <v/>
      </c>
      <c r="D19" s="4">
        <f>IF(OR('半径长度'!D19="",'半径长度'!D19=0),"",('木质部长度'!D19)/'半径长度'!D19)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IF(OR('半径长度'!B20="",'半径长度'!B20=0),"",('木质部长度'!B20)/'半径长度'!B20)</f>
        <v/>
      </c>
      <c r="C20" s="4">
        <f>IF(OR('半径长度'!C20="",'半径长度'!C20=0),"",('木质部长度'!C20)/'半径长度'!C20)</f>
        <v/>
      </c>
      <c r="D20" s="4">
        <f>IF(OR('半径长度'!D20="",'半径长度'!D20=0),"",('木质部长度'!D20)/'半径长度'!D20)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IF(OR('半径长度'!B21="",'半径长度'!B21=0),"",('木质部长度'!B21)/'半径长度'!B21)</f>
        <v/>
      </c>
      <c r="C21" s="4">
        <f>IF(OR('半径长度'!C21="",'半径长度'!C21=0),"",('木质部长度'!C21)/'半径长度'!C21)</f>
        <v/>
      </c>
      <c r="D21" s="4">
        <f>IF(OR('半径长度'!D21="",'半径长度'!D21=0),"",('木质部长度'!D21)/'半径长度'!D21)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IF(OR('半径长度'!B22="",'半径长度'!B22=0),"",('木质部长度'!B22)/'半径长度'!B22)</f>
        <v/>
      </c>
      <c r="C22" s="4">
        <f>IF(OR('半径长度'!C22="",'半径长度'!C22=0),"",('木质部长度'!C22)/'半径长度'!C22)</f>
        <v/>
      </c>
      <c r="D22" s="4">
        <f>IF(OR('半径长度'!D22="",'半径长度'!D22=0),"",('木质部长度'!D22)/'半径长度'!D22)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IF(OR('半径长度'!B23="",'半径长度'!B23=0),"",('木质部长度'!B23)/'半径长度'!B23)</f>
        <v/>
      </c>
      <c r="C23" s="4">
        <f>IF(OR('半径长度'!C23="",'半径长度'!C23=0),"",('木质部长度'!C23)/'半径长度'!C23)</f>
        <v/>
      </c>
      <c r="D23" s="4">
        <f>IF(OR('半径长度'!D23="",'半径长度'!D23=0),"",('木质部长度'!D23)/'半径长度'!D23)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IF(OR('半径长度'!B24="",'半径长度'!B24=0),"",('木质部长度'!B24)/'半径长度'!B24)</f>
        <v/>
      </c>
      <c r="C24" s="4">
        <f>IF(OR('半径长度'!C24="",'半径长度'!C24=0),"",('木质部长度'!C24)/'半径长度'!C24)</f>
        <v/>
      </c>
      <c r="D24" s="4">
        <f>IF(OR('半径长度'!D24="",'半径长度'!D24=0),"",('木质部长度'!D24)/'半径长度'!D24)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IF(OR('半径长度'!B25="",'半径长度'!B25=0),"",('木质部长度'!B25)/'半径长度'!B25)</f>
        <v/>
      </c>
      <c r="C25" s="4">
        <f>IF(OR('半径长度'!C25="",'半径长度'!C25=0),"",('木质部长度'!C25)/'半径长度'!C25)</f>
        <v/>
      </c>
      <c r="D25" s="4">
        <f>IF(OR('半径长度'!D25="",'半径长度'!D25=0),"",('木质部长度'!D25)/'半径长度'!D25)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IF(OR('半径长度'!B26="",'半径长度'!B26=0),"",('木质部长度'!B26)/'半径长度'!B26)</f>
        <v/>
      </c>
      <c r="C26" s="4">
        <f>IF(OR('半径长度'!C26="",'半径长度'!C26=0),"",('木质部长度'!C26)/'半径长度'!C26)</f>
        <v/>
      </c>
      <c r="D26" s="4">
        <f>IF(OR('半径长度'!D26="",'半径长度'!D26=0),"",('木质部长度'!D26)/'半径长度'!D26)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IF(OR('半径长度'!B27="",'半径长度'!B27=0),"",('木质部长度'!B27)/'半径长度'!B27)</f>
        <v/>
      </c>
      <c r="C27" s="4">
        <f>IF(OR('半径长度'!C27="",'半径长度'!C27=0),"",('木质部长度'!C27)/'半径长度'!C27)</f>
        <v/>
      </c>
      <c r="D27" s="4">
        <f>IF(OR('半径长度'!D27="",'半径长度'!D27=0),"",('木质部长度'!D27)/'半径长度'!D27)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IF(OR('半径长度'!B28="",'半径长度'!B28=0),"",('木质部长度'!B28)/'半径长度'!B28)</f>
        <v/>
      </c>
      <c r="C28" s="4">
        <f>IF(OR('半径长度'!C28="",'半径长度'!C28=0),"",('木质部长度'!C28)/'半径长度'!C28)</f>
        <v/>
      </c>
      <c r="D28" s="4">
        <f>IF(OR('半径长度'!D28="",'半径长度'!D28=0),"",('木质部长度'!D28)/'半径长度'!D28)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IF(OR('半径长度'!B29="",'半径长度'!B29=0),"",('木质部长度'!B29)/'半径长度'!B29)</f>
        <v/>
      </c>
      <c r="C29" s="4">
        <f>IF(OR('半径长度'!C29="",'半径长度'!C29=0),"",('木质部长度'!C29)/'半径长度'!C29)</f>
        <v/>
      </c>
      <c r="D29" s="4">
        <f>IF(OR('半径长度'!D29="",'半径长度'!D29=0),"",('木质部长度'!D29)/'半径长度'!D29)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IF(OR('半径长度'!B30="",'半径长度'!B30=0),"",('木质部长度'!B30)/'半径长度'!B30)</f>
        <v/>
      </c>
      <c r="C30" s="4">
        <f>IF(OR('半径长度'!C30="",'半径长度'!C30=0),"",('木质部长度'!C30)/'半径长度'!C30)</f>
        <v/>
      </c>
      <c r="D30" s="4">
        <f>IF(OR('半径长度'!D30="",'半径长度'!D30=0),"",('木质部长度'!D30)/'半径长度'!D30)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IF(OR('半径长度'!B31="",'半径长度'!B31=0),"",('木质部长度'!B31)/'半径长度'!B31)</f>
        <v/>
      </c>
      <c r="C31" s="4">
        <f>IF(OR('半径长度'!C31="",'半径长度'!C31=0),"",('木质部长度'!C31)/'半径长度'!C31)</f>
        <v/>
      </c>
      <c r="D31" s="4">
        <f>IF(OR('半径长度'!D31="",'半径长度'!D31=0),"",('木质部长度'!D31)/'半径长度'!D31)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IF(OR('半径长度'!B32="",'半径长度'!B32=0),"",('木质部长度'!B32)/'半径长度'!B32)</f>
        <v/>
      </c>
      <c r="C32" s="4">
        <f>IF(OR('半径长度'!C32="",'半径长度'!C32=0),"",('木质部长度'!C32)/'半径长度'!C32)</f>
        <v/>
      </c>
      <c r="D32" s="4">
        <f>IF(OR('半径长度'!D32="",'半径长度'!D32=0),"",('木质部长度'!D32)/'半径长度'!D32)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IF(OR('半径长度'!B33="",'半径长度'!B33=0),"",('木质部长度'!B33)/'半径长度'!B33)</f>
        <v/>
      </c>
      <c r="C33" s="4">
        <f>IF(OR('半径长度'!C33="",'半径长度'!C33=0),"",('木质部长度'!C33)/'半径长度'!C33)</f>
        <v/>
      </c>
      <c r="D33" s="4">
        <f>IF(OR('半径长度'!D33="",'半径长度'!D33=0),"",('木质部长度'!D33)/'半径长度'!D33)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IF(OR('半径长度'!B34="",'半径长度'!B34=0),"",('木质部长度'!B34)/'半径长度'!B34)</f>
        <v/>
      </c>
      <c r="C34" s="4">
        <f>IF(OR('半径长度'!C34="",'半径长度'!C34=0),"",('木质部长度'!C34)/'半径长度'!C34)</f>
        <v/>
      </c>
      <c r="D34" s="4">
        <f>IF(OR('半径长度'!D34="",'半径长度'!D34=0),"",('木质部长度'!D34)/'半径长度'!D34)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IF(OR('半径长度'!B35="",'半径长度'!B35=0),"",('木质部长度'!B35)/'半径长度'!B35)</f>
        <v/>
      </c>
      <c r="C35" s="4">
        <f>IF(OR('半径长度'!C35="",'半径长度'!C35=0),"",('木质部长度'!C35)/'半径长度'!C35)</f>
        <v/>
      </c>
      <c r="D35" s="4">
        <f>IF(OR('半径长度'!D35="",'半径长度'!D35=0),"",('木质部长度'!D35)/'半径长度'!D35)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IF(OR('半径长度'!B36="",'半径长度'!B36=0),"",('木质部长度'!B36)/'半径长度'!B36)</f>
        <v/>
      </c>
      <c r="C36" s="4">
        <f>IF(OR('半径长度'!C36="",'半径长度'!C36=0),"",('木质部长度'!C36)/'半径长度'!C36)</f>
        <v/>
      </c>
      <c r="D36" s="4">
        <f>IF(OR('半径长度'!D36="",'半径长度'!D36=0),"",('木质部长度'!D36)/'半径长度'!D36)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IF(OR('半径长度'!B37="",'半径长度'!B37=0),"",('木质部长度'!B37)/'半径长度'!B37)</f>
        <v/>
      </c>
      <c r="C37" s="4">
        <f>IF(OR('半径长度'!C37="",'半径长度'!C37=0),"",('木质部长度'!C37)/'半径长度'!C37)</f>
        <v/>
      </c>
      <c r="D37" s="4">
        <f>IF(OR('半径长度'!D37="",'半径长度'!D37=0),"",('木质部长度'!D37)/'半径长度'!D37)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IF(OR('半径长度'!B38="",'半径长度'!B38=0),"",('木质部长度'!B38)/'半径长度'!B38)</f>
        <v/>
      </c>
      <c r="C38" s="4">
        <f>IF(OR('半径长度'!C38="",'半径长度'!C38=0),"",('木质部长度'!C38)/'半径长度'!C38)</f>
        <v/>
      </c>
      <c r="D38" s="4">
        <f>IF(OR('半径长度'!D38="",'半径长度'!D38=0),"",('木质部长度'!D38)/'半径长度'!D38)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IF(OR('半径长度'!B39="",'半径长度'!B39=0),"",('木质部长度'!B39)/'半径长度'!B39)</f>
        <v/>
      </c>
      <c r="C39" s="4">
        <f>IF(OR('半径长度'!C39="",'半径长度'!C39=0),"",('木质部长度'!C39)/'半径长度'!C39)</f>
        <v/>
      </c>
      <c r="D39" s="4">
        <f>IF(OR('半径长度'!D39="",'半径长度'!D39=0),"",('木质部长度'!D39)/'半径长度'!D39)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IF(OR('半径长度'!B40="",'半径长度'!B40=0),"",('木质部长度'!B40)/'半径长度'!B40)</f>
        <v/>
      </c>
      <c r="C40" s="4">
        <f>IF(OR('半径长度'!C40="",'半径长度'!C40=0),"",('木质部长度'!C40)/'半径长度'!C40)</f>
        <v/>
      </c>
      <c r="D40" s="4">
        <f>IF(OR('半径长度'!D40="",'半径长度'!D40=0),"",('木质部长度'!D40)/'半径长度'!D40)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IF(OR('半径长度'!B41="",'半径长度'!B41=0),"",('木质部长度'!B41)/'半径长度'!B41)</f>
        <v/>
      </c>
      <c r="C41" s="4">
        <f>IF(OR('半径长度'!C41="",'半径长度'!C41=0),"",('木质部长度'!C41)/'半径长度'!C41)</f>
        <v/>
      </c>
      <c r="D41" s="4">
        <f>IF(OR('半径长度'!D41="",'半径长度'!D41=0),"",('木质部长度'!D41)/'半径长度'!D41)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IF(OR('半径长度'!B42="",'半径长度'!B42=0),"",('木质部长度'!B42)/'半径长度'!B42)</f>
        <v/>
      </c>
      <c r="C42" s="4">
        <f>IF(OR('半径长度'!C42="",'半径长度'!C42=0),"",('木质部长度'!C42)/'半径长度'!C42)</f>
        <v/>
      </c>
      <c r="D42" s="4">
        <f>IF(OR('半径长度'!D42="",'半径长度'!D42=0),"",('木质部长度'!D42)/'半径长度'!D42)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IF(OR('半径长度'!B43="",'半径长度'!B43=0),"",('木质部长度'!B43)/'半径长度'!B43)</f>
        <v/>
      </c>
      <c r="C43" s="4">
        <f>IF(OR('半径长度'!C43="",'半径长度'!C43=0),"",('木质部长度'!C43)/'半径长度'!C43)</f>
        <v/>
      </c>
      <c r="D43" s="4">
        <f>IF(OR('半径长度'!D43="",'半径长度'!D43=0),"",('木质部长度'!D43)/'半径长度'!D43)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IF(OR('半径长度'!B44="",'半径长度'!B44=0),"",('木质部长度'!B44)/'半径长度'!B44)</f>
        <v/>
      </c>
      <c r="C44" s="4">
        <f>IF(OR('半径长度'!C44="",'半径长度'!C44=0),"",('木质部长度'!C44)/'半径长度'!C44)</f>
        <v/>
      </c>
      <c r="D44" s="4">
        <f>IF(OR('半径长度'!D44="",'半径长度'!D44=0),"",('木质部长度'!D44)/'半径长度'!D44)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IF(OR('半径长度'!B45="",'半径长度'!B45=0),"",('木质部长度'!B45)/'半径长度'!B45)</f>
        <v/>
      </c>
      <c r="C45" s="4">
        <f>IF(OR('半径长度'!C45="",'半径长度'!C45=0),"",('木质部长度'!C45)/'半径长度'!C45)</f>
        <v/>
      </c>
      <c r="D45" s="4">
        <f>IF(OR('半径长度'!D45="",'半径长度'!D45=0),"",('木质部长度'!D45)/'半径长度'!D45)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IF(OR('半径长度'!B46="",'半径长度'!B46=0),"",('木质部长度'!B46)/'半径长度'!B46)</f>
        <v/>
      </c>
      <c r="C46" s="4">
        <f>IF(OR('半径长度'!C46="",'半径长度'!C46=0),"",('木质部长度'!C46)/'半径长度'!C46)</f>
        <v/>
      </c>
      <c r="D46" s="4">
        <f>IF(OR('半径长度'!D46="",'半径长度'!D46=0),"",('木质部长度'!D46)/'半径长度'!D46)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IF(OR('半径长度'!B47="",'半径长度'!B47=0),"",('木质部长度'!B47)/'半径长度'!B47)</f>
        <v/>
      </c>
      <c r="C47" s="4">
        <f>IF(OR('半径长度'!C47="",'半径长度'!C47=0),"",('木质部长度'!C47)/'半径长度'!C47)</f>
        <v/>
      </c>
      <c r="D47" s="4">
        <f>IF(OR('半径长度'!D47="",'半径长度'!D47=0),"",('木质部长度'!D47)/'半径长度'!D47)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IF(OR('半径长度'!B48="",'半径长度'!B48=0),"",('木质部长度'!B48)/'半径长度'!B48)</f>
        <v/>
      </c>
      <c r="C48" s="4">
        <f>IF(OR('半径长度'!C48="",'半径长度'!C48=0),"",('木质部长度'!C48)/'半径长度'!C48)</f>
        <v/>
      </c>
      <c r="D48" s="4">
        <f>IF(OR('半径长度'!D48="",'半径长度'!D48=0),"",('木质部长度'!D48)/'半径长度'!D48)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IF(OR('半径长度'!B49="",'半径长度'!B49=0),"",('木质部长度'!B49)/'半径长度'!B49)</f>
        <v/>
      </c>
      <c r="C49" s="4">
        <f>IF(OR('半径长度'!C49="",'半径长度'!C49=0),"",('木质部长度'!C49)/'半径长度'!C49)</f>
        <v/>
      </c>
      <c r="D49" s="4">
        <f>IF(OR('半径长度'!D49="",'半径长度'!D49=0),"",('木质部长度'!D49)/'半径长度'!D49)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IF(OR('半径长度'!B50="",'半径长度'!B50=0),"",('木质部长度'!B50)/'半径长度'!B50)</f>
        <v/>
      </c>
      <c r="C50" s="4">
        <f>IF(OR('半径长度'!C50="",'半径长度'!C50=0),"",('木质部长度'!C50)/'半径长度'!C50)</f>
        <v/>
      </c>
      <c r="D50" s="4">
        <f>IF(OR('半径长度'!D50="",'半径长度'!D50=0),"",('木质部长度'!D50)/'半径长度'!D50)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IF(OR('半径长度'!B51="",'半径长度'!B51=0),"",('木质部长度'!B51)/'半径长度'!B51)</f>
        <v/>
      </c>
      <c r="C51" s="4">
        <f>IF(OR('半径长度'!C51="",'半径长度'!C51=0),"",('木质部长度'!C51)/'半径长度'!C51)</f>
        <v/>
      </c>
      <c r="D51" s="4">
        <f>IF(OR('半径长度'!D51="",'半径长度'!D51=0),"",('木质部长度'!D51)/'半径长度'!D51)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IF(OR('半径长度'!B52="",'半径长度'!B52=0),"",('木质部长度'!B52)/'半径长度'!B52)</f>
        <v/>
      </c>
      <c r="C52" s="4">
        <f>IF(OR('半径长度'!C52="",'半径长度'!C52=0),"",('木质部长度'!C52)/'半径长度'!C52)</f>
        <v/>
      </c>
      <c r="D52" s="4">
        <f>IF(OR('半径长度'!D52="",'半径长度'!D52=0),"",('木质部长度'!D52)/'半径长度'!D52)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IF(OR('半径长度'!B53="",'半径长度'!B53=0),"",('木质部长度'!B53)/'半径长度'!B53)</f>
        <v/>
      </c>
      <c r="C53" s="4">
        <f>IF(OR('半径长度'!C53="",'半径长度'!C53=0),"",('木质部长度'!C53)/'半径长度'!C53)</f>
        <v/>
      </c>
      <c r="D53" s="4">
        <f>IF(OR('半径长度'!D53="",'半径长度'!D53=0),"",('木质部长度'!D53)/'半径长度'!D53)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IF(OR('半径长度'!B54="",'半径长度'!B54=0),"",('木质部长度'!B54)/'半径长度'!B54)</f>
        <v/>
      </c>
      <c r="C54" s="4">
        <f>IF(OR('半径长度'!C54="",'半径长度'!C54=0),"",('木质部长度'!C54)/'半径长度'!C54)</f>
        <v/>
      </c>
      <c r="D54" s="4">
        <f>IF(OR('半径长度'!D54="",'半径长度'!D54=0),"",('木质部长度'!D54)/'半径长度'!D54)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IF(OR('半径长度'!B55="",'半径长度'!B55=0),"",('木质部长度'!B55)/'半径长度'!B55)</f>
        <v/>
      </c>
      <c r="C55" s="4">
        <f>IF(OR('半径长度'!C55="",'半径长度'!C55=0),"",('木质部长度'!C55)/'半径长度'!C55)</f>
        <v/>
      </c>
      <c r="D55" s="4">
        <f>IF(OR('半径长度'!D55="",'半径长度'!D55=0),"",('木质部长度'!D55)/'半径长度'!D55)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IF(OR('半径长度'!B56="",'半径长度'!B56=0),"",('木质部长度'!B56)/'半径长度'!B56)</f>
        <v/>
      </c>
      <c r="C56" s="4">
        <f>IF(OR('半径长度'!C56="",'半径长度'!C56=0),"",('木质部长度'!C56)/'半径长度'!C56)</f>
        <v/>
      </c>
      <c r="D56" s="4">
        <f>IF(OR('半径长度'!D56="",'半径长度'!D56=0),"",('木质部长度'!D56)/'半径长度'!D56)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IF(OR('半径长度'!B57="",'半径长度'!B57=0),"",('木质部长度'!B57)/'半径长度'!B57)</f>
        <v/>
      </c>
      <c r="C57" s="4">
        <f>IF(OR('半径长度'!C57="",'半径长度'!C57=0),"",('木质部长度'!C57)/'半径长度'!C57)</f>
        <v/>
      </c>
      <c r="D57" s="4">
        <f>IF(OR('半径长度'!D57="",'半径长度'!D57=0),"",('木质部长度'!D57)/'半径长度'!D57)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IF(OR('半径长度'!B58="",'半径长度'!B58=0),"",('木质部长度'!B58)/'半径长度'!B58)</f>
        <v/>
      </c>
      <c r="C58" s="4">
        <f>IF(OR('半径长度'!C58="",'半径长度'!C58=0),"",('木质部长度'!C58)/'半径长度'!C58)</f>
        <v/>
      </c>
      <c r="D58" s="4">
        <f>IF(OR('半径长度'!D58="",'半径长度'!D58=0),"",('木质部长度'!D58)/'半径长度'!D58)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IF(OR('半径长度'!B59="",'半径长度'!B59=0),"",('木质部长度'!B59)/'半径长度'!B59)</f>
        <v/>
      </c>
      <c r="C59" s="4">
        <f>IF(OR('半径长度'!C59="",'半径长度'!C59=0),"",('木质部长度'!C59)/'半径长度'!C59)</f>
        <v/>
      </c>
      <c r="D59" s="4">
        <f>IF(OR('半径长度'!D59="",'半径长度'!D59=0),"",('木质部长度'!D59)/'半径长度'!D59)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IF(OR('半径长度'!B60="",'半径长度'!B60=0),"",('木质部长度'!B60)/'半径长度'!B60)</f>
        <v/>
      </c>
      <c r="C60" s="4">
        <f>IF(OR('半径长度'!C60="",'半径长度'!C60=0),"",('木质部长度'!C60)/'半径长度'!C60)</f>
        <v/>
      </c>
      <c r="D60" s="4">
        <f>IF(OR('半径长度'!D60="",'半径长度'!D60=0),"",('木质部长度'!D60)/'半径长度'!D60)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IF(OR('半径长度'!B61="",'半径长度'!B61=0),"",('木质部长度'!B61)/'半径长度'!B61)</f>
        <v/>
      </c>
      <c r="C61" s="4">
        <f>IF(OR('半径长度'!C61="",'半径长度'!C61=0),"",('木质部长度'!C61)/'半径长度'!C61)</f>
        <v/>
      </c>
      <c r="D61" s="4">
        <f>IF(OR('半径长度'!D61="",'半径长度'!D61=0),"",('木质部长度'!D61)/'半径长度'!D61)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IF(OR('半径长度'!B62="",'半径长度'!B62=0),"",('木质部长度'!B62)/'半径长度'!B62)</f>
        <v/>
      </c>
      <c r="C62" s="4">
        <f>IF(OR('半径长度'!C62="",'半径长度'!C62=0),"",('木质部长度'!C62)/'半径长度'!C62)</f>
        <v/>
      </c>
      <c r="D62" s="4">
        <f>IF(OR('半径长度'!D62="",'半径长度'!D62=0),"",('木质部长度'!D62)/'半径长度'!D62)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IF(OR('半径长度'!B63="",'半径长度'!B63=0),"",('木质部长度'!B63)/'半径长度'!B63)</f>
        <v/>
      </c>
      <c r="C63" s="4">
        <f>IF(OR('半径长度'!C63="",'半径长度'!C63=0),"",('木质部长度'!C63)/'半径长度'!C63)</f>
        <v/>
      </c>
      <c r="D63" s="4">
        <f>IF(OR('半径长度'!D63="",'半径长度'!D63=0),"",('木质部长度'!D63)/'半径长度'!D63)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IF(OR('半径长度'!B64="",'半径长度'!B64=0),"",('木质部长度'!B64)/'半径长度'!B64)</f>
        <v/>
      </c>
      <c r="C64" s="4">
        <f>IF(OR('半径长度'!C64="",'半径长度'!C64=0),"",('木质部长度'!C64)/'半径长度'!C64)</f>
        <v/>
      </c>
      <c r="D64" s="4">
        <f>IF(OR('半径长度'!D64="",'半径长度'!D64=0),"",('木质部长度'!D64)/'半径长度'!D64)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2" sqref="D12"/>
    </sheetView>
  </sheetViews>
  <sheetFormatPr baseColWidth="8" defaultColWidth="9" defaultRowHeight="13.5" outlineLevelCol="0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13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导管总数量1</t>
        </is>
      </c>
      <c r="C1" s="4" t="inlineStr">
        <is>
          <t>导管总数量2</t>
        </is>
      </c>
      <c r="D1" s="4" t="inlineStr">
        <is>
          <t>导管总数量3</t>
        </is>
      </c>
    </row>
    <row r="2">
      <c r="A2" s="4" t="n">
        <v>1</v>
      </c>
      <c r="B2" s="4" t="n">
        <v>149</v>
      </c>
      <c r="C2" s="4" t="n">
        <v>128</v>
      </c>
      <c r="D2" s="4" t="n">
        <v>123</v>
      </c>
    </row>
    <row r="3">
      <c r="A3" s="4" t="n">
        <v>2</v>
      </c>
      <c r="B3" s="4" t="n">
        <v>149</v>
      </c>
      <c r="C3" s="4" t="n">
        <v>144</v>
      </c>
      <c r="D3" s="4" t="n">
        <v>150</v>
      </c>
    </row>
    <row r="4">
      <c r="A4" s="4" t="n">
        <v>3</v>
      </c>
      <c r="B4" s="4" t="n">
        <v>123</v>
      </c>
      <c r="C4" s="4" t="n">
        <v>119</v>
      </c>
      <c r="D4" s="4" t="n">
        <v>118</v>
      </c>
    </row>
    <row r="5">
      <c r="A5" s="4" t="n">
        <v>4</v>
      </c>
      <c r="B5" s="4" t="n">
        <v>141</v>
      </c>
      <c r="C5" s="4" t="n">
        <v>129</v>
      </c>
      <c r="D5" s="4" t="n">
        <v>114</v>
      </c>
    </row>
    <row r="6">
      <c r="A6" s="4" t="n">
        <v>5</v>
      </c>
      <c r="B6" s="4" t="n">
        <v>166</v>
      </c>
      <c r="C6" s="4" t="n">
        <v>168</v>
      </c>
      <c r="D6" s="4" t="n">
        <v>160</v>
      </c>
    </row>
    <row r="7">
      <c r="A7" s="4" t="n">
        <v>6</v>
      </c>
      <c r="B7" s="4" t="n">
        <v>147</v>
      </c>
      <c r="C7" s="4" t="n">
        <v>142</v>
      </c>
      <c r="D7" s="4" t="n">
        <v>125</v>
      </c>
    </row>
    <row r="8">
      <c r="A8" s="4" t="n">
        <v>7</v>
      </c>
      <c r="B8" s="4" t="n">
        <v>106</v>
      </c>
      <c r="C8" s="4" t="n">
        <v>90</v>
      </c>
      <c r="D8" s="4" t="n">
        <v>93</v>
      </c>
    </row>
    <row r="9">
      <c r="A9" s="4" t="n">
        <v>8</v>
      </c>
      <c r="B9" s="4" t="n">
        <v>137</v>
      </c>
      <c r="C9" s="4" t="n">
        <v>129</v>
      </c>
      <c r="D9" s="4" t="n">
        <v>131</v>
      </c>
    </row>
    <row r="10">
      <c r="A10" s="4" t="n">
        <v>9</v>
      </c>
      <c r="B10" s="4" t="n">
        <v>163</v>
      </c>
      <c r="C10" s="4" t="n">
        <v>169</v>
      </c>
      <c r="D10" s="4" t="n">
        <v>92</v>
      </c>
    </row>
    <row r="11">
      <c r="A11" s="4" t="n">
        <v>10</v>
      </c>
      <c r="B11" s="4" t="n">
        <v>100</v>
      </c>
      <c r="C11" s="4" t="n">
        <v>126</v>
      </c>
      <c r="D11" s="4" t="n">
        <v>126</v>
      </c>
    </row>
    <row r="12">
      <c r="A12" s="4" t="n">
        <v>11</v>
      </c>
      <c r="B12" s="4" t="n">
        <v>162</v>
      </c>
      <c r="C12" s="4" t="n">
        <v>172</v>
      </c>
      <c r="D12" s="4" t="n">
        <v>154</v>
      </c>
    </row>
    <row r="13">
      <c r="A13" s="4" t="n">
        <v>12</v>
      </c>
      <c r="B13" s="4" t="n">
        <v>173</v>
      </c>
      <c r="C13" s="4" t="n">
        <v>132</v>
      </c>
      <c r="D13" s="4" t="n">
        <v>112</v>
      </c>
    </row>
    <row r="14">
      <c r="A14" s="4" t="n">
        <v>13</v>
      </c>
      <c r="B14" s="4" t="n">
        <v>168</v>
      </c>
      <c r="C14" s="4" t="n">
        <v>129</v>
      </c>
      <c r="D14" s="4" t="n">
        <v>149</v>
      </c>
    </row>
    <row r="15">
      <c r="A15" s="4" t="n">
        <v>14</v>
      </c>
      <c r="B15" s="4" t="n">
        <v>159</v>
      </c>
      <c r="C15" s="4" t="n">
        <v>149</v>
      </c>
      <c r="D15" s="4" t="n">
        <v>151</v>
      </c>
    </row>
    <row r="16">
      <c r="A16" s="4" t="n">
        <v>15</v>
      </c>
      <c r="B16" s="4" t="n">
        <v>152</v>
      </c>
      <c r="C16" s="4" t="n">
        <v>154</v>
      </c>
      <c r="D16" s="4" t="n">
        <v>167</v>
      </c>
    </row>
    <row r="17">
      <c r="A17" s="4" t="n">
        <v>16</v>
      </c>
      <c r="B17" s="4" t="n">
        <v>118</v>
      </c>
      <c r="C17" s="4" t="n">
        <v>143</v>
      </c>
      <c r="D17" s="4" t="n">
        <v>131</v>
      </c>
    </row>
    <row r="18">
      <c r="A18" s="4" t="n">
        <v>17</v>
      </c>
      <c r="B18" s="4" t="n">
        <v>144</v>
      </c>
      <c r="C18" s="4" t="n">
        <v>133</v>
      </c>
      <c r="D18" s="4" t="n">
        <v>171</v>
      </c>
    </row>
    <row r="19">
      <c r="A19" s="4" t="n">
        <v>18</v>
      </c>
      <c r="B19" s="4" t="n">
        <v>201</v>
      </c>
      <c r="C19" s="4" t="n">
        <v>125</v>
      </c>
      <c r="D19" s="4" t="n">
        <v>123</v>
      </c>
    </row>
    <row r="20">
      <c r="A20" s="4" t="n">
        <v>19</v>
      </c>
      <c r="B20" s="4" t="n">
        <v>103</v>
      </c>
      <c r="C20" s="4" t="n">
        <v>97</v>
      </c>
      <c r="D20" s="4" t="n">
        <v>110</v>
      </c>
    </row>
    <row r="21">
      <c r="A21" s="4" t="n">
        <v>20</v>
      </c>
      <c r="B21" s="4" t="n">
        <v>117</v>
      </c>
      <c r="C21" s="4" t="n">
        <v>121</v>
      </c>
      <c r="D21" s="4" t="n">
        <v>113</v>
      </c>
    </row>
    <row r="22">
      <c r="A22" s="4" t="n">
        <v>21</v>
      </c>
      <c r="B22" s="4" t="n">
        <v>160</v>
      </c>
      <c r="C22" s="4" t="n">
        <v>141</v>
      </c>
      <c r="D22" s="4" t="n">
        <v>165</v>
      </c>
    </row>
    <row r="23">
      <c r="A23" s="4" t="n">
        <v>22</v>
      </c>
      <c r="B23" s="4" t="n">
        <v>109</v>
      </c>
      <c r="C23" s="4" t="n">
        <v>132</v>
      </c>
      <c r="D23" s="4" t="n">
        <v>131</v>
      </c>
    </row>
    <row r="24">
      <c r="A24" s="4" t="n">
        <v>23</v>
      </c>
      <c r="B24" s="4" t="n">
        <v>141</v>
      </c>
      <c r="C24" s="4" t="n">
        <v>148</v>
      </c>
      <c r="D24" s="4" t="n">
        <v>163</v>
      </c>
    </row>
    <row r="25">
      <c r="A25" s="4" t="n">
        <v>24</v>
      </c>
      <c r="B25" s="4" t="n">
        <v>226</v>
      </c>
      <c r="C25" s="4" t="n">
        <v>188</v>
      </c>
      <c r="D25" s="4" t="n">
        <v>193</v>
      </c>
    </row>
    <row r="26">
      <c r="A26" s="4" t="n">
        <v>25</v>
      </c>
      <c r="B26" s="4" t="n">
        <v>158</v>
      </c>
      <c r="C26" s="4" t="n">
        <v>125</v>
      </c>
      <c r="D26" s="4" t="n">
        <v>154</v>
      </c>
    </row>
    <row r="27">
      <c r="A27" s="4" t="n">
        <v>26</v>
      </c>
      <c r="B27" s="4" t="n">
        <v>207</v>
      </c>
      <c r="C27" s="4" t="n">
        <v>132</v>
      </c>
      <c r="D27" s="4" t="n">
        <v>185</v>
      </c>
    </row>
    <row r="28">
      <c r="A28" s="4" t="n">
        <v>27</v>
      </c>
      <c r="B28" s="4" t="n">
        <v>177</v>
      </c>
      <c r="C28" s="4" t="n">
        <v>163</v>
      </c>
      <c r="D28" s="4" t="n">
        <v>163</v>
      </c>
    </row>
    <row r="29">
      <c r="A29" s="4" t="n">
        <v>28</v>
      </c>
      <c r="B29" s="4" t="n">
        <v>103</v>
      </c>
      <c r="C29" s="4" t="n">
        <v>114</v>
      </c>
      <c r="D29" s="4" t="n">
        <v>89</v>
      </c>
    </row>
    <row r="30">
      <c r="A30" s="4" t="n">
        <v>29</v>
      </c>
      <c r="B30" s="4" t="n">
        <v>102</v>
      </c>
      <c r="C30" s="4" t="n">
        <v>118</v>
      </c>
      <c r="D30" s="4" t="n">
        <v>127</v>
      </c>
    </row>
    <row r="31">
      <c r="A31" s="4" t="n">
        <v>30</v>
      </c>
      <c r="B31" s="4" t="n">
        <v>161</v>
      </c>
      <c r="C31" s="4" t="n">
        <v>140</v>
      </c>
      <c r="D31" s="4" t="n">
        <v>145</v>
      </c>
    </row>
    <row r="32">
      <c r="A32" s="4" t="n">
        <v>31</v>
      </c>
      <c r="B32" s="4" t="n">
        <v>87</v>
      </c>
      <c r="C32" s="4" t="n">
        <v>109</v>
      </c>
      <c r="D32" s="4" t="n">
        <v>128</v>
      </c>
    </row>
    <row r="33">
      <c r="A33" s="4" t="n">
        <v>32</v>
      </c>
      <c r="B33" s="4" t="n">
        <v>114</v>
      </c>
      <c r="C33" s="4" t="n">
        <v>93</v>
      </c>
      <c r="D33" s="4" t="n">
        <v>113</v>
      </c>
    </row>
    <row r="34">
      <c r="A34" s="4" t="n">
        <v>33</v>
      </c>
      <c r="B34" s="4" t="n">
        <v>166</v>
      </c>
      <c r="C34" s="4" t="n">
        <v>172</v>
      </c>
      <c r="D34" s="4" t="n">
        <v>173</v>
      </c>
    </row>
    <row r="35">
      <c r="A35" s="4" t="n">
        <v>34</v>
      </c>
      <c r="B35" s="4" t="n">
        <v>125</v>
      </c>
      <c r="C35" s="4" t="n">
        <v>191</v>
      </c>
      <c r="D35" s="4" t="n">
        <v>141</v>
      </c>
    </row>
    <row r="36">
      <c r="A36" s="4" t="n">
        <v>35</v>
      </c>
      <c r="B36" s="4" t="n">
        <v>179</v>
      </c>
      <c r="C36" s="4" t="n">
        <v>163</v>
      </c>
      <c r="D36" s="4" t="n">
        <v>168</v>
      </c>
    </row>
    <row r="37">
      <c r="A37" s="4" t="n">
        <v>36</v>
      </c>
      <c r="B37" s="4" t="n">
        <v>153</v>
      </c>
      <c r="C37" s="4" t="n">
        <v>151</v>
      </c>
      <c r="D37" s="4" t="n">
        <v>181</v>
      </c>
    </row>
    <row r="38">
      <c r="A38" s="4" t="n">
        <v>37</v>
      </c>
      <c r="B38" s="4" t="n">
        <v>112</v>
      </c>
      <c r="C38" s="4" t="n">
        <v>130</v>
      </c>
      <c r="D38" s="4" t="n">
        <v>118</v>
      </c>
    </row>
    <row r="39">
      <c r="A39" s="4" t="n">
        <v>38</v>
      </c>
      <c r="B39" s="4" t="n">
        <v>148</v>
      </c>
      <c r="C39" s="4" t="n">
        <v>140</v>
      </c>
      <c r="D39" s="4" t="n">
        <v>159</v>
      </c>
    </row>
    <row r="40">
      <c r="A40" s="4" t="n">
        <v>39</v>
      </c>
      <c r="B40" s="4" t="n">
        <v>159</v>
      </c>
      <c r="C40" s="4" t="n">
        <v>186</v>
      </c>
      <c r="D40" s="4" t="n">
        <v>170</v>
      </c>
    </row>
    <row r="41">
      <c r="A41" s="4" t="n">
        <v>40</v>
      </c>
      <c r="B41" s="4" t="n">
        <v>187</v>
      </c>
      <c r="C41" s="4" t="n">
        <v>151</v>
      </c>
      <c r="D41" s="4" t="n">
        <v>181</v>
      </c>
    </row>
    <row r="42">
      <c r="A42" s="4" t="n">
        <v>41</v>
      </c>
      <c r="B42" s="4" t="n">
        <v>179</v>
      </c>
      <c r="C42" s="4" t="n">
        <v>159</v>
      </c>
      <c r="D42" s="4" t="n">
        <v>173</v>
      </c>
    </row>
    <row r="43">
      <c r="A43" s="4" t="n">
        <v>42</v>
      </c>
      <c r="B43" s="4" t="n">
        <v>308</v>
      </c>
      <c r="C43" s="4" t="n">
        <v>233</v>
      </c>
      <c r="D43" s="4" t="n">
        <v>268</v>
      </c>
    </row>
    <row r="44">
      <c r="A44" s="4" t="n">
        <v>43</v>
      </c>
      <c r="B44" s="4" t="n">
        <v>94</v>
      </c>
      <c r="C44" s="4" t="n">
        <v>101</v>
      </c>
      <c r="D44" s="4" t="n">
        <v>86</v>
      </c>
    </row>
    <row r="45">
      <c r="A45" s="4" t="n">
        <v>44</v>
      </c>
      <c r="B45" s="4" t="n">
        <v>151</v>
      </c>
      <c r="C45" s="4" t="n">
        <v>115</v>
      </c>
      <c r="D45" s="4" t="n">
        <v>123</v>
      </c>
    </row>
    <row r="46">
      <c r="A46" s="4" t="n">
        <v>45</v>
      </c>
      <c r="B46" s="4" t="n">
        <v>203</v>
      </c>
      <c r="C46" s="4" t="n">
        <v>190</v>
      </c>
      <c r="D46" s="4" t="n">
        <v>181</v>
      </c>
    </row>
    <row r="47">
      <c r="A47" s="4" t="n">
        <v>46</v>
      </c>
      <c r="B47" s="4" t="n">
        <v>122</v>
      </c>
      <c r="C47" s="4" t="n">
        <v>183</v>
      </c>
      <c r="D47" s="4" t="n">
        <v>114</v>
      </c>
    </row>
    <row r="48">
      <c r="A48" s="4" t="n">
        <v>47</v>
      </c>
      <c r="B48" s="4" t="n">
        <v>154</v>
      </c>
      <c r="C48" s="4" t="n">
        <v>196</v>
      </c>
      <c r="D48" s="4" t="n">
        <v>155</v>
      </c>
    </row>
    <row r="49">
      <c r="A49" s="4" t="n">
        <v>48</v>
      </c>
      <c r="B49" s="4" t="n">
        <v>118</v>
      </c>
      <c r="C49" s="4" t="n">
        <v>157</v>
      </c>
      <c r="D49" s="4" t="n">
        <v>138</v>
      </c>
    </row>
    <row r="50">
      <c r="A50" s="4" t="n">
        <v>49</v>
      </c>
      <c r="B50" s="4" t="n">
        <v>123</v>
      </c>
      <c r="C50" s="4" t="n">
        <v>119</v>
      </c>
      <c r="D50" s="4" t="n">
        <v>115</v>
      </c>
    </row>
    <row r="51">
      <c r="A51" s="4" t="n">
        <v>50</v>
      </c>
      <c r="B51" s="4" t="n">
        <v>173</v>
      </c>
      <c r="C51" s="4" t="n">
        <v>147</v>
      </c>
      <c r="D51" s="4" t="n">
        <v>161</v>
      </c>
    </row>
    <row r="52">
      <c r="A52" s="4" t="n">
        <v>51</v>
      </c>
      <c r="B52" s="4" t="n">
        <v>164</v>
      </c>
      <c r="C52" s="4" t="n">
        <v>165</v>
      </c>
      <c r="D52" s="4" t="n">
        <v>186</v>
      </c>
    </row>
    <row r="53">
      <c r="A53" s="4" t="n">
        <v>52</v>
      </c>
      <c r="B53" s="4" t="n">
        <v>165</v>
      </c>
      <c r="C53" s="4" t="n">
        <v>150</v>
      </c>
      <c r="D53" s="4" t="n">
        <v>151</v>
      </c>
    </row>
    <row r="54">
      <c r="A54" s="4" t="n">
        <v>53</v>
      </c>
      <c r="B54" s="4" t="n">
        <v>175</v>
      </c>
      <c r="C54" s="4" t="n">
        <v>148</v>
      </c>
      <c r="D54" s="4" t="n">
        <v>160</v>
      </c>
    </row>
    <row r="55">
      <c r="A55" s="4" t="n">
        <v>54</v>
      </c>
      <c r="B55" s="4" t="n">
        <v>163</v>
      </c>
      <c r="C55" s="4" t="n">
        <v>142</v>
      </c>
      <c r="D55" s="4" t="n">
        <v>160</v>
      </c>
    </row>
    <row r="56">
      <c r="A56" s="4" t="n">
        <v>55</v>
      </c>
      <c r="B56" s="4" t="n">
        <v>116</v>
      </c>
      <c r="C56" s="4" t="n">
        <v>95</v>
      </c>
      <c r="D56" s="4" t="n">
        <v>91</v>
      </c>
    </row>
    <row r="57">
      <c r="A57" s="4" t="n">
        <v>56</v>
      </c>
      <c r="B57" s="4" t="n">
        <v>111</v>
      </c>
      <c r="C57" s="4" t="n">
        <v>135</v>
      </c>
      <c r="D57" s="4" t="n">
        <v>119</v>
      </c>
    </row>
    <row r="58">
      <c r="A58" s="4" t="n">
        <v>57</v>
      </c>
      <c r="B58" s="4" t="n">
        <v>149</v>
      </c>
      <c r="C58" s="4" t="n">
        <v>151</v>
      </c>
      <c r="D58" s="4" t="n">
        <v>168</v>
      </c>
    </row>
    <row r="59">
      <c r="A59" s="4" t="n">
        <v>58</v>
      </c>
      <c r="B59" s="4" t="n">
        <v>112</v>
      </c>
      <c r="C59" s="4" t="n">
        <v>114</v>
      </c>
      <c r="D59" s="4" t="n">
        <v>107</v>
      </c>
    </row>
    <row r="60">
      <c r="A60" s="4" t="n">
        <v>59</v>
      </c>
      <c r="B60" s="4" t="n">
        <v>125</v>
      </c>
      <c r="C60" s="4" t="n">
        <v>92</v>
      </c>
      <c r="D60" s="4" t="n">
        <v>110</v>
      </c>
    </row>
    <row r="61">
      <c r="A61" s="4" t="n">
        <v>60</v>
      </c>
      <c r="B61" s="4" t="n">
        <v>174</v>
      </c>
      <c r="C61" s="4" t="n">
        <v>182</v>
      </c>
      <c r="D61" s="4" t="n">
        <v>156</v>
      </c>
    </row>
    <row r="62">
      <c r="A62" s="4" t="n">
        <v>61</v>
      </c>
      <c r="B62" s="4" t="n">
        <v>121</v>
      </c>
      <c r="C62" s="4" t="n">
        <v>120</v>
      </c>
      <c r="D62" s="4" t="n">
        <v>112</v>
      </c>
    </row>
    <row r="63">
      <c r="A63" s="4" t="n">
        <v>62</v>
      </c>
      <c r="B63" s="4" t="n">
        <v>139</v>
      </c>
      <c r="C63" s="4" t="n">
        <v>169</v>
      </c>
      <c r="D63" s="4" t="n">
        <v>146</v>
      </c>
    </row>
    <row r="64">
      <c r="A64" s="4" t="n">
        <v>63</v>
      </c>
      <c r="B64" s="4" t="n">
        <v>159</v>
      </c>
      <c r="C64" s="4" t="n">
        <v>111</v>
      </c>
      <c r="D64" s="4" t="n">
        <v>151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F5" sqref="F5:G10"/>
    </sheetView>
  </sheetViews>
  <sheetFormatPr baseColWidth="8" defaultColWidth="9" defaultRowHeight="13.5" outlineLevelCol="0"/>
  <cols>
    <col width="9" customWidth="1" style="6" min="1" max="1"/>
    <col width="18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导管（腔）总面积1</t>
        </is>
      </c>
      <c r="C1" s="4" t="inlineStr">
        <is>
          <t>导管（腔）总面积2</t>
        </is>
      </c>
      <c r="D1" s="4" t="inlineStr">
        <is>
          <t>导管（腔）总面积3</t>
        </is>
      </c>
    </row>
    <row r="2">
      <c r="A2" s="4" t="n">
        <v>1</v>
      </c>
      <c r="B2" s="4" t="n">
        <v>93718.7</v>
      </c>
      <c r="C2" s="4" t="n">
        <v>91836.5</v>
      </c>
      <c r="D2" s="4" t="n">
        <v>72578.39999999999</v>
      </c>
    </row>
    <row r="3">
      <c r="A3" s="4" t="n">
        <v>2</v>
      </c>
      <c r="B3" s="4" t="n">
        <v>104304.4</v>
      </c>
      <c r="C3" s="4" t="n">
        <v>94977.2</v>
      </c>
      <c r="D3" s="4" t="n">
        <v>96951.2</v>
      </c>
    </row>
    <row r="4">
      <c r="A4" s="4" t="n">
        <v>3</v>
      </c>
      <c r="B4" s="4" t="n">
        <v>89702.10000000001</v>
      </c>
      <c r="C4" s="4" t="n">
        <v>80849.8</v>
      </c>
      <c r="D4" s="4" t="n">
        <v>86360.60000000001</v>
      </c>
    </row>
    <row r="5">
      <c r="A5" s="4" t="n">
        <v>4</v>
      </c>
      <c r="B5" s="4" t="n">
        <v>70441.60000000001</v>
      </c>
      <c r="C5" s="4" t="n">
        <v>71326.10000000001</v>
      </c>
      <c r="D5" s="4" t="n">
        <v>58475.6</v>
      </c>
    </row>
    <row r="6">
      <c r="A6" s="4" t="n">
        <v>5</v>
      </c>
      <c r="B6" s="4" t="n">
        <v>87507.89999999999</v>
      </c>
      <c r="C6" s="4" t="n">
        <v>87163.2</v>
      </c>
      <c r="D6" s="4" t="n">
        <v>91617.10000000001</v>
      </c>
    </row>
    <row r="7">
      <c r="A7" s="4" t="n">
        <v>6</v>
      </c>
      <c r="B7" s="4" t="n">
        <v>74320</v>
      </c>
      <c r="C7" s="4" t="n">
        <v>76184.5</v>
      </c>
      <c r="D7" s="4" t="n">
        <v>58199.1</v>
      </c>
    </row>
    <row r="8">
      <c r="A8" s="4" t="n">
        <v>7</v>
      </c>
      <c r="B8" s="4" t="n">
        <v>72383.5</v>
      </c>
      <c r="C8" s="4" t="n">
        <v>66918.5</v>
      </c>
      <c r="D8" s="4" t="n">
        <v>75143.5</v>
      </c>
    </row>
    <row r="9">
      <c r="A9" s="4" t="n">
        <v>8</v>
      </c>
      <c r="B9" s="4" t="n">
        <v>109660.2</v>
      </c>
      <c r="C9" s="4" t="n">
        <v>103585.5</v>
      </c>
      <c r="D9" s="4" t="n">
        <v>88183.7</v>
      </c>
    </row>
    <row r="10">
      <c r="A10" s="4" t="n">
        <v>9</v>
      </c>
      <c r="B10" s="4" t="n">
        <v>106939.3</v>
      </c>
      <c r="C10" s="4" t="n">
        <v>121024.2</v>
      </c>
      <c r="D10" s="4" t="n">
        <v>30075.1</v>
      </c>
    </row>
    <row r="11">
      <c r="A11" s="4" t="n">
        <v>10</v>
      </c>
      <c r="B11" s="4" t="n">
        <v>59113.7</v>
      </c>
      <c r="C11" s="4" t="n">
        <v>68011.3</v>
      </c>
      <c r="D11" s="4" t="n">
        <v>73748.60000000001</v>
      </c>
    </row>
    <row r="12">
      <c r="A12" s="4" t="n">
        <v>11</v>
      </c>
      <c r="B12" s="4" t="n">
        <v>102043.3</v>
      </c>
      <c r="C12" s="4" t="n">
        <v>105795.7</v>
      </c>
      <c r="D12" s="4" t="n">
        <v>100048</v>
      </c>
    </row>
    <row r="13">
      <c r="A13" s="4" t="n">
        <v>12</v>
      </c>
      <c r="B13" s="4" t="n">
        <v>97136.39999999999</v>
      </c>
      <c r="C13" s="4" t="n">
        <v>79450</v>
      </c>
      <c r="D13" s="4" t="n">
        <v>61220.5</v>
      </c>
    </row>
    <row r="14">
      <c r="A14" s="4" t="n">
        <v>13</v>
      </c>
      <c r="B14" s="4" t="n">
        <v>57762.7</v>
      </c>
      <c r="C14" s="4" t="n">
        <v>41465.6</v>
      </c>
      <c r="D14" s="4" t="n">
        <v>115927.3</v>
      </c>
    </row>
    <row r="15">
      <c r="A15" s="4" t="n">
        <v>14</v>
      </c>
      <c r="B15" s="4" t="n">
        <v>109287.5</v>
      </c>
      <c r="C15" s="4" t="n">
        <v>101718.2</v>
      </c>
      <c r="D15" s="4" t="n">
        <v>108700.1</v>
      </c>
    </row>
    <row r="16">
      <c r="A16" s="4" t="n">
        <v>15</v>
      </c>
      <c r="B16" s="4" t="n">
        <v>84043.39999999999</v>
      </c>
      <c r="C16" s="4" t="n">
        <v>97316.8</v>
      </c>
      <c r="D16" s="4" t="n">
        <v>75970.3</v>
      </c>
    </row>
    <row r="17">
      <c r="A17" s="4" t="n">
        <v>16</v>
      </c>
      <c r="B17" s="4" t="n">
        <v>87431.3</v>
      </c>
      <c r="C17" s="4" t="n">
        <v>106790</v>
      </c>
      <c r="D17" s="4" t="n">
        <v>100889</v>
      </c>
    </row>
    <row r="18">
      <c r="A18" s="4" t="n">
        <v>17</v>
      </c>
      <c r="B18" s="4" t="n">
        <v>115054</v>
      </c>
      <c r="C18" s="4" t="n">
        <v>104008.6</v>
      </c>
      <c r="D18" s="4" t="n">
        <v>101076.8</v>
      </c>
    </row>
    <row r="19">
      <c r="A19" s="4" t="n">
        <v>18</v>
      </c>
      <c r="B19" s="4" t="n">
        <v>106838.6</v>
      </c>
      <c r="C19" s="4" t="n">
        <v>73715</v>
      </c>
      <c r="D19" s="4" t="n">
        <v>72388</v>
      </c>
    </row>
    <row r="20">
      <c r="A20" s="4" t="n">
        <v>19</v>
      </c>
      <c r="B20" s="4" t="n">
        <v>46750.8</v>
      </c>
      <c r="C20" s="4" t="n">
        <v>50737.3</v>
      </c>
      <c r="D20" s="4" t="n">
        <v>57060</v>
      </c>
    </row>
    <row r="21">
      <c r="A21" s="4" t="n">
        <v>20</v>
      </c>
      <c r="B21" s="4" t="n">
        <v>74198.5</v>
      </c>
      <c r="C21" s="4" t="n">
        <v>70366.5</v>
      </c>
      <c r="D21" s="4" t="n">
        <v>70362.2</v>
      </c>
    </row>
    <row r="22">
      <c r="A22" s="4" t="n">
        <v>21</v>
      </c>
      <c r="B22" s="4" t="n">
        <v>102236.1</v>
      </c>
      <c r="C22" s="4" t="n">
        <v>95168</v>
      </c>
      <c r="D22" s="4" t="n">
        <v>103028.7</v>
      </c>
    </row>
    <row r="23">
      <c r="A23" s="4" t="n">
        <v>22</v>
      </c>
      <c r="B23" s="4" t="n">
        <v>78749.3</v>
      </c>
      <c r="C23" s="4" t="n">
        <v>87649.8</v>
      </c>
      <c r="D23" s="4" t="n">
        <v>95743.60000000001</v>
      </c>
    </row>
    <row r="24">
      <c r="A24" s="4" t="n">
        <v>23</v>
      </c>
      <c r="B24" s="4" t="n">
        <v>108387.7</v>
      </c>
      <c r="C24" s="4" t="n">
        <v>112366.1</v>
      </c>
      <c r="D24" s="4" t="n">
        <v>119336.8</v>
      </c>
    </row>
    <row r="25">
      <c r="A25" s="4" t="n">
        <v>24</v>
      </c>
      <c r="B25" s="4" t="n">
        <v>130264.9</v>
      </c>
      <c r="C25" s="4" t="n">
        <v>133934.6</v>
      </c>
      <c r="D25" s="4" t="n">
        <v>135886.8</v>
      </c>
    </row>
    <row r="26">
      <c r="A26" s="4" t="n">
        <v>25</v>
      </c>
      <c r="B26" s="4" t="n">
        <v>112447.8</v>
      </c>
      <c r="C26" s="4" t="n">
        <v>97536.89999999999</v>
      </c>
      <c r="D26" s="4" t="n">
        <v>104827.5</v>
      </c>
    </row>
    <row r="27">
      <c r="A27" s="4" t="n">
        <v>26</v>
      </c>
      <c r="B27" s="4" t="n">
        <v>118991.2</v>
      </c>
      <c r="C27" s="4" t="n">
        <v>79796.2</v>
      </c>
      <c r="D27" s="4" t="n">
        <v>116929.4</v>
      </c>
    </row>
    <row r="28">
      <c r="A28" s="4" t="n">
        <v>27</v>
      </c>
      <c r="B28" s="4" t="n">
        <v>96493.10000000001</v>
      </c>
      <c r="C28" s="4" t="n">
        <v>88728.60000000001</v>
      </c>
      <c r="D28" s="4" t="n">
        <v>90999.89999999999</v>
      </c>
    </row>
    <row r="29">
      <c r="A29" s="4" t="n">
        <v>28</v>
      </c>
      <c r="B29" s="4" t="n">
        <v>68601.3</v>
      </c>
      <c r="C29" s="4" t="n">
        <v>89945.5</v>
      </c>
      <c r="D29" s="4" t="n">
        <v>77418.2</v>
      </c>
    </row>
    <row r="30">
      <c r="A30" s="4" t="n">
        <v>29</v>
      </c>
      <c r="B30" s="4" t="n">
        <v>69091.7</v>
      </c>
      <c r="C30" s="4" t="n">
        <v>90333.60000000001</v>
      </c>
      <c r="D30" s="4" t="n">
        <v>85546.89999999999</v>
      </c>
    </row>
    <row r="31">
      <c r="A31" s="4" t="n">
        <v>30</v>
      </c>
      <c r="B31" s="4" t="n">
        <v>99214.8</v>
      </c>
      <c r="C31" s="4" t="n">
        <v>82923.60000000001</v>
      </c>
      <c r="D31" s="4" t="n">
        <v>76383.8</v>
      </c>
    </row>
    <row r="32">
      <c r="A32" s="4" t="n">
        <v>31</v>
      </c>
      <c r="B32" s="4" t="n">
        <v>75845.39999999999</v>
      </c>
      <c r="C32" s="4" t="n">
        <v>109613.9</v>
      </c>
      <c r="D32" s="4" t="n">
        <v>104151.1</v>
      </c>
    </row>
    <row r="33">
      <c r="A33" s="4" t="n">
        <v>32</v>
      </c>
      <c r="B33" s="4" t="n">
        <v>76977.39999999999</v>
      </c>
      <c r="C33" s="4" t="n">
        <v>82559.3</v>
      </c>
      <c r="D33" s="4" t="n">
        <v>100766.3</v>
      </c>
    </row>
    <row r="34">
      <c r="A34" s="4" t="n">
        <v>33</v>
      </c>
      <c r="B34" s="4" t="n">
        <v>95255.8</v>
      </c>
      <c r="C34" s="4" t="n">
        <v>88080</v>
      </c>
      <c r="D34" s="4" t="n">
        <v>83494.89999999999</v>
      </c>
    </row>
    <row r="35">
      <c r="A35" s="4" t="n">
        <v>34</v>
      </c>
      <c r="B35" s="4" t="n">
        <v>85129.2</v>
      </c>
      <c r="C35" s="4" t="n">
        <v>107256.1</v>
      </c>
      <c r="D35" s="4" t="n">
        <v>86075.39999999999</v>
      </c>
    </row>
    <row r="36">
      <c r="A36" s="4" t="n">
        <v>35</v>
      </c>
      <c r="B36" s="4" t="n">
        <v>106216.5</v>
      </c>
      <c r="C36" s="4" t="n">
        <v>103493.7</v>
      </c>
      <c r="D36" s="4" t="n">
        <v>94017.2</v>
      </c>
    </row>
    <row r="37">
      <c r="A37" s="4" t="n">
        <v>36</v>
      </c>
      <c r="B37" s="4" t="n">
        <v>96151.5</v>
      </c>
      <c r="C37" s="4" t="n">
        <v>78810.2</v>
      </c>
      <c r="D37" s="4" t="n">
        <v>99424.3</v>
      </c>
    </row>
    <row r="38">
      <c r="A38" s="4" t="n">
        <v>37</v>
      </c>
      <c r="B38" s="4" t="n">
        <v>76898.8</v>
      </c>
      <c r="C38" s="4" t="n">
        <v>97795</v>
      </c>
      <c r="D38" s="4" t="n">
        <v>72305.10000000001</v>
      </c>
    </row>
    <row r="39">
      <c r="A39" s="4" t="n">
        <v>38</v>
      </c>
      <c r="B39" s="4" t="n">
        <v>108134.6</v>
      </c>
      <c r="C39" s="4" t="n">
        <v>116101.3</v>
      </c>
      <c r="D39" s="4" t="n">
        <v>116272.6</v>
      </c>
    </row>
    <row r="40">
      <c r="A40" s="4" t="n">
        <v>39</v>
      </c>
      <c r="B40" s="4" t="n">
        <v>113399.7</v>
      </c>
      <c r="C40" s="4" t="n">
        <v>126301.9</v>
      </c>
      <c r="D40" s="4" t="n">
        <v>95542.3</v>
      </c>
    </row>
    <row r="41">
      <c r="A41" s="4" t="n">
        <v>40</v>
      </c>
      <c r="B41" s="4" t="n">
        <v>107628.4</v>
      </c>
      <c r="C41" s="4" t="n">
        <v>117145.7</v>
      </c>
      <c r="D41" s="4" t="n">
        <v>131411</v>
      </c>
    </row>
    <row r="42">
      <c r="A42" s="4" t="n">
        <v>41</v>
      </c>
      <c r="B42" s="4" t="n">
        <v>120927.4</v>
      </c>
      <c r="C42" s="4" t="n">
        <v>101149.8</v>
      </c>
      <c r="D42" s="4" t="n">
        <v>111139.9</v>
      </c>
    </row>
    <row r="43">
      <c r="A43" s="4" t="n">
        <v>42</v>
      </c>
      <c r="B43" s="4" t="n">
        <v>171882.8</v>
      </c>
      <c r="C43" s="4" t="n">
        <v>108063.5</v>
      </c>
      <c r="D43" s="4" t="n">
        <v>171769.7</v>
      </c>
    </row>
    <row r="44">
      <c r="A44" s="4" t="n">
        <v>43</v>
      </c>
      <c r="B44" s="4" t="n">
        <v>60752</v>
      </c>
      <c r="C44" s="4" t="n">
        <v>67182.60000000001</v>
      </c>
      <c r="D44" s="4" t="n">
        <v>53688.3</v>
      </c>
    </row>
    <row r="45">
      <c r="A45" s="4" t="n">
        <v>44</v>
      </c>
      <c r="B45" s="4" t="n">
        <v>100080.1</v>
      </c>
      <c r="C45" s="4" t="n">
        <v>68392.7</v>
      </c>
      <c r="D45" s="4" t="n">
        <v>66494.39999999999</v>
      </c>
    </row>
    <row r="46">
      <c r="A46" s="4" t="n">
        <v>45</v>
      </c>
      <c r="B46" s="4" t="n">
        <v>107462.9</v>
      </c>
      <c r="C46" s="4" t="n">
        <v>105599.2</v>
      </c>
      <c r="D46" s="4" t="n">
        <v>104119.2</v>
      </c>
    </row>
    <row r="47">
      <c r="A47" s="4" t="n">
        <v>46</v>
      </c>
      <c r="B47" s="4" t="n">
        <v>78484.3</v>
      </c>
      <c r="C47" s="4" t="n">
        <v>107777</v>
      </c>
      <c r="D47" s="4" t="n">
        <v>65190.8</v>
      </c>
    </row>
    <row r="48">
      <c r="A48" s="4" t="n">
        <v>47</v>
      </c>
      <c r="B48" s="4" t="n">
        <v>98181.89999999999</v>
      </c>
      <c r="C48" s="4" t="n">
        <v>119679.8</v>
      </c>
      <c r="D48" s="4" t="n">
        <v>87461.2</v>
      </c>
    </row>
    <row r="49">
      <c r="A49" s="4" t="n">
        <v>48</v>
      </c>
      <c r="B49" s="4" t="n">
        <v>54280.2</v>
      </c>
      <c r="C49" s="4" t="n">
        <v>75734.39999999999</v>
      </c>
      <c r="D49" s="4" t="n">
        <v>62297.4</v>
      </c>
    </row>
    <row r="50">
      <c r="A50" s="4" t="n">
        <v>49</v>
      </c>
      <c r="B50" s="4" t="n">
        <v>79849.5</v>
      </c>
      <c r="C50" s="4" t="n">
        <v>83231.3</v>
      </c>
      <c r="D50" s="4" t="n">
        <v>71889.60000000001</v>
      </c>
    </row>
    <row r="51">
      <c r="A51" s="4" t="n">
        <v>50</v>
      </c>
      <c r="B51" s="4" t="n">
        <v>114550.5</v>
      </c>
      <c r="C51" s="4" t="n">
        <v>91291.60000000001</v>
      </c>
      <c r="D51" s="4" t="n">
        <v>80386.39999999999</v>
      </c>
    </row>
    <row r="52">
      <c r="A52" s="4" t="n">
        <v>51</v>
      </c>
      <c r="B52" s="4" t="n">
        <v>88053.89999999999</v>
      </c>
      <c r="C52" s="4" t="n">
        <v>86740.10000000001</v>
      </c>
      <c r="D52" s="4" t="n">
        <v>90805.60000000001</v>
      </c>
    </row>
    <row r="53">
      <c r="A53" s="4" t="n">
        <v>52</v>
      </c>
      <c r="B53" s="4" t="n">
        <v>99501.7</v>
      </c>
      <c r="C53" s="4" t="n">
        <v>93445.7</v>
      </c>
      <c r="D53" s="4" t="n">
        <v>89354.10000000001</v>
      </c>
    </row>
    <row r="54">
      <c r="A54" s="4" t="n">
        <v>53</v>
      </c>
      <c r="B54" s="4" t="n">
        <v>100938.2</v>
      </c>
      <c r="C54" s="4" t="n">
        <v>76253.2</v>
      </c>
      <c r="D54" s="4" t="n">
        <v>89274.7</v>
      </c>
    </row>
    <row r="55">
      <c r="A55" s="4" t="n">
        <v>54</v>
      </c>
      <c r="B55" s="4" t="n">
        <v>93476.8</v>
      </c>
      <c r="C55" s="4" t="n">
        <v>86444.89999999999</v>
      </c>
      <c r="D55" s="4" t="n">
        <v>78862</v>
      </c>
    </row>
    <row r="56">
      <c r="A56" s="4" t="n">
        <v>55</v>
      </c>
      <c r="B56" s="4" t="n">
        <v>77112.39999999999</v>
      </c>
      <c r="C56" s="4" t="n">
        <v>63499.3</v>
      </c>
      <c r="D56" s="4" t="n">
        <v>47690.1</v>
      </c>
    </row>
    <row r="57">
      <c r="A57" s="4" t="n">
        <v>56</v>
      </c>
      <c r="B57" s="4" t="n">
        <v>72713.89999999999</v>
      </c>
      <c r="C57" s="4" t="n">
        <v>73528.3</v>
      </c>
      <c r="D57" s="4" t="n">
        <v>74335.5</v>
      </c>
    </row>
    <row r="58">
      <c r="A58" s="4" t="n">
        <v>57</v>
      </c>
      <c r="B58" s="4" t="n">
        <v>101146.6</v>
      </c>
      <c r="C58" s="4" t="n">
        <v>105774.2</v>
      </c>
      <c r="D58" s="4" t="n">
        <v>93992.7</v>
      </c>
    </row>
    <row r="59">
      <c r="A59" s="4" t="n">
        <v>58</v>
      </c>
      <c r="B59" s="4" t="n">
        <v>100222.4</v>
      </c>
      <c r="C59" s="4" t="n">
        <v>89294.10000000001</v>
      </c>
      <c r="D59" s="4" t="n">
        <v>85490.7</v>
      </c>
    </row>
    <row r="60">
      <c r="A60" s="4" t="n">
        <v>59</v>
      </c>
      <c r="B60" s="4" t="n">
        <v>99139.10000000001</v>
      </c>
      <c r="C60" s="4" t="n">
        <v>77971.5</v>
      </c>
      <c r="D60" s="4" t="n">
        <v>101204.6</v>
      </c>
    </row>
    <row r="61">
      <c r="A61" s="4" t="n">
        <v>60</v>
      </c>
      <c r="B61" s="4" t="n">
        <v>132477.2</v>
      </c>
      <c r="C61" s="4" t="n">
        <v>117839.2</v>
      </c>
      <c r="D61" s="4" t="n">
        <v>115309</v>
      </c>
    </row>
    <row r="62">
      <c r="A62" s="4" t="n">
        <v>61</v>
      </c>
      <c r="B62" s="4" t="n">
        <v>66195</v>
      </c>
      <c r="C62" s="4" t="n">
        <v>61741.5</v>
      </c>
      <c r="D62" s="4" t="n">
        <v>56836.6</v>
      </c>
    </row>
    <row r="63">
      <c r="A63" s="4" t="n">
        <v>62</v>
      </c>
      <c r="B63" s="4" t="n">
        <v>75354.60000000001</v>
      </c>
      <c r="C63" s="4" t="n">
        <v>94066.39999999999</v>
      </c>
      <c r="D63" s="4" t="n">
        <v>81146.2</v>
      </c>
    </row>
    <row r="64">
      <c r="A64" s="4" t="n">
        <v>63</v>
      </c>
      <c r="B64" s="4" t="n">
        <v>68782.3</v>
      </c>
      <c r="C64" s="4" t="n">
        <v>58624.3</v>
      </c>
      <c r="D64" s="4" t="n">
        <v>80604.89999999999</v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局部韧皮部面积1</t>
        </is>
      </c>
      <c r="C1" s="4" t="inlineStr">
        <is>
          <t>局部韧皮部面积2</t>
        </is>
      </c>
      <c r="D1" s="4" t="inlineStr">
        <is>
          <t>局部韧皮部面积3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</row>
    <row r="3">
      <c r="A3" s="4" t="n">
        <v>2</v>
      </c>
      <c r="B3" s="4" t="n">
        <v>15284.8</v>
      </c>
      <c r="C3" s="4" t="n">
        <v>62825</v>
      </c>
      <c r="D3" s="4" t="n">
        <v>56336.4</v>
      </c>
    </row>
    <row r="4">
      <c r="A4" s="4" t="n">
        <v>3</v>
      </c>
      <c r="B4" s="4" t="n">
        <v>246309.2</v>
      </c>
      <c r="C4" s="4" t="n">
        <v>270959</v>
      </c>
      <c r="D4" s="4" t="n">
        <v>241101.4</v>
      </c>
    </row>
    <row r="5">
      <c r="A5" s="4" t="n">
        <v>4</v>
      </c>
      <c r="B5" s="4" t="n">
        <v>0</v>
      </c>
      <c r="C5" s="4" t="n">
        <v>0</v>
      </c>
      <c r="D5" s="4" t="n">
        <v>0</v>
      </c>
    </row>
    <row r="6">
      <c r="A6" s="4" t="n">
        <v>5</v>
      </c>
      <c r="B6" s="4" t="n">
        <v>35408.3</v>
      </c>
      <c r="C6" s="4" t="n">
        <v>50501.7</v>
      </c>
      <c r="D6" s="4" t="n">
        <v>26245.1</v>
      </c>
    </row>
    <row r="7">
      <c r="A7" s="4" t="n">
        <v>6</v>
      </c>
      <c r="B7" s="4" t="n">
        <v>294540.8</v>
      </c>
      <c r="C7" s="4" t="n">
        <v>266061.8</v>
      </c>
      <c r="D7" s="4" t="n">
        <v>322202.4</v>
      </c>
    </row>
    <row r="8">
      <c r="A8" s="4" t="n">
        <v>7</v>
      </c>
      <c r="B8" s="4" t="n">
        <v>0</v>
      </c>
      <c r="C8" s="4" t="n">
        <v>0</v>
      </c>
      <c r="D8" s="4" t="n">
        <v>0</v>
      </c>
    </row>
    <row r="9">
      <c r="A9" s="4" t="n">
        <v>8</v>
      </c>
      <c r="B9" s="4" t="n">
        <v>0</v>
      </c>
      <c r="C9" s="4" t="n">
        <v>0</v>
      </c>
      <c r="D9" s="4" t="n">
        <v>16551.6</v>
      </c>
    </row>
    <row r="10">
      <c r="A10" s="4" t="n">
        <v>9</v>
      </c>
      <c r="B10" s="4" t="n">
        <v>43235.2</v>
      </c>
      <c r="C10" s="4" t="n">
        <v>21379.6</v>
      </c>
      <c r="D10" s="4" t="n">
        <v>185161.9</v>
      </c>
    </row>
    <row r="11">
      <c r="A11" s="4" t="n">
        <v>10</v>
      </c>
      <c r="B11" s="4" t="n">
        <v>0</v>
      </c>
      <c r="C11" s="4" t="n">
        <v>0</v>
      </c>
      <c r="D11" s="4" t="n">
        <v>0</v>
      </c>
    </row>
    <row r="12">
      <c r="A12" s="4" t="n">
        <v>11</v>
      </c>
      <c r="B12" s="4" t="n">
        <v>0</v>
      </c>
      <c r="C12" s="4" t="n">
        <v>0</v>
      </c>
      <c r="D12" s="4" t="n">
        <v>0</v>
      </c>
    </row>
    <row r="13">
      <c r="A13" s="4" t="n">
        <v>12</v>
      </c>
      <c r="B13" s="4" t="n">
        <v>95942.5</v>
      </c>
      <c r="C13" s="4" t="n">
        <v>40060.1</v>
      </c>
      <c r="D13" s="4" t="n">
        <v>142159.2</v>
      </c>
    </row>
    <row r="14">
      <c r="A14" s="4" t="n">
        <v>13</v>
      </c>
      <c r="B14" s="4" t="n">
        <v>0</v>
      </c>
      <c r="C14" s="4" t="n">
        <v>0</v>
      </c>
      <c r="D14" s="4" t="n">
        <v>0</v>
      </c>
    </row>
    <row r="15">
      <c r="A15" s="4" t="n">
        <v>14</v>
      </c>
      <c r="B15" s="4" t="n">
        <v>0</v>
      </c>
      <c r="C15" s="4" t="n">
        <v>0</v>
      </c>
      <c r="D15" s="4" t="n">
        <v>0</v>
      </c>
    </row>
    <row r="16">
      <c r="A16" s="4" t="n">
        <v>15</v>
      </c>
      <c r="B16" s="4" t="n">
        <v>210839</v>
      </c>
      <c r="C16" s="4" t="n">
        <v>241427.6</v>
      </c>
      <c r="D16" s="4" t="n">
        <v>0</v>
      </c>
    </row>
    <row r="17">
      <c r="A17" s="4" t="n">
        <v>16</v>
      </c>
      <c r="B17" s="4" t="n">
        <v>0</v>
      </c>
      <c r="C17" s="4" t="n">
        <v>0</v>
      </c>
      <c r="D17" s="4" t="n">
        <v>0</v>
      </c>
    </row>
    <row r="18">
      <c r="A18" s="4" t="n">
        <v>17</v>
      </c>
      <c r="B18" s="4" t="n">
        <v>0</v>
      </c>
      <c r="C18" s="4" t="n">
        <v>0</v>
      </c>
      <c r="D18" s="4" t="n">
        <v>0</v>
      </c>
    </row>
    <row r="19">
      <c r="A19" s="4" t="n">
        <v>18</v>
      </c>
      <c r="B19" s="4" t="n">
        <v>0</v>
      </c>
      <c r="C19" s="4" t="n">
        <v>10092.7</v>
      </c>
      <c r="D19" s="4" t="n">
        <v>9408.299999999999</v>
      </c>
    </row>
    <row r="20">
      <c r="A20" s="4" t="n">
        <v>19</v>
      </c>
      <c r="B20" s="4" t="n">
        <v>0</v>
      </c>
      <c r="C20" s="4" t="n">
        <v>0</v>
      </c>
      <c r="D20" s="4" t="n">
        <v>0</v>
      </c>
    </row>
    <row r="21">
      <c r="A21" s="4" t="n">
        <v>20</v>
      </c>
      <c r="B21" s="4" t="n">
        <v>0</v>
      </c>
      <c r="C21" s="4" t="n">
        <v>0</v>
      </c>
      <c r="D21" s="4" t="n">
        <v>0</v>
      </c>
    </row>
    <row r="22">
      <c r="A22" s="4" t="n">
        <v>21</v>
      </c>
      <c r="B22" s="4" t="n">
        <v>0</v>
      </c>
      <c r="C22" s="4" t="n">
        <v>0</v>
      </c>
      <c r="D22" s="4" t="n">
        <v>0</v>
      </c>
    </row>
    <row r="23">
      <c r="A23" s="4" t="n">
        <v>22</v>
      </c>
      <c r="B23" s="4" t="n">
        <v>0</v>
      </c>
      <c r="C23" s="4" t="n">
        <v>0</v>
      </c>
      <c r="D23" s="4" t="n">
        <v>0</v>
      </c>
    </row>
    <row r="24">
      <c r="A24" s="4" t="n">
        <v>23</v>
      </c>
      <c r="B24" s="4" t="n">
        <v>0</v>
      </c>
      <c r="C24" s="4" t="n">
        <v>0</v>
      </c>
      <c r="D24" s="4" t="n">
        <v>0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</row>
    <row r="29">
      <c r="A29" s="4" t="n">
        <v>28</v>
      </c>
      <c r="B29" s="4" t="n">
        <v>0</v>
      </c>
      <c r="C29" s="4" t="n">
        <v>0</v>
      </c>
      <c r="D29" s="4" t="n">
        <v>0</v>
      </c>
    </row>
    <row r="30">
      <c r="A30" s="4" t="n">
        <v>29</v>
      </c>
      <c r="B30" s="4" t="n">
        <v>0</v>
      </c>
      <c r="C30" s="4" t="n">
        <v>0</v>
      </c>
      <c r="D30" s="4" t="n">
        <v>0</v>
      </c>
    </row>
    <row r="31">
      <c r="A31" s="4" t="n">
        <v>30</v>
      </c>
      <c r="B31" s="4" t="n">
        <v>1335.9</v>
      </c>
      <c r="C31" s="4" t="n">
        <v>0</v>
      </c>
      <c r="D31" s="4" t="n">
        <v>0</v>
      </c>
    </row>
    <row r="32">
      <c r="A32" s="4" t="n">
        <v>31</v>
      </c>
      <c r="B32" s="4" t="n">
        <v>0</v>
      </c>
      <c r="C32" s="4" t="n">
        <v>0</v>
      </c>
      <c r="D32" s="4" t="n">
        <v>0</v>
      </c>
    </row>
    <row r="33">
      <c r="A33" s="4" t="n">
        <v>32</v>
      </c>
      <c r="B33" s="4" t="n">
        <v>0</v>
      </c>
      <c r="C33" s="4" t="n">
        <v>0</v>
      </c>
      <c r="D33" s="4" t="n">
        <v>0</v>
      </c>
    </row>
    <row r="34">
      <c r="A34" s="4" t="n">
        <v>33</v>
      </c>
      <c r="B34" s="4" t="n">
        <v>0</v>
      </c>
      <c r="C34" s="4" t="n">
        <v>0</v>
      </c>
      <c r="D34" s="4" t="n">
        <v>25370.2</v>
      </c>
    </row>
    <row r="35">
      <c r="A35" s="4" t="n">
        <v>34</v>
      </c>
      <c r="B35" s="4" t="n">
        <v>0</v>
      </c>
      <c r="C35" s="4" t="n">
        <v>0</v>
      </c>
      <c r="D35" s="4" t="n">
        <v>0</v>
      </c>
    </row>
    <row r="36">
      <c r="A36" s="4" t="n">
        <v>35</v>
      </c>
      <c r="B36" s="4" t="n">
        <v>0</v>
      </c>
      <c r="C36" s="4" t="n">
        <v>0</v>
      </c>
      <c r="D36" s="4" t="n">
        <v>0</v>
      </c>
    </row>
    <row r="37">
      <c r="A37" s="4" t="n">
        <v>36</v>
      </c>
      <c r="B37" s="4" t="n">
        <v>8817.4</v>
      </c>
      <c r="C37" s="4" t="n">
        <v>0</v>
      </c>
      <c r="D37" s="4" t="n">
        <v>0</v>
      </c>
    </row>
    <row r="38">
      <c r="A38" s="4" t="n">
        <v>37</v>
      </c>
      <c r="B38" s="4" t="n">
        <v>0</v>
      </c>
      <c r="C38" s="4" t="n">
        <v>0</v>
      </c>
      <c r="D38" s="4" t="n">
        <v>0</v>
      </c>
    </row>
    <row r="39">
      <c r="A39" s="4" t="n">
        <v>38</v>
      </c>
      <c r="B39" s="4" t="n">
        <v>0</v>
      </c>
      <c r="C39" s="4" t="n">
        <v>0</v>
      </c>
      <c r="D39" s="4" t="n">
        <v>0</v>
      </c>
    </row>
    <row r="40">
      <c r="A40" s="4" t="n">
        <v>39</v>
      </c>
      <c r="B40" s="4" t="n">
        <v>0</v>
      </c>
      <c r="C40" s="4" t="n">
        <v>0</v>
      </c>
      <c r="D40" s="4" t="n">
        <v>0</v>
      </c>
    </row>
    <row r="41">
      <c r="A41" s="4" t="n">
        <v>40</v>
      </c>
      <c r="B41" s="4" t="n">
        <v>0</v>
      </c>
      <c r="C41" s="4" t="n">
        <v>0</v>
      </c>
      <c r="D41" s="4" t="n">
        <v>0</v>
      </c>
    </row>
    <row r="42">
      <c r="A42" s="4" t="n">
        <v>41</v>
      </c>
      <c r="B42" s="4" t="n">
        <v>0</v>
      </c>
      <c r="C42" s="4" t="n">
        <v>0</v>
      </c>
      <c r="D42" s="4" t="n">
        <v>0</v>
      </c>
    </row>
    <row r="43">
      <c r="A43" s="4" t="n">
        <v>42</v>
      </c>
      <c r="B43" s="4" t="n">
        <v>14830.3</v>
      </c>
      <c r="C43" s="4" t="n">
        <v>23064.2</v>
      </c>
      <c r="D43" s="4" t="n">
        <v>0</v>
      </c>
    </row>
    <row r="44">
      <c r="A44" s="4" t="n">
        <v>43</v>
      </c>
      <c r="B44" s="4" t="n">
        <v>0</v>
      </c>
      <c r="C44" s="4" t="n">
        <v>0</v>
      </c>
      <c r="D44" s="4" t="n">
        <v>0</v>
      </c>
    </row>
    <row r="45">
      <c r="A45" s="4" t="n">
        <v>44</v>
      </c>
      <c r="B45" s="4" t="n">
        <v>8586.9</v>
      </c>
      <c r="C45" s="4" t="n">
        <v>0</v>
      </c>
      <c r="D45" s="4" t="n">
        <v>0</v>
      </c>
    </row>
    <row r="46">
      <c r="A46" s="4" t="n">
        <v>45</v>
      </c>
      <c r="B46" s="4" t="n">
        <v>0</v>
      </c>
      <c r="C46" s="4" t="n">
        <v>0</v>
      </c>
      <c r="D46" s="4" t="n">
        <v>0</v>
      </c>
    </row>
    <row r="47">
      <c r="A47" s="4" t="n">
        <v>46</v>
      </c>
      <c r="B47" s="4" t="n">
        <v>0</v>
      </c>
      <c r="C47" s="4" t="n">
        <v>0</v>
      </c>
      <c r="D47" s="4" t="n">
        <v>0</v>
      </c>
    </row>
    <row r="48">
      <c r="A48" s="4" t="n">
        <v>47</v>
      </c>
      <c r="B48" s="4" t="n">
        <v>0</v>
      </c>
      <c r="C48" s="4" t="n">
        <v>0</v>
      </c>
      <c r="D48" s="4" t="n">
        <v>0</v>
      </c>
    </row>
    <row r="49">
      <c r="A49" s="4" t="n">
        <v>48</v>
      </c>
      <c r="B49" s="4" t="n">
        <v>152331</v>
      </c>
      <c r="C49" s="4" t="n">
        <v>0</v>
      </c>
      <c r="D49" s="4" t="n">
        <v>0</v>
      </c>
    </row>
    <row r="50">
      <c r="A50" s="4" t="n">
        <v>49</v>
      </c>
      <c r="B50" s="4" t="n">
        <v>0</v>
      </c>
      <c r="C50" s="4" t="n">
        <v>0</v>
      </c>
      <c r="D50" s="4" t="n">
        <v>0</v>
      </c>
    </row>
    <row r="51">
      <c r="A51" s="4" t="n">
        <v>50</v>
      </c>
      <c r="B51" s="4" t="n">
        <v>0</v>
      </c>
      <c r="C51" s="4" t="n">
        <v>0</v>
      </c>
      <c r="D51" s="4" t="n">
        <v>0</v>
      </c>
    </row>
    <row r="52">
      <c r="A52" s="4" t="n">
        <v>51</v>
      </c>
      <c r="B52" s="4" t="n">
        <v>11197.7</v>
      </c>
      <c r="C52" s="4" t="n">
        <v>0</v>
      </c>
      <c r="D52" s="4" t="n">
        <v>0</v>
      </c>
    </row>
    <row r="53">
      <c r="A53" s="4" t="n">
        <v>52</v>
      </c>
      <c r="B53" s="4" t="n">
        <v>0</v>
      </c>
      <c r="C53" s="4" t="n">
        <v>0</v>
      </c>
      <c r="D53" s="4" t="n">
        <v>0</v>
      </c>
    </row>
    <row r="54">
      <c r="A54" s="4" t="n">
        <v>53</v>
      </c>
      <c r="B54" s="4" t="n">
        <v>0</v>
      </c>
      <c r="C54" s="4" t="n">
        <v>0</v>
      </c>
      <c r="D54" s="4" t="n">
        <v>0</v>
      </c>
    </row>
    <row r="55">
      <c r="A55" s="4" t="n">
        <v>54</v>
      </c>
      <c r="B55" s="4" t="n">
        <v>0</v>
      </c>
      <c r="C55" s="4" t="n">
        <v>0</v>
      </c>
      <c r="D55" s="4" t="n">
        <v>0</v>
      </c>
    </row>
    <row r="56">
      <c r="A56" s="4" t="n">
        <v>55</v>
      </c>
      <c r="B56" s="4" t="n">
        <v>0</v>
      </c>
      <c r="C56" s="4" t="n">
        <v>0</v>
      </c>
      <c r="D56" s="4" t="n">
        <v>0</v>
      </c>
    </row>
    <row r="57">
      <c r="A57" s="4" t="n">
        <v>56</v>
      </c>
      <c r="B57" s="4" t="n">
        <v>0</v>
      </c>
      <c r="C57" s="4" t="n">
        <v>0</v>
      </c>
      <c r="D57" s="4" t="n">
        <v>0</v>
      </c>
    </row>
    <row r="58">
      <c r="A58" s="4" t="n">
        <v>57</v>
      </c>
      <c r="B58" s="4" t="n">
        <v>0</v>
      </c>
      <c r="C58" s="4" t="n">
        <v>0</v>
      </c>
      <c r="D58" s="4" t="n">
        <v>0</v>
      </c>
    </row>
    <row r="59">
      <c r="A59" s="4" t="n">
        <v>58</v>
      </c>
      <c r="B59" s="4" t="n">
        <v>0</v>
      </c>
      <c r="C59" s="4" t="n">
        <v>0</v>
      </c>
      <c r="D59" s="4" t="n">
        <v>0</v>
      </c>
    </row>
    <row r="60">
      <c r="A60" s="4" t="n">
        <v>59</v>
      </c>
      <c r="B60" s="4" t="n">
        <v>0</v>
      </c>
      <c r="C60" s="4" t="n">
        <v>0</v>
      </c>
      <c r="D60" s="4" t="n">
        <v>0</v>
      </c>
    </row>
    <row r="61">
      <c r="A61" s="4" t="n">
        <v>60</v>
      </c>
      <c r="B61" s="4" t="n">
        <v>0</v>
      </c>
      <c r="C61" s="4" t="n">
        <v>0</v>
      </c>
      <c r="D61" s="4" t="n">
        <v>7155.2</v>
      </c>
    </row>
    <row r="62">
      <c r="A62" s="4" t="n">
        <v>61</v>
      </c>
      <c r="B62" s="4" t="n">
        <v>0</v>
      </c>
      <c r="C62" s="4" t="n">
        <v>0</v>
      </c>
      <c r="D62" s="4" t="n">
        <v>0</v>
      </c>
    </row>
    <row r="63">
      <c r="A63" s="4" t="n">
        <v>62</v>
      </c>
      <c r="B63" s="4" t="n">
        <v>0</v>
      </c>
      <c r="C63" s="4" t="n">
        <v>0</v>
      </c>
      <c r="D63" s="4" t="n">
        <v>0</v>
      </c>
    </row>
    <row r="64">
      <c r="A64" s="4" t="n">
        <v>63</v>
      </c>
      <c r="B64" s="4" t="n">
        <v>0</v>
      </c>
      <c r="C64" s="4" t="n">
        <v>14546.1</v>
      </c>
      <c r="D64" s="4" t="n">
        <v>18083.5</v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23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局部髓面积1</t>
        </is>
      </c>
      <c r="C1" s="4" t="inlineStr">
        <is>
          <t>局部髓面积2</t>
        </is>
      </c>
      <c r="D1" s="4" t="inlineStr">
        <is>
          <t>局部髓面积3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</row>
    <row r="3">
      <c r="A3" s="4" t="n">
        <v>2</v>
      </c>
      <c r="B3" s="4" t="n">
        <v>0</v>
      </c>
      <c r="C3" s="4" t="n">
        <v>87756.89999999999</v>
      </c>
      <c r="D3" s="4" t="n">
        <v>16591.3</v>
      </c>
    </row>
    <row r="4">
      <c r="A4" s="4" t="n">
        <v>3</v>
      </c>
      <c r="B4" s="4" t="n">
        <v>54110.7</v>
      </c>
      <c r="C4" s="4" t="n">
        <v>41313.3</v>
      </c>
      <c r="D4" s="4" t="n">
        <v>29802.5</v>
      </c>
    </row>
    <row r="5">
      <c r="A5" s="4" t="n">
        <v>4</v>
      </c>
      <c r="B5" s="4" t="n">
        <v>0</v>
      </c>
      <c r="C5" s="4" t="n">
        <v>0</v>
      </c>
      <c r="D5" s="4" t="n">
        <v>0</v>
      </c>
    </row>
    <row r="6">
      <c r="A6" s="4" t="n">
        <v>5</v>
      </c>
      <c r="B6" s="4" t="n">
        <v>9141.5</v>
      </c>
      <c r="C6" s="4" t="n">
        <v>8605.700000000001</v>
      </c>
      <c r="D6" s="4" t="n">
        <v>0</v>
      </c>
    </row>
    <row r="7">
      <c r="A7" s="4" t="n">
        <v>6</v>
      </c>
      <c r="B7" s="4" t="n">
        <v>71583.3</v>
      </c>
      <c r="C7" s="4" t="n">
        <v>34330.9</v>
      </c>
      <c r="D7" s="4" t="n">
        <v>80439.89999999999</v>
      </c>
    </row>
    <row r="8">
      <c r="A8" s="4" t="n">
        <v>7</v>
      </c>
      <c r="B8" s="4" t="n">
        <v>0</v>
      </c>
      <c r="C8" s="4" t="n">
        <v>0</v>
      </c>
      <c r="D8" s="4" t="n">
        <v>0</v>
      </c>
    </row>
    <row r="9">
      <c r="A9" s="4" t="n">
        <v>8</v>
      </c>
      <c r="B9" s="4" t="n">
        <v>0</v>
      </c>
      <c r="C9" s="4" t="n">
        <v>0</v>
      </c>
      <c r="D9" s="4" t="n">
        <v>0</v>
      </c>
    </row>
    <row r="10">
      <c r="A10" s="4" t="n">
        <v>9</v>
      </c>
      <c r="B10" s="4" t="n">
        <v>43298.7</v>
      </c>
      <c r="C10" s="4" t="n">
        <v>18721.8</v>
      </c>
      <c r="D10" s="4" t="n">
        <v>203977.7</v>
      </c>
    </row>
    <row r="11">
      <c r="A11" s="4" t="n">
        <v>10</v>
      </c>
      <c r="B11" s="4" t="n">
        <v>0</v>
      </c>
      <c r="C11" s="4" t="n">
        <v>0</v>
      </c>
      <c r="D11" s="4" t="n">
        <v>0</v>
      </c>
    </row>
    <row r="12">
      <c r="A12" s="4" t="n">
        <v>11</v>
      </c>
      <c r="B12" s="4" t="n">
        <v>0</v>
      </c>
      <c r="C12" s="4" t="n">
        <v>0</v>
      </c>
      <c r="D12" s="4" t="n">
        <v>0</v>
      </c>
    </row>
    <row r="13">
      <c r="A13" s="4" t="n">
        <v>12</v>
      </c>
      <c r="B13" s="4" t="n">
        <v>63786.7</v>
      </c>
      <c r="C13" s="4" t="n">
        <v>110365</v>
      </c>
      <c r="D13" s="4" t="n">
        <v>59261.2</v>
      </c>
    </row>
    <row r="14">
      <c r="A14" s="4" t="n">
        <v>13</v>
      </c>
      <c r="B14" s="4" t="n">
        <v>0</v>
      </c>
      <c r="C14" s="4" t="n">
        <v>0</v>
      </c>
      <c r="D14" s="4" t="n">
        <v>0</v>
      </c>
    </row>
    <row r="15">
      <c r="A15" s="4" t="n">
        <v>14</v>
      </c>
      <c r="B15" s="4" t="n">
        <v>0</v>
      </c>
      <c r="C15" s="4" t="n">
        <v>0</v>
      </c>
      <c r="D15" s="4" t="n">
        <v>0</v>
      </c>
    </row>
    <row r="16">
      <c r="A16" s="4" t="n">
        <v>15</v>
      </c>
      <c r="B16" s="4" t="n">
        <v>125298</v>
      </c>
      <c r="C16" s="4" t="n">
        <v>49285.9</v>
      </c>
      <c r="D16" s="4" t="n">
        <v>0</v>
      </c>
    </row>
    <row r="17">
      <c r="A17" s="4" t="n">
        <v>16</v>
      </c>
      <c r="B17" s="4" t="n">
        <v>0</v>
      </c>
      <c r="C17" s="4" t="n">
        <v>0</v>
      </c>
      <c r="D17" s="4" t="n">
        <v>0</v>
      </c>
    </row>
    <row r="18">
      <c r="A18" s="4" t="n">
        <v>17</v>
      </c>
      <c r="B18" s="4" t="n">
        <v>0</v>
      </c>
      <c r="C18" s="4" t="n">
        <v>0</v>
      </c>
      <c r="D18" s="4" t="n">
        <v>0</v>
      </c>
    </row>
    <row r="19">
      <c r="A19" s="4" t="n">
        <v>18</v>
      </c>
      <c r="B19" s="4" t="n">
        <v>0</v>
      </c>
      <c r="C19" s="4" t="n">
        <v>228492</v>
      </c>
      <c r="D19" s="4" t="n">
        <v>292555.2</v>
      </c>
    </row>
    <row r="20">
      <c r="A20" s="4" t="n">
        <v>19</v>
      </c>
      <c r="B20" s="4" t="n">
        <v>0</v>
      </c>
      <c r="C20" s="4" t="n">
        <v>0</v>
      </c>
      <c r="D20" s="4" t="n">
        <v>0</v>
      </c>
    </row>
    <row r="21">
      <c r="A21" s="4" t="n">
        <v>20</v>
      </c>
      <c r="B21" s="4" t="n">
        <v>0</v>
      </c>
      <c r="C21" s="4" t="n">
        <v>0</v>
      </c>
      <c r="D21" s="4" t="n">
        <v>0</v>
      </c>
    </row>
    <row r="22">
      <c r="A22" s="4" t="n">
        <v>21</v>
      </c>
      <c r="B22" s="4" t="n">
        <v>0</v>
      </c>
      <c r="C22" s="4" t="n">
        <v>0</v>
      </c>
      <c r="D22" s="4" t="n">
        <v>0</v>
      </c>
    </row>
    <row r="23">
      <c r="A23" s="4" t="n">
        <v>22</v>
      </c>
      <c r="B23" s="4" t="n">
        <v>0</v>
      </c>
      <c r="C23" s="4" t="n">
        <v>0</v>
      </c>
      <c r="D23" s="4" t="n">
        <v>0</v>
      </c>
    </row>
    <row r="24">
      <c r="A24" s="4" t="n">
        <v>23</v>
      </c>
      <c r="B24" s="4" t="n">
        <v>0</v>
      </c>
      <c r="C24" s="4" t="n">
        <v>0</v>
      </c>
      <c r="D24" s="4" t="n">
        <v>0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</row>
    <row r="29">
      <c r="A29" s="4" t="n">
        <v>28</v>
      </c>
      <c r="B29" s="4" t="n">
        <v>0</v>
      </c>
      <c r="C29" s="4" t="n">
        <v>0</v>
      </c>
      <c r="D29" s="4" t="n">
        <v>0</v>
      </c>
    </row>
    <row r="30">
      <c r="A30" s="4" t="n">
        <v>29</v>
      </c>
      <c r="B30" s="4" t="n">
        <v>0</v>
      </c>
      <c r="C30" s="4" t="n">
        <v>0</v>
      </c>
      <c r="D30" s="4" t="n">
        <v>0</v>
      </c>
    </row>
    <row r="31">
      <c r="A31" s="4" t="n">
        <v>30</v>
      </c>
      <c r="B31" s="4" t="n">
        <v>0</v>
      </c>
      <c r="C31" s="4" t="n">
        <v>0</v>
      </c>
      <c r="D31" s="4" t="n">
        <v>0</v>
      </c>
    </row>
    <row r="32">
      <c r="A32" s="4" t="n">
        <v>31</v>
      </c>
      <c r="B32" s="4" t="n">
        <v>0</v>
      </c>
      <c r="C32" s="4" t="n">
        <v>0</v>
      </c>
      <c r="D32" s="4" t="n">
        <v>0</v>
      </c>
    </row>
    <row r="33">
      <c r="A33" s="4" t="n">
        <v>32</v>
      </c>
      <c r="B33" s="4" t="n">
        <v>0</v>
      </c>
      <c r="C33" s="4" t="n">
        <v>0</v>
      </c>
      <c r="D33" s="4" t="n">
        <v>0</v>
      </c>
    </row>
    <row r="34">
      <c r="A34" s="4" t="n">
        <v>33</v>
      </c>
      <c r="B34" s="4" t="n">
        <v>0</v>
      </c>
      <c r="C34" s="4" t="n">
        <v>0</v>
      </c>
      <c r="D34" s="4" t="n">
        <v>0</v>
      </c>
    </row>
    <row r="35">
      <c r="A35" s="4" t="n">
        <v>34</v>
      </c>
      <c r="B35" s="4" t="n">
        <v>0</v>
      </c>
      <c r="C35" s="4" t="n">
        <v>0</v>
      </c>
      <c r="D35" s="4" t="n">
        <v>0</v>
      </c>
    </row>
    <row r="36">
      <c r="A36" s="4" t="n">
        <v>35</v>
      </c>
      <c r="B36" s="4" t="n">
        <v>0</v>
      </c>
      <c r="C36" s="4" t="n">
        <v>0</v>
      </c>
      <c r="D36" s="4" t="n">
        <v>0</v>
      </c>
    </row>
    <row r="37">
      <c r="A37" s="4" t="n">
        <v>36</v>
      </c>
      <c r="B37" s="4" t="n">
        <v>103157.7</v>
      </c>
      <c r="C37" s="4" t="n">
        <v>0</v>
      </c>
      <c r="D37" s="4" t="n">
        <v>0</v>
      </c>
    </row>
    <row r="38">
      <c r="A38" s="4" t="n">
        <v>37</v>
      </c>
      <c r="B38" s="4" t="n">
        <v>0</v>
      </c>
      <c r="C38" s="4" t="n">
        <v>0</v>
      </c>
      <c r="D38" s="4" t="n">
        <v>0</v>
      </c>
    </row>
    <row r="39">
      <c r="A39" s="4" t="n">
        <v>38</v>
      </c>
      <c r="B39" s="4" t="n">
        <v>0</v>
      </c>
      <c r="C39" s="4" t="n">
        <v>0</v>
      </c>
      <c r="D39" s="4" t="n">
        <v>0</v>
      </c>
    </row>
    <row r="40">
      <c r="A40" s="4" t="n">
        <v>39</v>
      </c>
      <c r="B40" s="4" t="n">
        <v>0</v>
      </c>
      <c r="C40" s="4" t="n">
        <v>0</v>
      </c>
      <c r="D40" s="4" t="n">
        <v>0</v>
      </c>
    </row>
    <row r="41">
      <c r="A41" s="4" t="n">
        <v>40</v>
      </c>
      <c r="B41" s="4" t="n">
        <v>0</v>
      </c>
      <c r="C41" s="4" t="n">
        <v>0</v>
      </c>
      <c r="D41" s="4" t="n">
        <v>0</v>
      </c>
    </row>
    <row r="42">
      <c r="A42" s="4" t="n">
        <v>41</v>
      </c>
      <c r="B42" s="4" t="n">
        <v>0</v>
      </c>
      <c r="C42" s="4" t="n">
        <v>0</v>
      </c>
      <c r="D42" s="4" t="n">
        <v>0</v>
      </c>
    </row>
    <row r="43">
      <c r="A43" s="4" t="n">
        <v>42</v>
      </c>
      <c r="B43" s="4" t="n">
        <v>0</v>
      </c>
      <c r="C43" s="4" t="n">
        <v>0</v>
      </c>
      <c r="D43" s="4" t="n">
        <v>0</v>
      </c>
    </row>
    <row r="44">
      <c r="A44" s="4" t="n">
        <v>43</v>
      </c>
      <c r="B44" s="4" t="n">
        <v>0</v>
      </c>
      <c r="C44" s="4" t="n">
        <v>0</v>
      </c>
      <c r="D44" s="4" t="n">
        <v>0</v>
      </c>
    </row>
    <row r="45">
      <c r="A45" s="4" t="n">
        <v>44</v>
      </c>
      <c r="B45" s="4" t="n">
        <v>0</v>
      </c>
      <c r="C45" s="4" t="n">
        <v>0</v>
      </c>
      <c r="D45" s="4" t="n">
        <v>0</v>
      </c>
    </row>
    <row r="46">
      <c r="A46" s="4" t="n">
        <v>45</v>
      </c>
      <c r="B46" s="4" t="n">
        <v>0</v>
      </c>
      <c r="C46" s="4" t="n">
        <v>0</v>
      </c>
      <c r="D46" s="4" t="n">
        <v>0</v>
      </c>
    </row>
    <row r="47">
      <c r="A47" s="4" t="n">
        <v>46</v>
      </c>
      <c r="B47" s="4" t="n">
        <v>0</v>
      </c>
      <c r="C47" s="4" t="n">
        <v>0</v>
      </c>
      <c r="D47" s="4" t="n">
        <v>0</v>
      </c>
    </row>
    <row r="48">
      <c r="A48" s="4" t="n">
        <v>47</v>
      </c>
      <c r="B48" s="4" t="n">
        <v>0</v>
      </c>
      <c r="C48" s="4" t="n">
        <v>0</v>
      </c>
      <c r="D48" s="4" t="n">
        <v>0</v>
      </c>
    </row>
    <row r="49">
      <c r="A49" s="4" t="n">
        <v>48</v>
      </c>
      <c r="B49" s="4" t="n">
        <v>85138.89999999999</v>
      </c>
      <c r="C49" s="4" t="n">
        <v>0</v>
      </c>
      <c r="D49" s="4" t="n">
        <v>0</v>
      </c>
    </row>
    <row r="50">
      <c r="A50" s="4" t="n">
        <v>49</v>
      </c>
      <c r="B50" s="4" t="n">
        <v>0</v>
      </c>
      <c r="C50" s="4" t="n">
        <v>0</v>
      </c>
      <c r="D50" s="4" t="n">
        <v>0</v>
      </c>
    </row>
    <row r="51">
      <c r="A51" s="4" t="n">
        <v>50</v>
      </c>
      <c r="B51" s="4" t="n">
        <v>0</v>
      </c>
      <c r="C51" s="4" t="n">
        <v>0</v>
      </c>
      <c r="D51" s="4" t="n">
        <v>0</v>
      </c>
    </row>
    <row r="52">
      <c r="A52" s="4" t="n">
        <v>51</v>
      </c>
      <c r="B52" s="4" t="n">
        <v>0</v>
      </c>
      <c r="C52" s="4" t="n">
        <v>0</v>
      </c>
      <c r="D52" s="4" t="n">
        <v>0</v>
      </c>
    </row>
    <row r="53">
      <c r="A53" s="4" t="n">
        <v>52</v>
      </c>
      <c r="B53" s="4" t="n">
        <v>0</v>
      </c>
      <c r="C53" s="4" t="n">
        <v>0</v>
      </c>
      <c r="D53" s="4" t="n">
        <v>0</v>
      </c>
    </row>
    <row r="54">
      <c r="A54" s="4" t="n">
        <v>53</v>
      </c>
      <c r="B54" s="4" t="n">
        <v>0</v>
      </c>
      <c r="C54" s="4" t="n">
        <v>0</v>
      </c>
      <c r="D54" s="4" t="n">
        <v>0</v>
      </c>
    </row>
    <row r="55">
      <c r="A55" s="4" t="n">
        <v>54</v>
      </c>
      <c r="B55" s="4" t="n">
        <v>0</v>
      </c>
      <c r="C55" s="4" t="n">
        <v>0</v>
      </c>
      <c r="D55" s="4" t="n">
        <v>0</v>
      </c>
    </row>
    <row r="56">
      <c r="A56" s="4" t="n">
        <v>55</v>
      </c>
      <c r="B56" s="4" t="n">
        <v>0</v>
      </c>
      <c r="C56" s="4" t="n">
        <v>0</v>
      </c>
      <c r="D56" s="4" t="n">
        <v>0</v>
      </c>
    </row>
    <row r="57">
      <c r="A57" s="4" t="n">
        <v>56</v>
      </c>
      <c r="B57" s="4" t="n">
        <v>0</v>
      </c>
      <c r="C57" s="4" t="n">
        <v>0</v>
      </c>
      <c r="D57" s="4" t="n">
        <v>0</v>
      </c>
    </row>
    <row r="58">
      <c r="A58" s="4" t="n">
        <v>57</v>
      </c>
      <c r="B58" s="4" t="n">
        <v>0</v>
      </c>
      <c r="C58" s="4" t="n">
        <v>0</v>
      </c>
      <c r="D58" s="4" t="n">
        <v>0</v>
      </c>
    </row>
    <row r="59">
      <c r="A59" s="4" t="n">
        <v>58</v>
      </c>
      <c r="B59" s="4" t="n">
        <v>0</v>
      </c>
      <c r="C59" s="4" t="n">
        <v>0</v>
      </c>
      <c r="D59" s="4" t="n">
        <v>0</v>
      </c>
    </row>
    <row r="60">
      <c r="A60" s="4" t="n">
        <v>59</v>
      </c>
      <c r="B60" s="4" t="n">
        <v>0</v>
      </c>
      <c r="C60" s="4" t="n">
        <v>0</v>
      </c>
      <c r="D60" s="4" t="n">
        <v>0</v>
      </c>
    </row>
    <row r="61">
      <c r="A61" s="4" t="n">
        <v>60</v>
      </c>
      <c r="B61" s="4" t="n">
        <v>7972.5</v>
      </c>
      <c r="C61" s="4" t="n">
        <v>0</v>
      </c>
      <c r="D61" s="4" t="n">
        <v>104440.8</v>
      </c>
    </row>
    <row r="62">
      <c r="A62" s="4" t="n">
        <v>61</v>
      </c>
      <c r="B62" s="4" t="n">
        <v>0</v>
      </c>
      <c r="C62" s="4" t="n">
        <v>0</v>
      </c>
      <c r="D62" s="4" t="n">
        <v>0</v>
      </c>
    </row>
    <row r="63">
      <c r="A63" s="4" t="n">
        <v>62</v>
      </c>
      <c r="B63" s="4" t="n">
        <v>0</v>
      </c>
      <c r="C63" s="4" t="n">
        <v>0</v>
      </c>
      <c r="D63" s="4" t="n">
        <v>0</v>
      </c>
    </row>
    <row r="64">
      <c r="A64" s="4" t="n">
        <v>63</v>
      </c>
      <c r="B64" s="4" t="n">
        <v>12871.2</v>
      </c>
      <c r="C64" s="4" t="n">
        <v>0</v>
      </c>
      <c r="D64" s="4" t="n">
        <v>0</v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L30" sqref="L30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局部木质部面积1</t>
        </is>
      </c>
      <c r="C1" s="4" t="inlineStr">
        <is>
          <t>局部木质部面积2</t>
        </is>
      </c>
      <c r="D1" s="4" t="inlineStr">
        <is>
          <t>局部木质部面积3</t>
        </is>
      </c>
    </row>
    <row r="2">
      <c r="A2" s="4" t="n">
        <v>1</v>
      </c>
      <c r="B2" s="4" t="n">
        <v>1169120.6</v>
      </c>
      <c r="C2" s="4" t="n">
        <v>1169120.6</v>
      </c>
      <c r="D2" s="4" t="n">
        <v>1169120.6</v>
      </c>
    </row>
    <row r="3">
      <c r="A3" s="4" t="n">
        <v>2</v>
      </c>
      <c r="B3" s="4" t="n">
        <v>1153835.8</v>
      </c>
      <c r="C3" s="4" t="n">
        <v>1018538.7</v>
      </c>
      <c r="D3" s="4" t="n">
        <v>1096192.9</v>
      </c>
    </row>
    <row r="4">
      <c r="A4" s="4" t="n">
        <v>3</v>
      </c>
      <c r="B4" s="4" t="n">
        <v>868700.7</v>
      </c>
      <c r="C4" s="4" t="n">
        <v>856848.3</v>
      </c>
      <c r="D4" s="4" t="n">
        <v>898216.7</v>
      </c>
    </row>
    <row r="5">
      <c r="A5" s="4" t="n">
        <v>4</v>
      </c>
      <c r="B5" s="4" t="n">
        <v>1169120.6</v>
      </c>
      <c r="C5" s="4" t="n">
        <v>1169120.6</v>
      </c>
      <c r="D5" s="4" t="n">
        <v>1169120.6</v>
      </c>
    </row>
    <row r="6">
      <c r="A6" s="4" t="n">
        <v>5</v>
      </c>
      <c r="B6" s="4" t="n">
        <v>1124570.8</v>
      </c>
      <c r="C6" s="4" t="n">
        <v>1110013.2</v>
      </c>
      <c r="D6" s="4" t="n">
        <v>1142875.5</v>
      </c>
    </row>
    <row r="7">
      <c r="A7" s="4" t="n">
        <v>6</v>
      </c>
      <c r="B7" s="4" t="n">
        <v>802996.5</v>
      </c>
      <c r="C7" s="4" t="n">
        <v>868727.9</v>
      </c>
      <c r="D7" s="4" t="n">
        <v>766478.3</v>
      </c>
    </row>
    <row r="8">
      <c r="A8" s="4" t="n">
        <v>7</v>
      </c>
      <c r="B8" s="4" t="n">
        <v>1169120.6</v>
      </c>
      <c r="C8" s="4" t="n">
        <v>1169120.6</v>
      </c>
      <c r="D8" s="4" t="n">
        <v>1169120.6</v>
      </c>
    </row>
    <row r="9">
      <c r="A9" s="4" t="n">
        <v>8</v>
      </c>
      <c r="B9" s="4" t="n">
        <v>1169120.6</v>
      </c>
      <c r="C9" s="4" t="n">
        <v>1169120.6</v>
      </c>
      <c r="D9" s="4" t="n">
        <v>1152569</v>
      </c>
      <c r="I9" s="8" t="inlineStr">
        <is>
          <t>1.当图内没有 韧皮部、髓 时，木质部面积＝整张图面积
2.当图内有 韧皮部、髓（两者都有或有任意一个）时，木质部面积＝整张图面积-多余的两个（韧皮部、髓） 或 木质部面积＝整张图面积-多余的二者之一（韧皮部 或 髓）</t>
        </is>
      </c>
    </row>
    <row r="10">
      <c r="A10" s="4" t="n">
        <v>9</v>
      </c>
      <c r="B10" s="4" t="n">
        <v>1082586.7</v>
      </c>
      <c r="C10" s="4" t="n">
        <v>1129019.2</v>
      </c>
      <c r="D10" s="4" t="n">
        <v>779981</v>
      </c>
    </row>
    <row r="11">
      <c r="A11" s="4" t="n">
        <v>10</v>
      </c>
      <c r="B11" s="4" t="n">
        <v>1169120.6</v>
      </c>
      <c r="C11" s="4" t="n">
        <v>1169120.6</v>
      </c>
      <c r="D11" s="4" t="n">
        <v>1169120.6</v>
      </c>
    </row>
    <row r="12">
      <c r="A12" s="4" t="n">
        <v>11</v>
      </c>
      <c r="B12" s="4" t="n">
        <v>1169120.6</v>
      </c>
      <c r="C12" s="4" t="n">
        <v>1169120.6</v>
      </c>
      <c r="D12" s="4" t="n">
        <v>1169120.6</v>
      </c>
    </row>
    <row r="13">
      <c r="A13" s="4" t="n">
        <v>12</v>
      </c>
      <c r="B13" s="4" t="n">
        <v>1009391.4</v>
      </c>
      <c r="C13" s="4" t="n">
        <v>1018695.5</v>
      </c>
      <c r="D13" s="4" t="n">
        <v>967700.2</v>
      </c>
    </row>
    <row r="14">
      <c r="A14" s="4" t="n">
        <v>13</v>
      </c>
      <c r="B14" s="4" t="n">
        <v>1169120.6</v>
      </c>
      <c r="C14" s="4" t="n">
        <v>1169120.6</v>
      </c>
      <c r="D14" s="4" t="n">
        <v>1169120.6</v>
      </c>
    </row>
    <row r="15">
      <c r="A15" s="4" t="n">
        <v>14</v>
      </c>
      <c r="B15" s="4" t="n">
        <v>1169120.6</v>
      </c>
      <c r="C15" s="4" t="n">
        <v>1169120.6</v>
      </c>
      <c r="D15" s="4" t="n">
        <v>1169120.6</v>
      </c>
    </row>
    <row r="16">
      <c r="A16" s="4" t="n">
        <v>15</v>
      </c>
      <c r="B16" s="4" t="n">
        <v>832983.6</v>
      </c>
      <c r="C16" s="4" t="n">
        <v>878407.1</v>
      </c>
      <c r="D16" s="4" t="n">
        <v>1169120.6</v>
      </c>
    </row>
    <row r="17">
      <c r="A17" s="4" t="n">
        <v>16</v>
      </c>
      <c r="B17" s="4" t="n">
        <v>1169120.6</v>
      </c>
      <c r="C17" s="4" t="n">
        <v>1169120.6</v>
      </c>
      <c r="D17" s="4" t="n">
        <v>1169120.6</v>
      </c>
    </row>
    <row r="18">
      <c r="A18" s="4" t="n">
        <v>17</v>
      </c>
      <c r="B18" s="4" t="n">
        <v>1169120.6</v>
      </c>
      <c r="C18" s="4" t="n">
        <v>1169120.6</v>
      </c>
      <c r="D18" s="4" t="n">
        <v>1169120.6</v>
      </c>
    </row>
    <row r="19">
      <c r="A19" s="4" t="n">
        <v>18</v>
      </c>
      <c r="B19" s="4" t="n">
        <v>1169120.6</v>
      </c>
      <c r="C19" s="4" t="n">
        <v>930535.9</v>
      </c>
      <c r="D19" s="4" t="n">
        <v>867157.1</v>
      </c>
    </row>
    <row r="20">
      <c r="A20" s="4" t="n">
        <v>19</v>
      </c>
      <c r="B20" s="4" t="n">
        <v>1169120.6</v>
      </c>
      <c r="C20" s="4" t="n">
        <v>1169120.6</v>
      </c>
      <c r="D20" s="4" t="n">
        <v>1169120.6</v>
      </c>
    </row>
    <row r="21">
      <c r="A21" s="4" t="n">
        <v>20</v>
      </c>
      <c r="B21" s="4" t="n">
        <v>1169120.6</v>
      </c>
      <c r="C21" s="4" t="n">
        <v>1169120.6</v>
      </c>
      <c r="D21" s="4" t="n">
        <v>1169120.6</v>
      </c>
    </row>
    <row r="22">
      <c r="A22" s="4" t="n">
        <v>21</v>
      </c>
      <c r="B22" s="4" t="n">
        <v>1169120.6</v>
      </c>
      <c r="C22" s="4" t="n">
        <v>1169120.6</v>
      </c>
      <c r="D22" s="4" t="n">
        <v>1169120.6</v>
      </c>
    </row>
    <row r="23">
      <c r="A23" s="4" t="n">
        <v>22</v>
      </c>
      <c r="B23" s="4" t="n">
        <v>1169120.6</v>
      </c>
      <c r="C23" s="4" t="n">
        <v>1169120.6</v>
      </c>
      <c r="D23" s="4" t="n">
        <v>1169120.6</v>
      </c>
    </row>
    <row r="24">
      <c r="A24" s="4" t="n">
        <v>23</v>
      </c>
      <c r="B24" s="4" t="n">
        <v>1169120.6</v>
      </c>
      <c r="C24" s="4" t="n">
        <v>1169120.6</v>
      </c>
      <c r="D24" s="4" t="n">
        <v>1169120.6</v>
      </c>
    </row>
    <row r="25">
      <c r="A25" s="4" t="n">
        <v>24</v>
      </c>
      <c r="B25" s="4" t="n">
        <v>1169120.6</v>
      </c>
      <c r="C25" s="4" t="n">
        <v>1169120.6</v>
      </c>
      <c r="D25" s="4" t="n">
        <v>1157852</v>
      </c>
    </row>
    <row r="26">
      <c r="A26" s="4" t="n">
        <v>25</v>
      </c>
      <c r="B26" s="4" t="n">
        <v>1169120.6</v>
      </c>
      <c r="C26" s="4" t="n">
        <v>1169120.6</v>
      </c>
      <c r="D26" s="4" t="n">
        <v>1169120.6</v>
      </c>
    </row>
    <row r="27">
      <c r="A27" s="4" t="n">
        <v>26</v>
      </c>
      <c r="B27" s="4" t="n">
        <v>1169120.6</v>
      </c>
      <c r="C27" s="4" t="n">
        <v>1169120.6</v>
      </c>
      <c r="D27" s="4" t="n">
        <v>1169120.6</v>
      </c>
    </row>
    <row r="28">
      <c r="A28" s="4" t="n">
        <v>27</v>
      </c>
      <c r="B28" s="4" t="n">
        <v>1169120.6</v>
      </c>
      <c r="C28" s="4" t="n">
        <v>1169120.6</v>
      </c>
      <c r="D28" s="4" t="n">
        <v>1169120.6</v>
      </c>
    </row>
    <row r="29">
      <c r="A29" s="4" t="n">
        <v>28</v>
      </c>
      <c r="B29" s="4" t="n">
        <v>1169120.6</v>
      </c>
      <c r="C29" s="4" t="n">
        <v>1169120.6</v>
      </c>
      <c r="D29" s="4" t="n">
        <v>1169120.6</v>
      </c>
    </row>
    <row r="30">
      <c r="A30" s="4" t="n">
        <v>29</v>
      </c>
      <c r="B30" s="4" t="n">
        <v>1169120.6</v>
      </c>
      <c r="C30" s="4" t="n">
        <v>1169120.6</v>
      </c>
      <c r="D30" s="4" t="n">
        <v>1169120.6</v>
      </c>
    </row>
    <row r="31">
      <c r="A31" s="4" t="n">
        <v>30</v>
      </c>
      <c r="B31" s="4" t="n">
        <v>1167784.7</v>
      </c>
      <c r="C31" s="4" t="n">
        <v>1169120.6</v>
      </c>
      <c r="D31" s="4" t="n">
        <v>1169120.6</v>
      </c>
    </row>
    <row r="32">
      <c r="A32" s="4" t="n">
        <v>31</v>
      </c>
      <c r="B32" s="4" t="n">
        <v>1169120.6</v>
      </c>
      <c r="C32" s="4" t="n">
        <v>1169120.6</v>
      </c>
      <c r="D32" s="4" t="n">
        <v>1169120.6</v>
      </c>
    </row>
    <row r="33">
      <c r="A33" s="4" t="n">
        <v>32</v>
      </c>
      <c r="B33" s="4" t="n">
        <v>1169120.6</v>
      </c>
      <c r="C33" s="4" t="n">
        <v>1169120.6</v>
      </c>
      <c r="D33" s="4" t="n">
        <v>1169120.6</v>
      </c>
    </row>
    <row r="34">
      <c r="A34" s="4" t="n">
        <v>33</v>
      </c>
      <c r="B34" s="4" t="n">
        <v>1169120.6</v>
      </c>
      <c r="C34" s="4" t="n">
        <v>1169120.6</v>
      </c>
      <c r="D34" s="4" t="n">
        <v>1143750.4</v>
      </c>
    </row>
    <row r="35">
      <c r="A35" s="4" t="n">
        <v>34</v>
      </c>
      <c r="B35" s="4" t="n">
        <v>1169120.6</v>
      </c>
      <c r="C35" s="4" t="n">
        <v>1169120.6</v>
      </c>
      <c r="D35" s="4" t="n">
        <v>1169120.6</v>
      </c>
    </row>
    <row r="36">
      <c r="A36" s="4" t="n">
        <v>35</v>
      </c>
      <c r="B36" s="4" t="n">
        <v>1169120.6</v>
      </c>
      <c r="C36" s="4" t="n">
        <v>1169120.6</v>
      </c>
      <c r="D36" s="4" t="n">
        <v>1169120.6</v>
      </c>
    </row>
    <row r="37">
      <c r="A37" s="4" t="n">
        <v>36</v>
      </c>
      <c r="B37" s="4" t="n">
        <v>1057145.5</v>
      </c>
      <c r="C37" s="4" t="n">
        <v>1169120.6</v>
      </c>
      <c r="D37" s="4" t="n">
        <v>1169120.6</v>
      </c>
    </row>
    <row r="38">
      <c r="A38" s="4" t="n">
        <v>37</v>
      </c>
      <c r="B38" s="4" t="n">
        <v>1169120.6</v>
      </c>
      <c r="C38" s="4" t="n">
        <v>1169120.6</v>
      </c>
      <c r="D38" s="4" t="n">
        <v>1169120.6</v>
      </c>
    </row>
    <row r="39">
      <c r="A39" s="4" t="n">
        <v>38</v>
      </c>
      <c r="B39" s="4" t="n">
        <v>1169120.6</v>
      </c>
      <c r="C39" s="4" t="n">
        <v>1169120.6</v>
      </c>
      <c r="D39" s="4" t="n">
        <v>1169120.6</v>
      </c>
    </row>
    <row r="40">
      <c r="A40" s="4" t="n">
        <v>39</v>
      </c>
      <c r="B40" s="4" t="n">
        <v>1169120.6</v>
      </c>
      <c r="C40" s="4" t="n">
        <v>1169120.6</v>
      </c>
      <c r="D40" s="4" t="n">
        <v>1169120.6</v>
      </c>
    </row>
    <row r="41">
      <c r="A41" s="4" t="n">
        <v>40</v>
      </c>
      <c r="B41" s="4" t="n">
        <v>1169120.6</v>
      </c>
      <c r="C41" s="4" t="n">
        <v>1169120.6</v>
      </c>
      <c r="D41" s="4" t="n">
        <v>1169120.6</v>
      </c>
    </row>
    <row r="42">
      <c r="A42" s="4" t="n">
        <v>41</v>
      </c>
      <c r="B42" s="4" t="n">
        <v>1169120.6</v>
      </c>
      <c r="C42" s="4" t="n">
        <v>1169120.6</v>
      </c>
      <c r="D42" s="4" t="n">
        <v>1169120.6</v>
      </c>
    </row>
    <row r="43">
      <c r="A43" s="4" t="n">
        <v>42</v>
      </c>
      <c r="B43" s="4" t="n">
        <v>1154290.3</v>
      </c>
      <c r="C43" s="4" t="n">
        <v>1146056.4</v>
      </c>
      <c r="D43" s="4" t="n">
        <v>1169120.6</v>
      </c>
    </row>
    <row r="44">
      <c r="A44" s="4" t="n">
        <v>43</v>
      </c>
      <c r="B44" s="4" t="n">
        <v>1169120.6</v>
      </c>
      <c r="C44" s="4" t="n">
        <v>1169120.6</v>
      </c>
      <c r="D44" s="4" t="n">
        <v>1169120.6</v>
      </c>
    </row>
    <row r="45">
      <c r="A45" s="4" t="n">
        <v>44</v>
      </c>
      <c r="B45" s="4" t="n">
        <v>1160533.7</v>
      </c>
      <c r="C45" s="4" t="n">
        <v>1169120.6</v>
      </c>
      <c r="D45" s="4" t="n">
        <v>1169120.6</v>
      </c>
    </row>
    <row r="46">
      <c r="A46" s="4" t="n">
        <v>45</v>
      </c>
      <c r="B46" s="4" t="n">
        <v>1169120.6</v>
      </c>
      <c r="C46" s="4" t="n">
        <v>1169120.6</v>
      </c>
      <c r="D46" s="4" t="n">
        <v>1169120.6</v>
      </c>
    </row>
    <row r="47">
      <c r="A47" s="4" t="n">
        <v>46</v>
      </c>
      <c r="B47" s="4" t="n">
        <v>1169120.6</v>
      </c>
      <c r="C47" s="4" t="n">
        <v>1169120.6</v>
      </c>
      <c r="D47" s="4" t="n">
        <v>1169120.6</v>
      </c>
    </row>
    <row r="48">
      <c r="A48" s="4" t="n">
        <v>47</v>
      </c>
      <c r="B48" s="4" t="n">
        <v>1169120.6</v>
      </c>
      <c r="C48" s="4" t="n">
        <v>1169120.6</v>
      </c>
      <c r="D48" s="4" t="n">
        <v>1169120.6</v>
      </c>
    </row>
    <row r="49">
      <c r="A49" s="4" t="n">
        <v>48</v>
      </c>
      <c r="B49" s="4" t="n">
        <v>931650.7</v>
      </c>
      <c r="C49" s="4" t="n">
        <v>1169120.6</v>
      </c>
      <c r="D49" s="4" t="n">
        <v>1169120.6</v>
      </c>
    </row>
    <row r="50">
      <c r="A50" s="4" t="n">
        <v>49</v>
      </c>
      <c r="B50" s="4" t="n">
        <v>1169120.6</v>
      </c>
      <c r="C50" s="4" t="n">
        <v>1169120.6</v>
      </c>
      <c r="D50" s="4" t="n">
        <v>1169120.6</v>
      </c>
    </row>
    <row r="51">
      <c r="A51" s="4" t="n">
        <v>50</v>
      </c>
      <c r="B51" s="4" t="n">
        <v>1169120.6</v>
      </c>
      <c r="C51" s="4" t="n">
        <v>1169120.6</v>
      </c>
      <c r="D51" s="4" t="n">
        <v>1169120.6</v>
      </c>
    </row>
    <row r="52">
      <c r="A52" s="4" t="n">
        <v>51</v>
      </c>
      <c r="B52" s="4" t="n">
        <v>1157922.9</v>
      </c>
      <c r="C52" s="4" t="n">
        <v>1169120.6</v>
      </c>
      <c r="D52" s="4" t="n">
        <v>1169120.6</v>
      </c>
    </row>
    <row r="53">
      <c r="A53" s="4" t="n">
        <v>52</v>
      </c>
      <c r="B53" s="4" t="n">
        <v>1169120.6</v>
      </c>
      <c r="C53" s="4" t="n">
        <v>1169120.6</v>
      </c>
      <c r="D53" s="4" t="n">
        <v>1169120.6</v>
      </c>
    </row>
    <row r="54">
      <c r="A54" s="4" t="n">
        <v>53</v>
      </c>
      <c r="B54" s="4" t="n">
        <v>1169120.6</v>
      </c>
      <c r="C54" s="4" t="n">
        <v>1169120.6</v>
      </c>
      <c r="D54" s="4" t="n">
        <v>1169120.6</v>
      </c>
    </row>
    <row r="55">
      <c r="A55" s="4" t="n">
        <v>54</v>
      </c>
      <c r="B55" s="4" t="n">
        <v>1169120.6</v>
      </c>
      <c r="C55" s="4" t="n">
        <v>1169120.6</v>
      </c>
      <c r="D55" s="4" t="n">
        <v>1169120.6</v>
      </c>
    </row>
    <row r="56">
      <c r="A56" s="4" t="n">
        <v>55</v>
      </c>
      <c r="B56" s="4" t="n">
        <v>1169120.6</v>
      </c>
      <c r="C56" s="4" t="n">
        <v>1169120.6</v>
      </c>
      <c r="D56" s="4" t="n">
        <v>1169120.6</v>
      </c>
    </row>
    <row r="57">
      <c r="A57" s="4" t="n">
        <v>56</v>
      </c>
      <c r="B57" s="4" t="n">
        <v>1169120.6</v>
      </c>
      <c r="C57" s="4" t="n">
        <v>1169120.6</v>
      </c>
      <c r="D57" s="4" t="n">
        <v>1169120.6</v>
      </c>
    </row>
    <row r="58">
      <c r="A58" s="4" t="n">
        <v>57</v>
      </c>
      <c r="B58" s="4" t="n">
        <v>1169120.6</v>
      </c>
      <c r="C58" s="4" t="n">
        <v>1169120.6</v>
      </c>
      <c r="D58" s="4" t="n">
        <v>1169120.6</v>
      </c>
    </row>
    <row r="59">
      <c r="A59" s="4" t="n">
        <v>58</v>
      </c>
      <c r="B59" s="4" t="n">
        <v>1169120.6</v>
      </c>
      <c r="C59" s="4" t="n">
        <v>1169120.6</v>
      </c>
      <c r="D59" s="4" t="n">
        <v>1169120.6</v>
      </c>
    </row>
    <row r="60">
      <c r="A60" s="4" t="n">
        <v>59</v>
      </c>
      <c r="B60" s="4" t="n">
        <v>1169120.6</v>
      </c>
      <c r="C60" s="4" t="n">
        <v>1169120.6</v>
      </c>
      <c r="D60" s="4" t="n">
        <v>1169120.6</v>
      </c>
    </row>
    <row r="61">
      <c r="A61" s="4" t="n">
        <v>60</v>
      </c>
      <c r="B61" s="4" t="n">
        <v>1161148.1</v>
      </c>
      <c r="C61" s="4" t="n">
        <v>1169120.6</v>
      </c>
      <c r="D61" s="4" t="n">
        <v>1057524.6</v>
      </c>
    </row>
    <row r="62">
      <c r="A62" s="4" t="n">
        <v>61</v>
      </c>
      <c r="B62" s="4" t="n">
        <v>1169120.6</v>
      </c>
      <c r="C62" s="4" t="n">
        <v>1169120.6</v>
      </c>
      <c r="D62" s="4" t="n">
        <v>1169120.6</v>
      </c>
    </row>
    <row r="63">
      <c r="A63" s="4" t="n">
        <v>62</v>
      </c>
      <c r="B63" s="4" t="n">
        <v>1169120.6</v>
      </c>
      <c r="C63" s="4" t="n">
        <v>1169120.6</v>
      </c>
      <c r="D63" s="4" t="n">
        <v>1169120.6</v>
      </c>
    </row>
    <row r="64">
      <c r="A64" s="4" t="n">
        <v>63</v>
      </c>
      <c r="B64" s="4" t="n">
        <v>1156249.4</v>
      </c>
      <c r="C64" s="4" t="n">
        <v>1154574.5</v>
      </c>
      <c r="D64" s="4" t="n">
        <v>1151037.1</v>
      </c>
    </row>
  </sheetData>
  <mergeCells count="1">
    <mergeCell ref="I9:N22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J35" sqref="J35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导管密度1</t>
        </is>
      </c>
      <c r="C1" s="4" t="inlineStr">
        <is>
          <t>导管密度2</t>
        </is>
      </c>
      <c r="D1" s="4" t="inlineStr">
        <is>
          <t>导管密度3</t>
        </is>
      </c>
      <c r="E1" s="4" t="inlineStr">
        <is>
          <t>平均</t>
        </is>
      </c>
    </row>
    <row r="2">
      <c r="A2" s="4" t="n">
        <v>1</v>
      </c>
      <c r="B2" s="4">
        <f>IF(OR('局部木质部面积'!B2="",'局部木质部面积'!B2=0),"",('导管总数量'!B2*1000000)/'局部木质部面积'!B2)</f>
        <v/>
      </c>
      <c r="C2" s="4">
        <f>IF(OR('局部木质部面积'!C2="",'局部木质部面积'!C2=0),"",('导管总数量'!C2*1000000)/'局部木质部面积'!C2)</f>
        <v/>
      </c>
      <c r="D2" s="4">
        <f>IF(OR('局部木质部面积'!D2="",'局部木质部面积'!D2=0),"",('导管总数量'!D2*1000000)/'局部木质部面积'!D2)</f>
        <v/>
      </c>
      <c r="E2" s="4">
        <f>IF(COUNT(B2:D2)=0,"",AVERAGE(B2:D2))</f>
        <v/>
      </c>
    </row>
    <row r="3">
      <c r="A3" s="4" t="n">
        <v>2</v>
      </c>
      <c r="B3" s="4">
        <f>IF(OR('局部木质部面积'!B3="",'局部木质部面积'!B3=0),"",('导管总数量'!B3*1000000)/'局部木质部面积'!B3)</f>
        <v/>
      </c>
      <c r="C3" s="4">
        <f>IF(OR('局部木质部面积'!C3="",'局部木质部面积'!C3=0),"",('导管总数量'!C3*1000000)/'局部木质部面积'!C3)</f>
        <v/>
      </c>
      <c r="D3" s="4">
        <f>IF(OR('局部木质部面积'!D3="",'局部木质部面积'!D3=0),"",('导管总数量'!D3*1000000)/'局部木质部面积'!D3)</f>
        <v/>
      </c>
      <c r="E3" s="4">
        <f>IF(COUNT(B3:D3)=0,"",AVERAGE(B3:D3))</f>
        <v/>
      </c>
    </row>
    <row r="4">
      <c r="A4" s="4" t="n">
        <v>3</v>
      </c>
      <c r="B4" s="4">
        <f>IF(OR('局部木质部面积'!B4="",'局部木质部面积'!B4=0),"",('导管总数量'!B4*1000000)/'局部木质部面积'!B4)</f>
        <v/>
      </c>
      <c r="C4" s="4">
        <f>IF(OR('局部木质部面积'!C4="",'局部木质部面积'!C4=0),"",('导管总数量'!C4*1000000)/'局部木质部面积'!C4)</f>
        <v/>
      </c>
      <c r="D4" s="4">
        <f>IF(OR('局部木质部面积'!D4="",'局部木质部面积'!D4=0),"",('导管总数量'!D4*1000000)/'局部木质部面积'!D4)</f>
        <v/>
      </c>
      <c r="E4" s="4">
        <f>IF(COUNT(B4:D4)=0,"",AVERAGE(B4:D4))</f>
        <v/>
      </c>
    </row>
    <row r="5">
      <c r="A5" s="4" t="n">
        <v>4</v>
      </c>
      <c r="B5" s="4">
        <f>IF(OR('局部木质部面积'!B5="",'局部木质部面积'!B5=0),"",('导管总数量'!B5*1000000)/'局部木质部面积'!B5)</f>
        <v/>
      </c>
      <c r="C5" s="4">
        <f>IF(OR('局部木质部面积'!C5="",'局部木质部面积'!C5=0),"",('导管总数量'!C5*1000000)/'局部木质部面积'!C5)</f>
        <v/>
      </c>
      <c r="D5" s="4">
        <f>IF(OR('局部木质部面积'!D5="",'局部木质部面积'!D5=0),"",('导管总数量'!D5*1000000)/'局部木质部面积'!D5)</f>
        <v/>
      </c>
      <c r="E5" s="4">
        <f>IF(COUNT(B5:D5)=0,"",AVERAGE(B5:D5))</f>
        <v/>
      </c>
    </row>
    <row r="6">
      <c r="A6" s="4" t="n">
        <v>5</v>
      </c>
      <c r="B6" s="4">
        <f>IF(OR('局部木质部面积'!B6="",'局部木质部面积'!B6=0),"",('导管总数量'!B6*1000000)/'局部木质部面积'!B6)</f>
        <v/>
      </c>
      <c r="C6" s="4">
        <f>IF(OR('局部木质部面积'!C6="",'局部木质部面积'!C6=0),"",('导管总数量'!C6*1000000)/'局部木质部面积'!C6)</f>
        <v/>
      </c>
      <c r="D6" s="4">
        <f>IF(OR('局部木质部面积'!D6="",'局部木质部面积'!D6=0),"",('导管总数量'!D6*1000000)/'局部木质部面积'!D6)</f>
        <v/>
      </c>
      <c r="E6" s="4">
        <f>IF(COUNT(B6:D6)=0,"",AVERAGE(B6:D6))</f>
        <v/>
      </c>
    </row>
    <row r="7">
      <c r="A7" s="4" t="n">
        <v>6</v>
      </c>
      <c r="B7" s="4">
        <f>IF(OR('局部木质部面积'!B7="",'局部木质部面积'!B7=0),"",('导管总数量'!B7*1000000)/'局部木质部面积'!B7)</f>
        <v/>
      </c>
      <c r="C7" s="4">
        <f>IF(OR('局部木质部面积'!C7="",'局部木质部面积'!C7=0),"",('导管总数量'!C7*1000000)/'局部木质部面积'!C7)</f>
        <v/>
      </c>
      <c r="D7" s="4">
        <f>IF(OR('局部木质部面积'!D7="",'局部木质部面积'!D7=0),"",('导管总数量'!D7*1000000)/'局部木质部面积'!D7)</f>
        <v/>
      </c>
      <c r="E7" s="4">
        <f>IF(COUNT(B7:D7)=0,"",AVERAGE(B7:D7))</f>
        <v/>
      </c>
      <c r="J7" s="8" t="inlineStr">
        <is>
          <t>导管密度=导管总数量/局部木质部面积</t>
        </is>
      </c>
    </row>
    <row r="8">
      <c r="A8" s="4" t="n">
        <v>7</v>
      </c>
      <c r="B8" s="4">
        <f>IF(OR('局部木质部面积'!B8="",'局部木质部面积'!B8=0),"",('导管总数量'!B8*1000000)/'局部木质部面积'!B8)</f>
        <v/>
      </c>
      <c r="C8" s="4">
        <f>IF(OR('局部木质部面积'!C8="",'局部木质部面积'!C8=0),"",('导管总数量'!C8*1000000)/'局部木质部面积'!C8)</f>
        <v/>
      </c>
      <c r="D8" s="4">
        <f>IF(OR('局部木质部面积'!D8="",'局部木质部面积'!D8=0),"",('导管总数量'!D8*1000000)/'局部木质部面积'!D8)</f>
        <v/>
      </c>
      <c r="E8" s="4">
        <f>IF(COUNT(B8:D8)=0,"",AVERAGE(B8:D8))</f>
        <v/>
      </c>
    </row>
    <row r="9">
      <c r="A9" s="4" t="n">
        <v>8</v>
      </c>
      <c r="B9" s="4">
        <f>IF(OR('局部木质部面积'!B9="",'局部木质部面积'!B9=0),"",('导管总数量'!B9*1000000)/'局部木质部面积'!B9)</f>
        <v/>
      </c>
      <c r="C9" s="4">
        <f>IF(OR('局部木质部面积'!C9="",'局部木质部面积'!C9=0),"",('导管总数量'!C9*1000000)/'局部木质部面积'!C9)</f>
        <v/>
      </c>
      <c r="D9" s="4">
        <f>IF(OR('局部木质部面积'!D9="",'局部木质部面积'!D9=0),"",('导管总数量'!D9*1000000)/'局部木质部面积'!D9)</f>
        <v/>
      </c>
      <c r="E9" s="4">
        <f>IF(COUNT(B9:D9)=0,"",AVERAGE(B9:D9))</f>
        <v/>
      </c>
    </row>
    <row r="10">
      <c r="A10" s="4" t="n">
        <v>9</v>
      </c>
      <c r="B10" s="4">
        <f>IF(OR('局部木质部面积'!B10="",'局部木质部面积'!B10=0),"",('导管总数量'!B10*1000000)/'局部木质部面积'!B10)</f>
        <v/>
      </c>
      <c r="C10" s="4">
        <f>IF(OR('局部木质部面积'!C10="",'局部木质部面积'!C10=0),"",('导管总数量'!C10*1000000)/'局部木质部面积'!C10)</f>
        <v/>
      </c>
      <c r="D10" s="4">
        <f>IF(OR('局部木质部面积'!D10="",'局部木质部面积'!D10=0),"",('导管总数量'!D10*1000000)/'局部木质部面积'!D10)</f>
        <v/>
      </c>
      <c r="E10" s="4">
        <f>IF(COUNT(B10:D10)=0,"",AVERAGE(B10:D10))</f>
        <v/>
      </c>
    </row>
    <row r="11">
      <c r="A11" s="4" t="n">
        <v>10</v>
      </c>
      <c r="B11" s="4">
        <f>IF(OR('局部木质部面积'!B11="",'局部木质部面积'!B11=0),"",('导管总数量'!B11*1000000)/'局部木质部面积'!B11)</f>
        <v/>
      </c>
      <c r="C11" s="4">
        <f>IF(OR('局部木质部面积'!C11="",'局部木质部面积'!C11=0),"",('导管总数量'!C11*1000000)/'局部木质部面积'!C11)</f>
        <v/>
      </c>
      <c r="D11" s="4">
        <f>IF(OR('局部木质部面积'!D11="",'局部木质部面积'!D11=0),"",('导管总数量'!D11*1000000)/'局部木质部面积'!D11)</f>
        <v/>
      </c>
      <c r="E11" s="4">
        <f>IF(COUNT(B11:D11)=0,"",AVERAGE(B11:D11))</f>
        <v/>
      </c>
    </row>
    <row r="12">
      <c r="A12" s="4" t="n">
        <v>11</v>
      </c>
      <c r="B12" s="4">
        <f>IF(OR('局部木质部面积'!B12="",'局部木质部面积'!B12=0),"",('导管总数量'!B12*1000000)/'局部木质部面积'!B12)</f>
        <v/>
      </c>
      <c r="C12" s="4">
        <f>IF(OR('局部木质部面积'!C12="",'局部木质部面积'!C12=0),"",('导管总数量'!C12*1000000)/'局部木质部面积'!C12)</f>
        <v/>
      </c>
      <c r="D12" s="4">
        <f>IF(OR('局部木质部面积'!D12="",'局部木质部面积'!D12=0),"",('导管总数量'!D12*1000000)/'局部木质部面积'!D12)</f>
        <v/>
      </c>
      <c r="E12" s="4">
        <f>IF(COUNT(B12:D12)=0,"",AVERAGE(B12:D12))</f>
        <v/>
      </c>
    </row>
    <row r="13">
      <c r="A13" s="4" t="n">
        <v>12</v>
      </c>
      <c r="B13" s="4">
        <f>IF(OR('局部木质部面积'!B13="",'局部木质部面积'!B13=0),"",('导管总数量'!B13*1000000)/'局部木质部面积'!B13)</f>
        <v/>
      </c>
      <c r="C13" s="4">
        <f>IF(OR('局部木质部面积'!C13="",'局部木质部面积'!C13=0),"",('导管总数量'!C13*1000000)/'局部木质部面积'!C13)</f>
        <v/>
      </c>
      <c r="D13" s="4">
        <f>IF(OR('局部木质部面积'!D13="",'局部木质部面积'!D13=0),"",('导管总数量'!D13*1000000)/'局部木质部面积'!D13)</f>
        <v/>
      </c>
      <c r="E13" s="4">
        <f>IF(COUNT(B13:D13)=0,"",AVERAGE(B13:D13))</f>
        <v/>
      </c>
    </row>
    <row r="14">
      <c r="A14" s="4" t="n">
        <v>13</v>
      </c>
      <c r="B14" s="4">
        <f>IF(OR('局部木质部面积'!B14="",'局部木质部面积'!B14=0),"",('导管总数量'!B14*1000000)/'局部木质部面积'!B14)</f>
        <v/>
      </c>
      <c r="C14" s="4">
        <f>IF(OR('局部木质部面积'!C14="",'局部木质部面积'!C14=0),"",('导管总数量'!C14*1000000)/'局部木质部面积'!C14)</f>
        <v/>
      </c>
      <c r="D14" s="4">
        <f>IF(OR('局部木质部面积'!D14="",'局部木质部面积'!D14=0),"",('导管总数量'!D14*1000000)/'局部木质部面积'!D14)</f>
        <v/>
      </c>
      <c r="E14" s="4">
        <f>IF(COUNT(B14:D14)=0,"",AVERAGE(B14:D14))</f>
        <v/>
      </c>
    </row>
    <row r="15">
      <c r="A15" s="4" t="n">
        <v>14</v>
      </c>
      <c r="B15" s="4">
        <f>IF(OR('局部木质部面积'!B15="",'局部木质部面积'!B15=0),"",('导管总数量'!B15*1000000)/'局部木质部面积'!B15)</f>
        <v/>
      </c>
      <c r="C15" s="4">
        <f>IF(OR('局部木质部面积'!C15="",'局部木质部面积'!C15=0),"",('导管总数量'!C15*1000000)/'局部木质部面积'!C15)</f>
        <v/>
      </c>
      <c r="D15" s="4">
        <f>IF(OR('局部木质部面积'!D15="",'局部木质部面积'!D15=0),"",('导管总数量'!D15*1000000)/'局部木质部面积'!D15)</f>
        <v/>
      </c>
      <c r="E15" s="4">
        <f>IF(COUNT(B15:D15)=0,"",AVERAGE(B15:D15))</f>
        <v/>
      </c>
    </row>
    <row r="16">
      <c r="A16" s="4" t="n">
        <v>15</v>
      </c>
      <c r="B16" s="4">
        <f>IF(OR('局部木质部面积'!B16="",'局部木质部面积'!B16=0),"",('导管总数量'!B16*1000000)/'局部木质部面积'!B16)</f>
        <v/>
      </c>
      <c r="C16" s="4">
        <f>IF(OR('局部木质部面积'!C16="",'局部木质部面积'!C16=0),"",('导管总数量'!C16*1000000)/'局部木质部面积'!C16)</f>
        <v/>
      </c>
      <c r="D16" s="4">
        <f>IF(OR('局部木质部面积'!D16="",'局部木质部面积'!D16=0),"",('导管总数量'!D16*1000000)/'局部木质部面积'!D16)</f>
        <v/>
      </c>
      <c r="E16" s="4">
        <f>IF(COUNT(B16:D16)=0,"",AVERAGE(B16:D16))</f>
        <v/>
      </c>
    </row>
    <row r="17">
      <c r="A17" s="4" t="n">
        <v>16</v>
      </c>
      <c r="B17" s="4">
        <f>IF(OR('局部木质部面积'!B17="",'局部木质部面积'!B17=0),"",('导管总数量'!B17*1000000)/'局部木质部面积'!B17)</f>
        <v/>
      </c>
      <c r="C17" s="4">
        <f>IF(OR('局部木质部面积'!C17="",'局部木质部面积'!C17=0),"",('导管总数量'!C17*1000000)/'局部木质部面积'!C17)</f>
        <v/>
      </c>
      <c r="D17" s="4">
        <f>IF(OR('局部木质部面积'!D17="",'局部木质部面积'!D17=0),"",('导管总数量'!D17*1000000)/'局部木质部面积'!D17)</f>
        <v/>
      </c>
      <c r="E17" s="4">
        <f>IF(COUNT(B17:D17)=0,"",AVERAGE(B17:D17))</f>
        <v/>
      </c>
    </row>
    <row r="18">
      <c r="A18" s="4" t="n">
        <v>17</v>
      </c>
      <c r="B18" s="4">
        <f>IF(OR('局部木质部面积'!B18="",'局部木质部面积'!B18=0),"",('导管总数量'!B18*1000000)/'局部木质部面积'!B18)</f>
        <v/>
      </c>
      <c r="C18" s="4">
        <f>IF(OR('局部木质部面积'!C18="",'局部木质部面积'!C18=0),"",('导管总数量'!C18*1000000)/'局部木质部面积'!C18)</f>
        <v/>
      </c>
      <c r="D18" s="4">
        <f>IF(OR('局部木质部面积'!D18="",'局部木质部面积'!D18=0),"",('导管总数量'!D18*1000000)/'局部木质部面积'!D18)</f>
        <v/>
      </c>
      <c r="E18" s="4">
        <f>IF(COUNT(B18:D18)=0,"",AVERAGE(B18:D18))</f>
        <v/>
      </c>
    </row>
    <row r="19">
      <c r="A19" s="4" t="n">
        <v>18</v>
      </c>
      <c r="B19" s="4">
        <f>IF(OR('局部木质部面积'!B19="",'局部木质部面积'!B19=0),"",('导管总数量'!B19*1000000)/'局部木质部面积'!B19)</f>
        <v/>
      </c>
      <c r="C19" s="4">
        <f>IF(OR('局部木质部面积'!C19="",'局部木质部面积'!C19=0),"",('导管总数量'!C19*1000000)/'局部木质部面积'!C19)</f>
        <v/>
      </c>
      <c r="D19" s="4">
        <f>IF(OR('局部木质部面积'!D19="",'局部木质部面积'!D19=0),"",('导管总数量'!D19*1000000)/'局部木质部面积'!D19)</f>
        <v/>
      </c>
      <c r="E19" s="4">
        <f>IF(COUNT(B19:D19)=0,"",AVERAGE(B19:D19))</f>
        <v/>
      </c>
      <c r="J19" s="6" t="inlineStr">
        <is>
          <t>单位 vessels·mm⁻²</t>
        </is>
      </c>
    </row>
    <row r="20">
      <c r="A20" s="4" t="n">
        <v>19</v>
      </c>
      <c r="B20" s="4">
        <f>IF(OR('局部木质部面积'!B20="",'局部木质部面积'!B20=0),"",('导管总数量'!B20*1000000)/'局部木质部面积'!B20)</f>
        <v/>
      </c>
      <c r="C20" s="4">
        <f>IF(OR('局部木质部面积'!C20="",'局部木质部面积'!C20=0),"",('导管总数量'!C20*1000000)/'局部木质部面积'!C20)</f>
        <v/>
      </c>
      <c r="D20" s="4">
        <f>IF(OR('局部木质部面积'!D20="",'局部木质部面积'!D20=0),"",('导管总数量'!D20*1000000)/'局部木质部面积'!D20)</f>
        <v/>
      </c>
      <c r="E20" s="4">
        <f>IF(COUNT(B20:D20)=0,"",AVERAGE(B20:D20))</f>
        <v/>
      </c>
    </row>
    <row r="21">
      <c r="A21" s="4" t="n">
        <v>20</v>
      </c>
      <c r="B21" s="4">
        <f>IF(OR('局部木质部面积'!B21="",'局部木质部面积'!B21=0),"",('导管总数量'!B21*1000000)/'局部木质部面积'!B21)</f>
        <v/>
      </c>
      <c r="C21" s="4">
        <f>IF(OR('局部木质部面积'!C21="",'局部木质部面积'!C21=0),"",('导管总数量'!C21*1000000)/'局部木质部面积'!C21)</f>
        <v/>
      </c>
      <c r="D21" s="4">
        <f>IF(OR('局部木质部面积'!D21="",'局部木质部面积'!D21=0),"",('导管总数量'!D21*1000000)/'局部木质部面积'!D21)</f>
        <v/>
      </c>
      <c r="E21" s="4">
        <f>IF(COUNT(B21:D21)=0,"",AVERAGE(B21:D21))</f>
        <v/>
      </c>
    </row>
    <row r="22">
      <c r="A22" s="4" t="n">
        <v>21</v>
      </c>
      <c r="B22" s="4">
        <f>IF(OR('局部木质部面积'!B22="",'局部木质部面积'!B22=0),"",('导管总数量'!B22*1000000)/'局部木质部面积'!B22)</f>
        <v/>
      </c>
      <c r="C22" s="4">
        <f>IF(OR('局部木质部面积'!C22="",'局部木质部面积'!C22=0),"",('导管总数量'!C22*1000000)/'局部木质部面积'!C22)</f>
        <v/>
      </c>
      <c r="D22" s="4">
        <f>IF(OR('局部木质部面积'!D22="",'局部木质部面积'!D22=0),"",('导管总数量'!D22*1000000)/'局部木质部面积'!D22)</f>
        <v/>
      </c>
      <c r="E22" s="4">
        <f>IF(COUNT(B22:D22)=0,"",AVERAGE(B22:D22))</f>
        <v/>
      </c>
    </row>
    <row r="23">
      <c r="A23" s="4" t="n">
        <v>22</v>
      </c>
      <c r="B23" s="4">
        <f>IF(OR('局部木质部面积'!B23="",'局部木质部面积'!B23=0),"",('导管总数量'!B23*1000000)/'局部木质部面积'!B23)</f>
        <v/>
      </c>
      <c r="C23" s="4">
        <f>IF(OR('局部木质部面积'!C23="",'局部木质部面积'!C23=0),"",('导管总数量'!C23*1000000)/'局部木质部面积'!C23)</f>
        <v/>
      </c>
      <c r="D23" s="4">
        <f>IF(OR('局部木质部面积'!D23="",'局部木质部面积'!D23=0),"",('导管总数量'!D23*1000000)/'局部木质部面积'!D23)</f>
        <v/>
      </c>
      <c r="E23" s="4">
        <f>IF(COUNT(B23:D23)=0,"",AVERAGE(B23:D23))</f>
        <v/>
      </c>
      <c r="J23" s="9" t="inlineStr">
        <is>
          <t>需要换算一下单位，因为前面的“局部木质部面积”单位是μm2，换算成mm2，再算</t>
        </is>
      </c>
    </row>
    <row r="24">
      <c r="A24" s="4" t="n">
        <v>23</v>
      </c>
      <c r="B24" s="4">
        <f>IF(OR('局部木质部面积'!B24="",'局部木质部面积'!B24=0),"",('导管总数量'!B24*1000000)/'局部木质部面积'!B24)</f>
        <v/>
      </c>
      <c r="C24" s="4">
        <f>IF(OR('局部木质部面积'!C24="",'局部木质部面积'!C24=0),"",('导管总数量'!C24*1000000)/'局部木质部面积'!C24)</f>
        <v/>
      </c>
      <c r="D24" s="4">
        <f>IF(OR('局部木质部面积'!D24="",'局部木质部面积'!D24=0),"",('导管总数量'!D24*1000000)/'局部木质部面积'!D24)</f>
        <v/>
      </c>
      <c r="E24" s="4">
        <f>IF(COUNT(B24:D24)=0,"",AVERAGE(B24:D24))</f>
        <v/>
      </c>
    </row>
    <row r="25">
      <c r="A25" s="4" t="n">
        <v>24</v>
      </c>
      <c r="B25" s="4">
        <f>IF(OR('局部木质部面积'!B25="",'局部木质部面积'!B25=0),"",('导管总数量'!B25*1000000)/'局部木质部面积'!B25)</f>
        <v/>
      </c>
      <c r="C25" s="4">
        <f>IF(OR('局部木质部面积'!C25="",'局部木质部面积'!C25=0),"",('导管总数量'!C25*1000000)/'局部木质部面积'!C25)</f>
        <v/>
      </c>
      <c r="D25" s="4">
        <f>IF(OR('局部木质部面积'!D25="",'局部木质部面积'!D25=0),"",('导管总数量'!D25*1000000)/'局部木质部面积'!D25)</f>
        <v/>
      </c>
      <c r="E25" s="4">
        <f>IF(COUNT(B25:D25)=0,"",AVERAGE(B25:D25))</f>
        <v/>
      </c>
    </row>
    <row r="26">
      <c r="A26" s="4" t="n">
        <v>25</v>
      </c>
      <c r="B26" s="4">
        <f>IF(OR('局部木质部面积'!B26="",'局部木质部面积'!B26=0),"",('导管总数量'!B26*1000000)/'局部木质部面积'!B26)</f>
        <v/>
      </c>
      <c r="C26" s="4">
        <f>IF(OR('局部木质部面积'!C26="",'局部木质部面积'!C26=0),"",('导管总数量'!C26*1000000)/'局部木质部面积'!C26)</f>
        <v/>
      </c>
      <c r="D26" s="4">
        <f>IF(OR('局部木质部面积'!D26="",'局部木质部面积'!D26=0),"",('导管总数量'!D26*1000000)/'局部木质部面积'!D26)</f>
        <v/>
      </c>
      <c r="E26" s="4">
        <f>IF(COUNT(B26:D26)=0,"",AVERAGE(B26:D26))</f>
        <v/>
      </c>
    </row>
    <row r="27">
      <c r="A27" s="4" t="n">
        <v>26</v>
      </c>
      <c r="B27" s="4">
        <f>IF(OR('局部木质部面积'!B27="",'局部木质部面积'!B27=0),"",('导管总数量'!B27*1000000)/'局部木质部面积'!B27)</f>
        <v/>
      </c>
      <c r="C27" s="4">
        <f>IF(OR('局部木质部面积'!C27="",'局部木质部面积'!C27=0),"",('导管总数量'!C27*1000000)/'局部木质部面积'!C27)</f>
        <v/>
      </c>
      <c r="D27" s="4">
        <f>IF(OR('局部木质部面积'!D27="",'局部木质部面积'!D27=0),"",('导管总数量'!D27*1000000)/'局部木质部面积'!D27)</f>
        <v/>
      </c>
      <c r="E27" s="4">
        <f>IF(COUNT(B27:D27)=0,"",AVERAGE(B27:D27))</f>
        <v/>
      </c>
    </row>
    <row r="28">
      <c r="A28" s="4" t="n">
        <v>27</v>
      </c>
      <c r="B28" s="4">
        <f>IF(OR('局部木质部面积'!B28="",'局部木质部面积'!B28=0),"",('导管总数量'!B28*1000000)/'局部木质部面积'!B28)</f>
        <v/>
      </c>
      <c r="C28" s="4">
        <f>IF(OR('局部木质部面积'!C28="",'局部木质部面积'!C28=0),"",('导管总数量'!C28*1000000)/'局部木质部面积'!C28)</f>
        <v/>
      </c>
      <c r="D28" s="4">
        <f>IF(OR('局部木质部面积'!D28="",'局部木质部面积'!D28=0),"",('导管总数量'!D28*1000000)/'局部木质部面积'!D28)</f>
        <v/>
      </c>
      <c r="E28" s="4">
        <f>IF(COUNT(B28:D28)=0,"",AVERAGE(B28:D28))</f>
        <v/>
      </c>
    </row>
    <row r="29">
      <c r="A29" s="4" t="n">
        <v>28</v>
      </c>
      <c r="B29" s="4">
        <f>IF(OR('局部木质部面积'!B29="",'局部木质部面积'!B29=0),"",('导管总数量'!B29*1000000)/'局部木质部面积'!B29)</f>
        <v/>
      </c>
      <c r="C29" s="4">
        <f>IF(OR('局部木质部面积'!C29="",'局部木质部面积'!C29=0),"",('导管总数量'!C29*1000000)/'局部木质部面积'!C29)</f>
        <v/>
      </c>
      <c r="D29" s="4">
        <f>IF(OR('局部木质部面积'!D29="",'局部木质部面积'!D29=0),"",('导管总数量'!D29*1000000)/'局部木质部面积'!D29)</f>
        <v/>
      </c>
      <c r="E29" s="4">
        <f>IF(COUNT(B29:D29)=0,"",AVERAGE(B29:D29))</f>
        <v/>
      </c>
    </row>
    <row r="30">
      <c r="A30" s="4" t="n">
        <v>29</v>
      </c>
      <c r="B30" s="4">
        <f>IF(OR('局部木质部面积'!B30="",'局部木质部面积'!B30=0),"",('导管总数量'!B30*1000000)/'局部木质部面积'!B30)</f>
        <v/>
      </c>
      <c r="C30" s="4">
        <f>IF(OR('局部木质部面积'!C30="",'局部木质部面积'!C30=0),"",('导管总数量'!C30*1000000)/'局部木质部面积'!C30)</f>
        <v/>
      </c>
      <c r="D30" s="4">
        <f>IF(OR('局部木质部面积'!D30="",'局部木质部面积'!D30=0),"",('导管总数量'!D30*1000000)/'局部木质部面积'!D30)</f>
        <v/>
      </c>
      <c r="E30" s="4">
        <f>IF(COUNT(B30:D30)=0,"",AVERAGE(B30:D30))</f>
        <v/>
      </c>
    </row>
    <row r="31">
      <c r="A31" s="4" t="n">
        <v>30</v>
      </c>
      <c r="B31" s="4">
        <f>IF(OR('局部木质部面积'!B31="",'局部木质部面积'!B31=0),"",('导管总数量'!B31*1000000)/'局部木质部面积'!B31)</f>
        <v/>
      </c>
      <c r="C31" s="4">
        <f>IF(OR('局部木质部面积'!C31="",'局部木质部面积'!C31=0),"",('导管总数量'!C31*1000000)/'局部木质部面积'!C31)</f>
        <v/>
      </c>
      <c r="D31" s="4">
        <f>IF(OR('局部木质部面积'!D31="",'局部木质部面积'!D31=0),"",('导管总数量'!D31*1000000)/'局部木质部面积'!D31)</f>
        <v/>
      </c>
      <c r="E31" s="4">
        <f>IF(COUNT(B31:D31)=0,"",AVERAGE(B31:D31))</f>
        <v/>
      </c>
    </row>
    <row r="32">
      <c r="A32" s="4" t="n">
        <v>31</v>
      </c>
      <c r="B32" s="4">
        <f>IF(OR('局部木质部面积'!B32="",'局部木质部面积'!B32=0),"",('导管总数量'!B32*1000000)/'局部木质部面积'!B32)</f>
        <v/>
      </c>
      <c r="C32" s="4">
        <f>IF(OR('局部木质部面积'!C32="",'局部木质部面积'!C32=0),"",('导管总数量'!C32*1000000)/'局部木质部面积'!C32)</f>
        <v/>
      </c>
      <c r="D32" s="4">
        <f>IF(OR('局部木质部面积'!D32="",'局部木质部面积'!D32=0),"",('导管总数量'!D32*1000000)/'局部木质部面积'!D32)</f>
        <v/>
      </c>
      <c r="E32" s="4">
        <f>IF(COUNT(B32:D32)=0,"",AVERAGE(B32:D32))</f>
        <v/>
      </c>
    </row>
    <row r="33">
      <c r="A33" s="4" t="n">
        <v>32</v>
      </c>
      <c r="B33" s="4">
        <f>IF(OR('局部木质部面积'!B33="",'局部木质部面积'!B33=0),"",('导管总数量'!B33*1000000)/'局部木质部面积'!B33)</f>
        <v/>
      </c>
      <c r="C33" s="4">
        <f>IF(OR('局部木质部面积'!C33="",'局部木质部面积'!C33=0),"",('导管总数量'!C33*1000000)/'局部木质部面积'!C33)</f>
        <v/>
      </c>
      <c r="D33" s="4">
        <f>IF(OR('局部木质部面积'!D33="",'局部木质部面积'!D33=0),"",('导管总数量'!D33*1000000)/'局部木质部面积'!D33)</f>
        <v/>
      </c>
      <c r="E33" s="4">
        <f>IF(COUNT(B33:D33)=0,"",AVERAGE(B33:D33))</f>
        <v/>
      </c>
    </row>
    <row r="34">
      <c r="A34" s="4" t="n">
        <v>33</v>
      </c>
      <c r="B34" s="4">
        <f>IF(OR('局部木质部面积'!B34="",'局部木质部面积'!B34=0),"",('导管总数量'!B34*1000000)/'局部木质部面积'!B34)</f>
        <v/>
      </c>
      <c r="C34" s="4">
        <f>IF(OR('局部木质部面积'!C34="",'局部木质部面积'!C34=0),"",('导管总数量'!C34*1000000)/'局部木质部面积'!C34)</f>
        <v/>
      </c>
      <c r="D34" s="4">
        <f>IF(OR('局部木质部面积'!D34="",'局部木质部面积'!D34=0),"",('导管总数量'!D34*1000000)/'局部木质部面积'!D34)</f>
        <v/>
      </c>
      <c r="E34" s="4">
        <f>IF(COUNT(B34:D34)=0,"",AVERAGE(B34:D34))</f>
        <v/>
      </c>
    </row>
    <row r="35">
      <c r="A35" s="4" t="n">
        <v>34</v>
      </c>
      <c r="B35" s="4">
        <f>IF(OR('局部木质部面积'!B35="",'局部木质部面积'!B35=0),"",('导管总数量'!B35*1000000)/'局部木质部面积'!B35)</f>
        <v/>
      </c>
      <c r="C35" s="4">
        <f>IF(OR('局部木质部面积'!C35="",'局部木质部面积'!C35=0),"",('导管总数量'!C35*1000000)/'局部木质部面积'!C35)</f>
        <v/>
      </c>
      <c r="D35" s="4">
        <f>IF(OR('局部木质部面积'!D35="",'局部木质部面积'!D35=0),"",('导管总数量'!D35*1000000)/'局部木质部面积'!D35)</f>
        <v/>
      </c>
      <c r="E35" s="4">
        <f>IF(COUNT(B35:D35)=0,"",AVERAGE(B35:D35))</f>
        <v/>
      </c>
    </row>
    <row r="36">
      <c r="A36" s="4" t="n">
        <v>35</v>
      </c>
      <c r="B36" s="4">
        <f>IF(OR('局部木质部面积'!B36="",'局部木质部面积'!B36=0),"",('导管总数量'!B36*1000000)/'局部木质部面积'!B36)</f>
        <v/>
      </c>
      <c r="C36" s="4">
        <f>IF(OR('局部木质部面积'!C36="",'局部木质部面积'!C36=0),"",('导管总数量'!C36*1000000)/'局部木质部面积'!C36)</f>
        <v/>
      </c>
      <c r="D36" s="4">
        <f>IF(OR('局部木质部面积'!D36="",'局部木质部面积'!D36=0),"",('导管总数量'!D36*1000000)/'局部木质部面积'!D36)</f>
        <v/>
      </c>
      <c r="E36" s="4">
        <f>IF(COUNT(B36:D36)=0,"",AVERAGE(B36:D36))</f>
        <v/>
      </c>
    </row>
    <row r="37">
      <c r="A37" s="4" t="n">
        <v>36</v>
      </c>
      <c r="B37" s="4">
        <f>IF(OR('局部木质部面积'!B37="",'局部木质部面积'!B37=0),"",('导管总数量'!B37*1000000)/'局部木质部面积'!B37)</f>
        <v/>
      </c>
      <c r="C37" s="4">
        <f>IF(OR('局部木质部面积'!C37="",'局部木质部面积'!C37=0),"",('导管总数量'!C37*1000000)/'局部木质部面积'!C37)</f>
        <v/>
      </c>
      <c r="D37" s="4">
        <f>IF(OR('局部木质部面积'!D37="",'局部木质部面积'!D37=0),"",('导管总数量'!D37*1000000)/'局部木质部面积'!D37)</f>
        <v/>
      </c>
      <c r="E37" s="4">
        <f>IF(COUNT(B37:D37)=0,"",AVERAGE(B37:D37))</f>
        <v/>
      </c>
    </row>
    <row r="38">
      <c r="A38" s="4" t="n">
        <v>37</v>
      </c>
      <c r="B38" s="4">
        <f>IF(OR('局部木质部面积'!B38="",'局部木质部面积'!B38=0),"",('导管总数量'!B38*1000000)/'局部木质部面积'!B38)</f>
        <v/>
      </c>
      <c r="C38" s="4">
        <f>IF(OR('局部木质部面积'!C38="",'局部木质部面积'!C38=0),"",('导管总数量'!C38*1000000)/'局部木质部面积'!C38)</f>
        <v/>
      </c>
      <c r="D38" s="4">
        <f>IF(OR('局部木质部面积'!D38="",'局部木质部面积'!D38=0),"",('导管总数量'!D38*1000000)/'局部木质部面积'!D38)</f>
        <v/>
      </c>
      <c r="E38" s="4">
        <f>IF(COUNT(B38:D38)=0,"",AVERAGE(B38:D38))</f>
        <v/>
      </c>
    </row>
    <row r="39">
      <c r="A39" s="4" t="n">
        <v>38</v>
      </c>
      <c r="B39" s="4">
        <f>IF(OR('局部木质部面积'!B39="",'局部木质部面积'!B39=0),"",('导管总数量'!B39*1000000)/'局部木质部面积'!B39)</f>
        <v/>
      </c>
      <c r="C39" s="4">
        <f>IF(OR('局部木质部面积'!C39="",'局部木质部面积'!C39=0),"",('导管总数量'!C39*1000000)/'局部木质部面积'!C39)</f>
        <v/>
      </c>
      <c r="D39" s="4">
        <f>IF(OR('局部木质部面积'!D39="",'局部木质部面积'!D39=0),"",('导管总数量'!D39*1000000)/'局部木质部面积'!D39)</f>
        <v/>
      </c>
      <c r="E39" s="4">
        <f>IF(COUNT(B39:D39)=0,"",AVERAGE(B39:D39))</f>
        <v/>
      </c>
    </row>
    <row r="40">
      <c r="A40" s="4" t="n">
        <v>39</v>
      </c>
      <c r="B40" s="4">
        <f>IF(OR('局部木质部面积'!B40="",'局部木质部面积'!B40=0),"",('导管总数量'!B40*1000000)/'局部木质部面积'!B40)</f>
        <v/>
      </c>
      <c r="C40" s="4">
        <f>IF(OR('局部木质部面积'!C40="",'局部木质部面积'!C40=0),"",('导管总数量'!C40*1000000)/'局部木质部面积'!C40)</f>
        <v/>
      </c>
      <c r="D40" s="4">
        <f>IF(OR('局部木质部面积'!D40="",'局部木质部面积'!D40=0),"",('导管总数量'!D40*1000000)/'局部木质部面积'!D40)</f>
        <v/>
      </c>
      <c r="E40" s="4">
        <f>IF(COUNT(B40:D40)=0,"",AVERAGE(B40:D40))</f>
        <v/>
      </c>
    </row>
    <row r="41">
      <c r="A41" s="4" t="n">
        <v>40</v>
      </c>
      <c r="B41" s="4">
        <f>IF(OR('局部木质部面积'!B41="",'局部木质部面积'!B41=0),"",('导管总数量'!B41*1000000)/'局部木质部面积'!B41)</f>
        <v/>
      </c>
      <c r="C41" s="4">
        <f>IF(OR('局部木质部面积'!C41="",'局部木质部面积'!C41=0),"",('导管总数量'!C41*1000000)/'局部木质部面积'!C41)</f>
        <v/>
      </c>
      <c r="D41" s="4">
        <f>IF(OR('局部木质部面积'!D41="",'局部木质部面积'!D41=0),"",('导管总数量'!D41*1000000)/'局部木质部面积'!D41)</f>
        <v/>
      </c>
      <c r="E41" s="4">
        <f>IF(COUNT(B41:D41)=0,"",AVERAGE(B41:D41))</f>
        <v/>
      </c>
    </row>
    <row r="42">
      <c r="A42" s="4" t="n">
        <v>41</v>
      </c>
      <c r="B42" s="4">
        <f>IF(OR('局部木质部面积'!B42="",'局部木质部面积'!B42=0),"",('导管总数量'!B42*1000000)/'局部木质部面积'!B42)</f>
        <v/>
      </c>
      <c r="C42" s="4">
        <f>IF(OR('局部木质部面积'!C42="",'局部木质部面积'!C42=0),"",('导管总数量'!C42*1000000)/'局部木质部面积'!C42)</f>
        <v/>
      </c>
      <c r="D42" s="4">
        <f>IF(OR('局部木质部面积'!D42="",'局部木质部面积'!D42=0),"",('导管总数量'!D42*1000000)/'局部木质部面积'!D42)</f>
        <v/>
      </c>
      <c r="E42" s="4">
        <f>IF(COUNT(B42:D42)=0,"",AVERAGE(B42:D42))</f>
        <v/>
      </c>
    </row>
    <row r="43">
      <c r="A43" s="4" t="n">
        <v>42</v>
      </c>
      <c r="B43" s="4">
        <f>IF(OR('局部木质部面积'!B43="",'局部木质部面积'!B43=0),"",('导管总数量'!B43*1000000)/'局部木质部面积'!B43)</f>
        <v/>
      </c>
      <c r="C43" s="4">
        <f>IF(OR('局部木质部面积'!C43="",'局部木质部面积'!C43=0),"",('导管总数量'!C43*1000000)/'局部木质部面积'!C43)</f>
        <v/>
      </c>
      <c r="D43" s="4">
        <f>IF(OR('局部木质部面积'!D43="",'局部木质部面积'!D43=0),"",('导管总数量'!D43*1000000)/'局部木质部面积'!D43)</f>
        <v/>
      </c>
      <c r="E43" s="4">
        <f>IF(COUNT(B43:D43)=0,"",AVERAGE(B43:D43))</f>
        <v/>
      </c>
    </row>
    <row r="44">
      <c r="A44" s="4" t="n">
        <v>43</v>
      </c>
      <c r="B44" s="4">
        <f>IF(OR('局部木质部面积'!B44="",'局部木质部面积'!B44=0),"",('导管总数量'!B44*1000000)/'局部木质部面积'!B44)</f>
        <v/>
      </c>
      <c r="C44" s="4">
        <f>IF(OR('局部木质部面积'!C44="",'局部木质部面积'!C44=0),"",('导管总数量'!C44*1000000)/'局部木质部面积'!C44)</f>
        <v/>
      </c>
      <c r="D44" s="4">
        <f>IF(OR('局部木质部面积'!D44="",'局部木质部面积'!D44=0),"",('导管总数量'!D44*1000000)/'局部木质部面积'!D44)</f>
        <v/>
      </c>
      <c r="E44" s="4">
        <f>IF(COUNT(B44:D44)=0,"",AVERAGE(B44:D44))</f>
        <v/>
      </c>
    </row>
    <row r="45">
      <c r="A45" s="4" t="n">
        <v>44</v>
      </c>
      <c r="B45" s="4">
        <f>IF(OR('局部木质部面积'!B45="",'局部木质部面积'!B45=0),"",('导管总数量'!B45*1000000)/'局部木质部面积'!B45)</f>
        <v/>
      </c>
      <c r="C45" s="4">
        <f>IF(OR('局部木质部面积'!C45="",'局部木质部面积'!C45=0),"",('导管总数量'!C45*1000000)/'局部木质部面积'!C45)</f>
        <v/>
      </c>
      <c r="D45" s="4">
        <f>IF(OR('局部木质部面积'!D45="",'局部木质部面积'!D45=0),"",('导管总数量'!D45*1000000)/'局部木质部面积'!D45)</f>
        <v/>
      </c>
      <c r="E45" s="4">
        <f>IF(COUNT(B45:D45)=0,"",AVERAGE(B45:D45))</f>
        <v/>
      </c>
    </row>
    <row r="46">
      <c r="A46" s="4" t="n">
        <v>45</v>
      </c>
      <c r="B46" s="4">
        <f>IF(OR('局部木质部面积'!B46="",'局部木质部面积'!B46=0),"",('导管总数量'!B46*1000000)/'局部木质部面积'!B46)</f>
        <v/>
      </c>
      <c r="C46" s="4">
        <f>IF(OR('局部木质部面积'!C46="",'局部木质部面积'!C46=0),"",('导管总数量'!C46*1000000)/'局部木质部面积'!C46)</f>
        <v/>
      </c>
      <c r="D46" s="4">
        <f>IF(OR('局部木质部面积'!D46="",'局部木质部面积'!D46=0),"",('导管总数量'!D46*1000000)/'局部木质部面积'!D46)</f>
        <v/>
      </c>
      <c r="E46" s="4">
        <f>IF(COUNT(B46:D46)=0,"",AVERAGE(B46:D46))</f>
        <v/>
      </c>
    </row>
    <row r="47">
      <c r="A47" s="4" t="n">
        <v>46</v>
      </c>
      <c r="B47" s="4">
        <f>IF(OR('局部木质部面积'!B47="",'局部木质部面积'!B47=0),"",('导管总数量'!B47*1000000)/'局部木质部面积'!B47)</f>
        <v/>
      </c>
      <c r="C47" s="4">
        <f>IF(OR('局部木质部面积'!C47="",'局部木质部面积'!C47=0),"",('导管总数量'!C47*1000000)/'局部木质部面积'!C47)</f>
        <v/>
      </c>
      <c r="D47" s="4">
        <f>IF(OR('局部木质部面积'!D47="",'局部木质部面积'!D47=0),"",('导管总数量'!D47*1000000)/'局部木质部面积'!D47)</f>
        <v/>
      </c>
      <c r="E47" s="4">
        <f>IF(COUNT(B47:D47)=0,"",AVERAGE(B47:D47))</f>
        <v/>
      </c>
    </row>
    <row r="48">
      <c r="A48" s="4" t="n">
        <v>47</v>
      </c>
      <c r="B48" s="4">
        <f>IF(OR('局部木质部面积'!B48="",'局部木质部面积'!B48=0),"",('导管总数量'!B48*1000000)/'局部木质部面积'!B48)</f>
        <v/>
      </c>
      <c r="C48" s="4">
        <f>IF(OR('局部木质部面积'!C48="",'局部木质部面积'!C48=0),"",('导管总数量'!C48*1000000)/'局部木质部面积'!C48)</f>
        <v/>
      </c>
      <c r="D48" s="4">
        <f>IF(OR('局部木质部面积'!D48="",'局部木质部面积'!D48=0),"",('导管总数量'!D48*1000000)/'局部木质部面积'!D48)</f>
        <v/>
      </c>
      <c r="E48" s="4">
        <f>IF(COUNT(B48:D48)=0,"",AVERAGE(B48:D48))</f>
        <v/>
      </c>
    </row>
    <row r="49">
      <c r="A49" s="4" t="n">
        <v>48</v>
      </c>
      <c r="B49" s="4">
        <f>IF(OR('局部木质部面积'!B49="",'局部木质部面积'!B49=0),"",('导管总数量'!B49*1000000)/'局部木质部面积'!B49)</f>
        <v/>
      </c>
      <c r="C49" s="4">
        <f>IF(OR('局部木质部面积'!C49="",'局部木质部面积'!C49=0),"",('导管总数量'!C49*1000000)/'局部木质部面积'!C49)</f>
        <v/>
      </c>
      <c r="D49" s="4">
        <f>IF(OR('局部木质部面积'!D49="",'局部木质部面积'!D49=0),"",('导管总数量'!D49*1000000)/'局部木质部面积'!D49)</f>
        <v/>
      </c>
      <c r="E49" s="4">
        <f>IF(COUNT(B49:D49)=0,"",AVERAGE(B49:D49))</f>
        <v/>
      </c>
    </row>
    <row r="50">
      <c r="A50" s="4" t="n">
        <v>49</v>
      </c>
      <c r="B50" s="4">
        <f>IF(OR('局部木质部面积'!B50="",'局部木质部面积'!B50=0),"",('导管总数量'!B50*1000000)/'局部木质部面积'!B50)</f>
        <v/>
      </c>
      <c r="C50" s="4">
        <f>IF(OR('局部木质部面积'!C50="",'局部木质部面积'!C50=0),"",('导管总数量'!C50*1000000)/'局部木质部面积'!C50)</f>
        <v/>
      </c>
      <c r="D50" s="4">
        <f>IF(OR('局部木质部面积'!D50="",'局部木质部面积'!D50=0),"",('导管总数量'!D50*1000000)/'局部木质部面积'!D50)</f>
        <v/>
      </c>
      <c r="E50" s="4">
        <f>IF(COUNT(B50:D50)=0,"",AVERAGE(B50:D50))</f>
        <v/>
      </c>
    </row>
    <row r="51">
      <c r="A51" s="4" t="n">
        <v>50</v>
      </c>
      <c r="B51" s="4">
        <f>IF(OR('局部木质部面积'!B51="",'局部木质部面积'!B51=0),"",('导管总数量'!B51*1000000)/'局部木质部面积'!B51)</f>
        <v/>
      </c>
      <c r="C51" s="4">
        <f>IF(OR('局部木质部面积'!C51="",'局部木质部面积'!C51=0),"",('导管总数量'!C51*1000000)/'局部木质部面积'!C51)</f>
        <v/>
      </c>
      <c r="D51" s="4">
        <f>IF(OR('局部木质部面积'!D51="",'局部木质部面积'!D51=0),"",('导管总数量'!D51*1000000)/'局部木质部面积'!D51)</f>
        <v/>
      </c>
      <c r="E51" s="4">
        <f>IF(COUNT(B51:D51)=0,"",AVERAGE(B51:D51))</f>
        <v/>
      </c>
    </row>
    <row r="52">
      <c r="A52" s="4" t="n">
        <v>51</v>
      </c>
      <c r="B52" s="4">
        <f>IF(OR('局部木质部面积'!B52="",'局部木质部面积'!B52=0),"",('导管总数量'!B52*1000000)/'局部木质部面积'!B52)</f>
        <v/>
      </c>
      <c r="C52" s="4">
        <f>IF(OR('局部木质部面积'!C52="",'局部木质部面积'!C52=0),"",('导管总数量'!C52*1000000)/'局部木质部面积'!C52)</f>
        <v/>
      </c>
      <c r="D52" s="4">
        <f>IF(OR('局部木质部面积'!D52="",'局部木质部面积'!D52=0),"",('导管总数量'!D52*1000000)/'局部木质部面积'!D52)</f>
        <v/>
      </c>
      <c r="E52" s="4">
        <f>IF(COUNT(B52:D52)=0,"",AVERAGE(B52:D52))</f>
        <v/>
      </c>
    </row>
    <row r="53">
      <c r="A53" s="4" t="n">
        <v>52</v>
      </c>
      <c r="B53" s="4">
        <f>IF(OR('局部木质部面积'!B53="",'局部木质部面积'!B53=0),"",('导管总数量'!B53*1000000)/'局部木质部面积'!B53)</f>
        <v/>
      </c>
      <c r="C53" s="4">
        <f>IF(OR('局部木质部面积'!C53="",'局部木质部面积'!C53=0),"",('导管总数量'!C53*1000000)/'局部木质部面积'!C53)</f>
        <v/>
      </c>
      <c r="D53" s="4">
        <f>IF(OR('局部木质部面积'!D53="",'局部木质部面积'!D53=0),"",('导管总数量'!D53*1000000)/'局部木质部面积'!D53)</f>
        <v/>
      </c>
      <c r="E53" s="4">
        <f>IF(COUNT(B53:D53)=0,"",AVERAGE(B53:D53))</f>
        <v/>
      </c>
    </row>
    <row r="54">
      <c r="A54" s="4" t="n">
        <v>53</v>
      </c>
      <c r="B54" s="4">
        <f>IF(OR('局部木质部面积'!B54="",'局部木质部面积'!B54=0),"",('导管总数量'!B54*1000000)/'局部木质部面积'!B54)</f>
        <v/>
      </c>
      <c r="C54" s="4">
        <f>IF(OR('局部木质部面积'!C54="",'局部木质部面积'!C54=0),"",('导管总数量'!C54*1000000)/'局部木质部面积'!C54)</f>
        <v/>
      </c>
      <c r="D54" s="4">
        <f>IF(OR('局部木质部面积'!D54="",'局部木质部面积'!D54=0),"",('导管总数量'!D54*1000000)/'局部木质部面积'!D54)</f>
        <v/>
      </c>
      <c r="E54" s="4">
        <f>IF(COUNT(B54:D54)=0,"",AVERAGE(B54:D54))</f>
        <v/>
      </c>
    </row>
    <row r="55">
      <c r="A55" s="4" t="n">
        <v>54</v>
      </c>
      <c r="B55" s="4">
        <f>IF(OR('局部木质部面积'!B55="",'局部木质部面积'!B55=0),"",('导管总数量'!B55*1000000)/'局部木质部面积'!B55)</f>
        <v/>
      </c>
      <c r="C55" s="4">
        <f>IF(OR('局部木质部面积'!C55="",'局部木质部面积'!C55=0),"",('导管总数量'!C55*1000000)/'局部木质部面积'!C55)</f>
        <v/>
      </c>
      <c r="D55" s="4">
        <f>IF(OR('局部木质部面积'!D55="",'局部木质部面积'!D55=0),"",('导管总数量'!D55*1000000)/'局部木质部面积'!D55)</f>
        <v/>
      </c>
      <c r="E55" s="4">
        <f>IF(COUNT(B55:D55)=0,"",AVERAGE(B55:D55))</f>
        <v/>
      </c>
    </row>
    <row r="56">
      <c r="A56" s="4" t="n">
        <v>55</v>
      </c>
      <c r="B56" s="4">
        <f>IF(OR('局部木质部面积'!B56="",'局部木质部面积'!B56=0),"",('导管总数量'!B56*1000000)/'局部木质部面积'!B56)</f>
        <v/>
      </c>
      <c r="C56" s="4">
        <f>IF(OR('局部木质部面积'!C56="",'局部木质部面积'!C56=0),"",('导管总数量'!C56*1000000)/'局部木质部面积'!C56)</f>
        <v/>
      </c>
      <c r="D56" s="4">
        <f>IF(OR('局部木质部面积'!D56="",'局部木质部面积'!D56=0),"",('导管总数量'!D56*1000000)/'局部木质部面积'!D56)</f>
        <v/>
      </c>
      <c r="E56" s="4">
        <f>IF(COUNT(B56:D56)=0,"",AVERAGE(B56:D56))</f>
        <v/>
      </c>
    </row>
    <row r="57">
      <c r="A57" s="4" t="n">
        <v>56</v>
      </c>
      <c r="B57" s="4">
        <f>IF(OR('局部木质部面积'!B57="",'局部木质部面积'!B57=0),"",('导管总数量'!B57*1000000)/'局部木质部面积'!B57)</f>
        <v/>
      </c>
      <c r="C57" s="4">
        <f>IF(OR('局部木质部面积'!C57="",'局部木质部面积'!C57=0),"",('导管总数量'!C57*1000000)/'局部木质部面积'!C57)</f>
        <v/>
      </c>
      <c r="D57" s="4">
        <f>IF(OR('局部木质部面积'!D57="",'局部木质部面积'!D57=0),"",('导管总数量'!D57*1000000)/'局部木质部面积'!D57)</f>
        <v/>
      </c>
      <c r="E57" s="4">
        <f>IF(COUNT(B57:D57)=0,"",AVERAGE(B57:D57))</f>
        <v/>
      </c>
    </row>
    <row r="58">
      <c r="A58" s="4" t="n">
        <v>57</v>
      </c>
      <c r="B58" s="4">
        <f>IF(OR('局部木质部面积'!B58="",'局部木质部面积'!B58=0),"",('导管总数量'!B58*1000000)/'局部木质部面积'!B58)</f>
        <v/>
      </c>
      <c r="C58" s="4">
        <f>IF(OR('局部木质部面积'!C58="",'局部木质部面积'!C58=0),"",('导管总数量'!C58*1000000)/'局部木质部面积'!C58)</f>
        <v/>
      </c>
      <c r="D58" s="4">
        <f>IF(OR('局部木质部面积'!D58="",'局部木质部面积'!D58=0),"",('导管总数量'!D58*1000000)/'局部木质部面积'!D58)</f>
        <v/>
      </c>
      <c r="E58" s="4">
        <f>IF(COUNT(B58:D58)=0,"",AVERAGE(B58:D58))</f>
        <v/>
      </c>
    </row>
    <row r="59">
      <c r="A59" s="4" t="n">
        <v>58</v>
      </c>
      <c r="B59" s="4">
        <f>IF(OR('局部木质部面积'!B59="",'局部木质部面积'!B59=0),"",('导管总数量'!B59*1000000)/'局部木质部面积'!B59)</f>
        <v/>
      </c>
      <c r="C59" s="4">
        <f>IF(OR('局部木质部面积'!C59="",'局部木质部面积'!C59=0),"",('导管总数量'!C59*1000000)/'局部木质部面积'!C59)</f>
        <v/>
      </c>
      <c r="D59" s="4">
        <f>IF(OR('局部木质部面积'!D59="",'局部木质部面积'!D59=0),"",('导管总数量'!D59*1000000)/'局部木质部面积'!D59)</f>
        <v/>
      </c>
      <c r="E59" s="4">
        <f>IF(COUNT(B59:D59)=0,"",AVERAGE(B59:D59))</f>
        <v/>
      </c>
    </row>
    <row r="60">
      <c r="A60" s="4" t="n">
        <v>59</v>
      </c>
      <c r="B60" s="4">
        <f>IF(OR('局部木质部面积'!B60="",'局部木质部面积'!B60=0),"",('导管总数量'!B60*1000000)/'局部木质部面积'!B60)</f>
        <v/>
      </c>
      <c r="C60" s="4">
        <f>IF(OR('局部木质部面积'!C60="",'局部木质部面积'!C60=0),"",('导管总数量'!C60*1000000)/'局部木质部面积'!C60)</f>
        <v/>
      </c>
      <c r="D60" s="4">
        <f>IF(OR('局部木质部面积'!D60="",'局部木质部面积'!D60=0),"",('导管总数量'!D60*1000000)/'局部木质部面积'!D60)</f>
        <v/>
      </c>
      <c r="E60" s="4">
        <f>IF(COUNT(B60:D60)=0,"",AVERAGE(B60:D60))</f>
        <v/>
      </c>
    </row>
    <row r="61">
      <c r="A61" s="4" t="n">
        <v>60</v>
      </c>
      <c r="B61" s="4">
        <f>IF(OR('局部木质部面积'!B61="",'局部木质部面积'!B61=0),"",('导管总数量'!B61*1000000)/'局部木质部面积'!B61)</f>
        <v/>
      </c>
      <c r="C61" s="4">
        <f>IF(OR('局部木质部面积'!C61="",'局部木质部面积'!C61=0),"",('导管总数量'!C61*1000000)/'局部木质部面积'!C61)</f>
        <v/>
      </c>
      <c r="D61" s="4">
        <f>IF(OR('局部木质部面积'!D61="",'局部木质部面积'!D61=0),"",('导管总数量'!D61*1000000)/'局部木质部面积'!D61)</f>
        <v/>
      </c>
      <c r="E61" s="4">
        <f>IF(COUNT(B61:D61)=0,"",AVERAGE(B61:D61))</f>
        <v/>
      </c>
    </row>
    <row r="62">
      <c r="A62" s="4" t="n">
        <v>61</v>
      </c>
      <c r="B62" s="4">
        <f>IF(OR('局部木质部面积'!B62="",'局部木质部面积'!B62=0),"",('导管总数量'!B62*1000000)/'局部木质部面积'!B62)</f>
        <v/>
      </c>
      <c r="C62" s="4">
        <f>IF(OR('局部木质部面积'!C62="",'局部木质部面积'!C62=0),"",('导管总数量'!C62*1000000)/'局部木质部面积'!C62)</f>
        <v/>
      </c>
      <c r="D62" s="4">
        <f>IF(OR('局部木质部面积'!D62="",'局部木质部面积'!D62=0),"",('导管总数量'!D62*1000000)/'局部木质部面积'!D62)</f>
        <v/>
      </c>
      <c r="E62" s="4">
        <f>IF(COUNT(B62:D62)=0,"",AVERAGE(B62:D62))</f>
        <v/>
      </c>
    </row>
    <row r="63">
      <c r="A63" s="4" t="n">
        <v>62</v>
      </c>
      <c r="B63" s="4">
        <f>IF(OR('局部木质部面积'!B63="",'局部木质部面积'!B63=0),"",('导管总数量'!B63*1000000)/'局部木质部面积'!B63)</f>
        <v/>
      </c>
      <c r="C63" s="4">
        <f>IF(OR('局部木质部面积'!C63="",'局部木质部面积'!C63=0),"",('导管总数量'!C63*1000000)/'局部木质部面积'!C63)</f>
        <v/>
      </c>
      <c r="D63" s="4">
        <f>IF(OR('局部木质部面积'!D63="",'局部木质部面积'!D63=0),"",('导管总数量'!D63*1000000)/'局部木质部面积'!D63)</f>
        <v/>
      </c>
      <c r="E63" s="4">
        <f>IF(COUNT(B63:D63)=0,"",AVERAGE(B63:D63))</f>
        <v/>
      </c>
    </row>
    <row r="64">
      <c r="A64" s="4" t="n">
        <v>63</v>
      </c>
      <c r="B64" s="4">
        <f>IF(OR('局部木质部面积'!B64="",'局部木质部面积'!B64=0),"",('导管总数量'!B64*1000000)/'局部木质部面积'!B64)</f>
        <v/>
      </c>
      <c r="C64" s="4">
        <f>IF(OR('局部木质部面积'!C64="",'局部木质部面积'!C64=0),"",('导管总数量'!C64*1000000)/'局部木质部面积'!C64)</f>
        <v/>
      </c>
      <c r="D64" s="4">
        <f>IF(OR('局部木质部面积'!D64="",'局部木质部面积'!D64=0),"",('导管总数量'!D64*1000000)/'局部木质部面积'!D64)</f>
        <v/>
      </c>
      <c r="E64" s="4">
        <f>IF(COUNT(B64:D64)=0,"",AVERAGE(B64:D64))</f>
        <v/>
      </c>
    </row>
  </sheetData>
  <mergeCells count="3">
    <mergeCell ref="J23:N26"/>
    <mergeCell ref="J7:N16"/>
    <mergeCell ref="J19:N21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K23" sqref="K23:O28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平均导管腔面积1</t>
        </is>
      </c>
      <c r="C1" s="4" t="inlineStr">
        <is>
          <t>平均导管腔面积2</t>
        </is>
      </c>
      <c r="D1" s="4" t="inlineStr">
        <is>
          <t>平均导管腔面积3</t>
        </is>
      </c>
      <c r="E1" s="4" t="inlineStr">
        <is>
          <t>平均</t>
        </is>
      </c>
    </row>
    <row r="2">
      <c r="A2" s="4" t="n">
        <v>1</v>
      </c>
      <c r="B2" s="4">
        <f>IF(OR('导管总数量'!B2="",'导管总数量'!B2=0),"",('导管（腔）总面积'!B2)/'导管总数量'!B2)</f>
        <v/>
      </c>
      <c r="C2" s="4">
        <f>IF(OR('导管总数量'!C2="",'导管总数量'!C2=0),"",('导管（腔）总面积'!C2)/'导管总数量'!C2)</f>
        <v/>
      </c>
      <c r="D2" s="4">
        <f>IF(OR('导管总数量'!D2="",'导管总数量'!D2=0),"",('导管（腔）总面积'!D2)/'导管总数量'!D2)</f>
        <v/>
      </c>
      <c r="E2" s="4">
        <f>IF(COUNT(B2:D2)=0,"",AVERAGE(B2:D2))</f>
        <v/>
      </c>
    </row>
    <row r="3">
      <c r="A3" s="4" t="n">
        <v>2</v>
      </c>
      <c r="B3" s="4">
        <f>IF(OR('导管总数量'!B3="",'导管总数量'!B3=0),"",('导管（腔）总面积'!B3)/'导管总数量'!B3)</f>
        <v/>
      </c>
      <c r="C3" s="4">
        <f>IF(OR('导管总数量'!C3="",'导管总数量'!C3=0),"",('导管（腔）总面积'!C3)/'导管总数量'!C3)</f>
        <v/>
      </c>
      <c r="D3" s="4">
        <f>IF(OR('导管总数量'!D3="",'导管总数量'!D3=0),"",('导管（腔）总面积'!D3)/'导管总数量'!D3)</f>
        <v/>
      </c>
      <c r="E3" s="4">
        <f>IF(COUNT(B3:D3)=0,"",AVERAGE(B3:D3))</f>
        <v/>
      </c>
    </row>
    <row r="4">
      <c r="A4" s="4" t="n">
        <v>3</v>
      </c>
      <c r="B4" s="4">
        <f>IF(OR('导管总数量'!B4="",'导管总数量'!B4=0),"",('导管（腔）总面积'!B4)/'导管总数量'!B4)</f>
        <v/>
      </c>
      <c r="C4" s="4">
        <f>IF(OR('导管总数量'!C4="",'导管总数量'!C4=0),"",('导管（腔）总面积'!C4)/'导管总数量'!C4)</f>
        <v/>
      </c>
      <c r="D4" s="4">
        <f>IF(OR('导管总数量'!D4="",'导管总数量'!D4=0),"",('导管（腔）总面积'!D4)/'导管总数量'!D4)</f>
        <v/>
      </c>
      <c r="E4" s="4">
        <f>IF(COUNT(B4:D4)=0,"",AVERAGE(B4:D4))</f>
        <v/>
      </c>
    </row>
    <row r="5">
      <c r="A5" s="4" t="n">
        <v>4</v>
      </c>
      <c r="B5" s="4">
        <f>IF(OR('导管总数量'!B5="",'导管总数量'!B5=0),"",('导管（腔）总面积'!B5)/'导管总数量'!B5)</f>
        <v/>
      </c>
      <c r="C5" s="4">
        <f>IF(OR('导管总数量'!C5="",'导管总数量'!C5=0),"",('导管（腔）总面积'!C5)/'导管总数量'!C5)</f>
        <v/>
      </c>
      <c r="D5" s="4">
        <f>IF(OR('导管总数量'!D5="",'导管总数量'!D5=0),"",('导管（腔）总面积'!D5)/'导管总数量'!D5)</f>
        <v/>
      </c>
      <c r="E5" s="4">
        <f>IF(COUNT(B5:D5)=0,"",AVERAGE(B5:D5))</f>
        <v/>
      </c>
    </row>
    <row r="6">
      <c r="A6" s="4" t="n">
        <v>5</v>
      </c>
      <c r="B6" s="4">
        <f>IF(OR('导管总数量'!B6="",'导管总数量'!B6=0),"",('导管（腔）总面积'!B6)/'导管总数量'!B6)</f>
        <v/>
      </c>
      <c r="C6" s="4">
        <f>IF(OR('导管总数量'!C6="",'导管总数量'!C6=0),"",('导管（腔）总面积'!C6)/'导管总数量'!C6)</f>
        <v/>
      </c>
      <c r="D6" s="4">
        <f>IF(OR('导管总数量'!D6="",'导管总数量'!D6=0),"",('导管（腔）总面积'!D6)/'导管总数量'!D6)</f>
        <v/>
      </c>
      <c r="E6" s="4">
        <f>IF(COUNT(B6:D6)=0,"",AVERAGE(B6:D6))</f>
        <v/>
      </c>
    </row>
    <row r="7">
      <c r="A7" s="4" t="n">
        <v>6</v>
      </c>
      <c r="B7" s="4">
        <f>IF(OR('导管总数量'!B7="",'导管总数量'!B7=0),"",('导管（腔）总面积'!B7)/'导管总数量'!B7)</f>
        <v/>
      </c>
      <c r="C7" s="4">
        <f>IF(OR('导管总数量'!C7="",'导管总数量'!C7=0),"",('导管（腔）总面积'!C7)/'导管总数量'!C7)</f>
        <v/>
      </c>
      <c r="D7" s="4">
        <f>IF(OR('导管总数量'!D7="",'导管总数量'!D7=0),"",('导管（腔）总面积'!D7)/'导管总数量'!D7)</f>
        <v/>
      </c>
      <c r="E7" s="4">
        <f>IF(COUNT(B7:D7)=0,"",AVERAGE(B7:D7))</f>
        <v/>
      </c>
      <c r="J7" s="8" t="inlineStr">
        <is>
          <t>平均导管腔面积=导管（腔）总面积/导管总数量</t>
        </is>
      </c>
    </row>
    <row r="8">
      <c r="A8" s="4" t="n">
        <v>7</v>
      </c>
      <c r="B8" s="4">
        <f>IF(OR('导管总数量'!B8="",'导管总数量'!B8=0),"",('导管（腔）总面积'!B8)/'导管总数量'!B8)</f>
        <v/>
      </c>
      <c r="C8" s="4">
        <f>IF(OR('导管总数量'!C8="",'导管总数量'!C8=0),"",('导管（腔）总面积'!C8)/'导管总数量'!C8)</f>
        <v/>
      </c>
      <c r="D8" s="4">
        <f>IF(OR('导管总数量'!D8="",'导管总数量'!D8=0),"",('导管（腔）总面积'!D8)/'导管总数量'!D8)</f>
        <v/>
      </c>
      <c r="E8" s="4">
        <f>IF(COUNT(B8:D8)=0,"",AVERAGE(B8:D8))</f>
        <v/>
      </c>
    </row>
    <row r="9">
      <c r="A9" s="4" t="n">
        <v>8</v>
      </c>
      <c r="B9" s="4">
        <f>IF(OR('导管总数量'!B9="",'导管总数量'!B9=0),"",('导管（腔）总面积'!B9)/'导管总数量'!B9)</f>
        <v/>
      </c>
      <c r="C9" s="4">
        <f>IF(OR('导管总数量'!C9="",'导管总数量'!C9=0),"",('导管（腔）总面积'!C9)/'导管总数量'!C9)</f>
        <v/>
      </c>
      <c r="D9" s="4">
        <f>IF(OR('导管总数量'!D9="",'导管总数量'!D9=0),"",('导管（腔）总面积'!D9)/'导管总数量'!D9)</f>
        <v/>
      </c>
      <c r="E9" s="4">
        <f>IF(COUNT(B9:D9)=0,"",AVERAGE(B9:D9))</f>
        <v/>
      </c>
    </row>
    <row r="10">
      <c r="A10" s="4" t="n">
        <v>9</v>
      </c>
      <c r="B10" s="4">
        <f>IF(OR('导管总数量'!B10="",'导管总数量'!B10=0),"",('导管（腔）总面积'!B10)/'导管总数量'!B10)</f>
        <v/>
      </c>
      <c r="C10" s="4">
        <f>IF(OR('导管总数量'!C10="",'导管总数量'!C10=0),"",('导管（腔）总面积'!C10)/'导管总数量'!C10)</f>
        <v/>
      </c>
      <c r="D10" s="4">
        <f>IF(OR('导管总数量'!D10="",'导管总数量'!D10=0),"",('导管（腔）总面积'!D10)/'导管总数量'!D10)</f>
        <v/>
      </c>
      <c r="E10" s="4">
        <f>IF(COUNT(B10:D10)=0,"",AVERAGE(B10:D10))</f>
        <v/>
      </c>
    </row>
    <row r="11">
      <c r="A11" s="4" t="n">
        <v>10</v>
      </c>
      <c r="B11" s="4">
        <f>IF(OR('导管总数量'!B11="",'导管总数量'!B11=0),"",('导管（腔）总面积'!B11)/'导管总数量'!B11)</f>
        <v/>
      </c>
      <c r="C11" s="4">
        <f>IF(OR('导管总数量'!C11="",'导管总数量'!C11=0),"",('导管（腔）总面积'!C11)/'导管总数量'!C11)</f>
        <v/>
      </c>
      <c r="D11" s="4">
        <f>IF(OR('导管总数量'!D11="",'导管总数量'!D11=0),"",('导管（腔）总面积'!D11)/'导管总数量'!D11)</f>
        <v/>
      </c>
      <c r="E11" s="4">
        <f>IF(COUNT(B11:D11)=0,"",AVERAGE(B11:D11))</f>
        <v/>
      </c>
    </row>
    <row r="12">
      <c r="A12" s="4" t="n">
        <v>11</v>
      </c>
      <c r="B12" s="4">
        <f>IF(OR('导管总数量'!B12="",'导管总数量'!B12=0),"",('导管（腔）总面积'!B12)/'导管总数量'!B12)</f>
        <v/>
      </c>
      <c r="C12" s="4">
        <f>IF(OR('导管总数量'!C12="",'导管总数量'!C12=0),"",('导管（腔）总面积'!C12)/'导管总数量'!C12)</f>
        <v/>
      </c>
      <c r="D12" s="4">
        <f>IF(OR('导管总数量'!D12="",'导管总数量'!D12=0),"",('导管（腔）总面积'!D12)/'导管总数量'!D12)</f>
        <v/>
      </c>
      <c r="E12" s="4">
        <f>IF(COUNT(B12:D12)=0,"",AVERAGE(B12:D12))</f>
        <v/>
      </c>
    </row>
    <row r="13">
      <c r="A13" s="4" t="n">
        <v>12</v>
      </c>
      <c r="B13" s="4">
        <f>IF(OR('导管总数量'!B13="",'导管总数量'!B13=0),"",('导管（腔）总面积'!B13)/'导管总数量'!B13)</f>
        <v/>
      </c>
      <c r="C13" s="4">
        <f>IF(OR('导管总数量'!C13="",'导管总数量'!C13=0),"",('导管（腔）总面积'!C13)/'导管总数量'!C13)</f>
        <v/>
      </c>
      <c r="D13" s="4">
        <f>IF(OR('导管总数量'!D13="",'导管总数量'!D13=0),"",('导管（腔）总面积'!D13)/'导管总数量'!D13)</f>
        <v/>
      </c>
      <c r="E13" s="4">
        <f>IF(COUNT(B13:D13)=0,"",AVERAGE(B13:D13))</f>
        <v/>
      </c>
    </row>
    <row r="14">
      <c r="A14" s="4" t="n">
        <v>13</v>
      </c>
      <c r="B14" s="4">
        <f>IF(OR('导管总数量'!B14="",'导管总数量'!B14=0),"",('导管（腔）总面积'!B14)/'导管总数量'!B14)</f>
        <v/>
      </c>
      <c r="C14" s="4">
        <f>IF(OR('导管总数量'!C14="",'导管总数量'!C14=0),"",('导管（腔）总面积'!C14)/'导管总数量'!C14)</f>
        <v/>
      </c>
      <c r="D14" s="4">
        <f>IF(OR('导管总数量'!D14="",'导管总数量'!D14=0),"",('导管（腔）总面积'!D14)/'导管总数量'!D14)</f>
        <v/>
      </c>
      <c r="E14" s="4">
        <f>IF(COUNT(B14:D14)=0,"",AVERAGE(B14:D14))</f>
        <v/>
      </c>
    </row>
    <row r="15">
      <c r="A15" s="4" t="n">
        <v>14</v>
      </c>
      <c r="B15" s="4">
        <f>IF(OR('导管总数量'!B15="",'导管总数量'!B15=0),"",('导管（腔）总面积'!B15)/'导管总数量'!B15)</f>
        <v/>
      </c>
      <c r="C15" s="4">
        <f>IF(OR('导管总数量'!C15="",'导管总数量'!C15=0),"",('导管（腔）总面积'!C15)/'导管总数量'!C15)</f>
        <v/>
      </c>
      <c r="D15" s="4">
        <f>IF(OR('导管总数量'!D15="",'导管总数量'!D15=0),"",('导管（腔）总面积'!D15)/'导管总数量'!D15)</f>
        <v/>
      </c>
      <c r="E15" s="4">
        <f>IF(COUNT(B15:D15)=0,"",AVERAGE(B15:D15))</f>
        <v/>
      </c>
    </row>
    <row r="16">
      <c r="A16" s="4" t="n">
        <v>15</v>
      </c>
      <c r="B16" s="4">
        <f>IF(OR('导管总数量'!B16="",'导管总数量'!B16=0),"",('导管（腔）总面积'!B16)/'导管总数量'!B16)</f>
        <v/>
      </c>
      <c r="C16" s="4">
        <f>IF(OR('导管总数量'!C16="",'导管总数量'!C16=0),"",('导管（腔）总面积'!C16)/'导管总数量'!C16)</f>
        <v/>
      </c>
      <c r="D16" s="4">
        <f>IF(OR('导管总数量'!D16="",'导管总数量'!D16=0),"",('导管（腔）总面积'!D16)/'导管总数量'!D16)</f>
        <v/>
      </c>
      <c r="E16" s="4">
        <f>IF(COUNT(B16:D16)=0,"",AVERAGE(B16:D16))</f>
        <v/>
      </c>
    </row>
    <row r="17">
      <c r="A17" s="4" t="n">
        <v>16</v>
      </c>
      <c r="B17" s="4">
        <f>IF(OR('导管总数量'!B17="",'导管总数量'!B17=0),"",('导管（腔）总面积'!B17)/'导管总数量'!B17)</f>
        <v/>
      </c>
      <c r="C17" s="4">
        <f>IF(OR('导管总数量'!C17="",'导管总数量'!C17=0),"",('导管（腔）总面积'!C17)/'导管总数量'!C17)</f>
        <v/>
      </c>
      <c r="D17" s="4">
        <f>IF(OR('导管总数量'!D17="",'导管总数量'!D17=0),"",('导管（腔）总面积'!D17)/'导管总数量'!D17)</f>
        <v/>
      </c>
      <c r="E17" s="4">
        <f>IF(COUNT(B17:D17)=0,"",AVERAGE(B17:D17))</f>
        <v/>
      </c>
    </row>
    <row r="18">
      <c r="A18" s="4" t="n">
        <v>17</v>
      </c>
      <c r="B18" s="4">
        <f>IF(OR('导管总数量'!B18="",'导管总数量'!B18=0),"",('导管（腔）总面积'!B18)/'导管总数量'!B18)</f>
        <v/>
      </c>
      <c r="C18" s="4">
        <f>IF(OR('导管总数量'!C18="",'导管总数量'!C18=0),"",('导管（腔）总面积'!C18)/'导管总数量'!C18)</f>
        <v/>
      </c>
      <c r="D18" s="4">
        <f>IF(OR('导管总数量'!D18="",'导管总数量'!D18=0),"",('导管（腔）总面积'!D18)/'导管总数量'!D18)</f>
        <v/>
      </c>
      <c r="E18" s="4">
        <f>IF(COUNT(B18:D18)=0,"",AVERAGE(B18:D18))</f>
        <v/>
      </c>
      <c r="J18" s="6" t="inlineStr">
        <is>
          <t>单位 μm²·vessel⁻¹，不需要换算单位</t>
        </is>
      </c>
    </row>
    <row r="19">
      <c r="A19" s="4" t="n">
        <v>18</v>
      </c>
      <c r="B19" s="4">
        <f>IF(OR('导管总数量'!B19="",'导管总数量'!B19=0),"",('导管（腔）总面积'!B19)/'导管总数量'!B19)</f>
        <v/>
      </c>
      <c r="C19" s="4">
        <f>IF(OR('导管总数量'!C19="",'导管总数量'!C19=0),"",('导管（腔）总面积'!C19)/'导管总数量'!C19)</f>
        <v/>
      </c>
      <c r="D19" s="4">
        <f>IF(OR('导管总数量'!D19="",'导管总数量'!D19=0),"",('导管（腔）总面积'!D19)/'导管总数量'!D19)</f>
        <v/>
      </c>
      <c r="E19" s="4">
        <f>IF(COUNT(B19:D19)=0,"",AVERAGE(B19:D19))</f>
        <v/>
      </c>
    </row>
    <row r="20">
      <c r="A20" s="4" t="n">
        <v>19</v>
      </c>
      <c r="B20" s="4">
        <f>IF(OR('导管总数量'!B20="",'导管总数量'!B20=0),"",('导管（腔）总面积'!B20)/'导管总数量'!B20)</f>
        <v/>
      </c>
      <c r="C20" s="4">
        <f>IF(OR('导管总数量'!C20="",'导管总数量'!C20=0),"",('导管（腔）总面积'!C20)/'导管总数量'!C20)</f>
        <v/>
      </c>
      <c r="D20" s="4">
        <f>IF(OR('导管总数量'!D20="",'导管总数量'!D20=0),"",('导管（腔）总面积'!D20)/'导管总数量'!D20)</f>
        <v/>
      </c>
      <c r="E20" s="4">
        <f>IF(COUNT(B20:D20)=0,"",AVERAGE(B20:D20))</f>
        <v/>
      </c>
    </row>
    <row r="21">
      <c r="A21" s="4" t="n">
        <v>20</v>
      </c>
      <c r="B21" s="4">
        <f>IF(OR('导管总数量'!B21="",'导管总数量'!B21=0),"",('导管（腔）总面积'!B21)/'导管总数量'!B21)</f>
        <v/>
      </c>
      <c r="C21" s="4">
        <f>IF(OR('导管总数量'!C21="",'导管总数量'!C21=0),"",('导管（腔）总面积'!C21)/'导管总数量'!C21)</f>
        <v/>
      </c>
      <c r="D21" s="4">
        <f>IF(OR('导管总数量'!D21="",'导管总数量'!D21=0),"",('导管（腔）总面积'!D21)/'导管总数量'!D21)</f>
        <v/>
      </c>
      <c r="E21" s="4">
        <f>IF(COUNT(B21:D21)=0,"",AVERAGE(B21:D21))</f>
        <v/>
      </c>
    </row>
    <row r="22">
      <c r="A22" s="4" t="n">
        <v>21</v>
      </c>
      <c r="B22" s="4">
        <f>IF(OR('导管总数量'!B22="",'导管总数量'!B22=0),"",('导管（腔）总面积'!B22)/'导管总数量'!B22)</f>
        <v/>
      </c>
      <c r="C22" s="4">
        <f>IF(OR('导管总数量'!C22="",'导管总数量'!C22=0),"",('导管（腔）总面积'!C22)/'导管总数量'!C22)</f>
        <v/>
      </c>
      <c r="D22" s="4">
        <f>IF(OR('导管总数量'!D22="",'导管总数量'!D22=0),"",('导管（腔）总面积'!D22)/'导管总数量'!D22)</f>
        <v/>
      </c>
      <c r="E22" s="4">
        <f>IF(COUNT(B22:D22)=0,"",AVERAGE(B22:D22))</f>
        <v/>
      </c>
    </row>
    <row r="23">
      <c r="A23" s="4" t="n">
        <v>22</v>
      </c>
      <c r="B23" s="4">
        <f>IF(OR('导管总数量'!B23="",'导管总数量'!B23=0),"",('导管（腔）总面积'!B23)/'导管总数量'!B23)</f>
        <v/>
      </c>
      <c r="C23" s="4">
        <f>IF(OR('导管总数量'!C23="",'导管总数量'!C23=0),"",('导管（腔）总面积'!C23)/'导管总数量'!C23)</f>
        <v/>
      </c>
      <c r="D23" s="4">
        <f>IF(OR('导管总数量'!D23="",'导管总数量'!D23=0),"",('导管（腔）总面积'!D23)/'导管总数量'!D23)</f>
        <v/>
      </c>
      <c r="E23" s="4">
        <f>IF(COUNT(B23:D23)=0,"",AVERAGE(B23:D23))</f>
        <v/>
      </c>
    </row>
    <row r="24">
      <c r="A24" s="4" t="n">
        <v>23</v>
      </c>
      <c r="B24" s="4">
        <f>IF(OR('导管总数量'!B24="",'导管总数量'!B24=0),"",('导管（腔）总面积'!B24)/'导管总数量'!B24)</f>
        <v/>
      </c>
      <c r="C24" s="4">
        <f>IF(OR('导管总数量'!C24="",'导管总数量'!C24=0),"",('导管（腔）总面积'!C24)/'导管总数量'!C24)</f>
        <v/>
      </c>
      <c r="D24" s="4">
        <f>IF(OR('导管总数量'!D24="",'导管总数量'!D24=0),"",('导管（腔）总面积'!D24)/'导管总数量'!D24)</f>
        <v/>
      </c>
      <c r="E24" s="4">
        <f>IF(COUNT(B24:D24)=0,"",AVERAGE(B24:D24))</f>
        <v/>
      </c>
    </row>
    <row r="25">
      <c r="A25" s="4" t="n">
        <v>24</v>
      </c>
      <c r="B25" s="4">
        <f>IF(OR('导管总数量'!B25="",'导管总数量'!B25=0),"",('导管（腔）总面积'!B25)/'导管总数量'!B25)</f>
        <v/>
      </c>
      <c r="C25" s="4">
        <f>IF(OR('导管总数量'!C25="",'导管总数量'!C25=0),"",('导管（腔）总面积'!C25)/'导管总数量'!C25)</f>
        <v/>
      </c>
      <c r="D25" s="4">
        <f>IF(OR('导管总数量'!D25="",'导管总数量'!D25=0),"",('导管（腔）总面积'!D25)/'导管总数量'!D25)</f>
        <v/>
      </c>
      <c r="E25" s="4">
        <f>IF(COUNT(B25:D25)=0,"",AVERAGE(B25:D25))</f>
        <v/>
      </c>
    </row>
    <row r="26">
      <c r="A26" s="4" t="n">
        <v>25</v>
      </c>
      <c r="B26" s="4">
        <f>IF(OR('导管总数量'!B26="",'导管总数量'!B26=0),"",('导管（腔）总面积'!B26)/'导管总数量'!B26)</f>
        <v/>
      </c>
      <c r="C26" s="4">
        <f>IF(OR('导管总数量'!C26="",'导管总数量'!C26=0),"",('导管（腔）总面积'!C26)/'导管总数量'!C26)</f>
        <v/>
      </c>
      <c r="D26" s="4">
        <f>IF(OR('导管总数量'!D26="",'导管总数量'!D26=0),"",('导管（腔）总面积'!D26)/'导管总数量'!D26)</f>
        <v/>
      </c>
      <c r="E26" s="4">
        <f>IF(COUNT(B26:D26)=0,"",AVERAGE(B26:D26))</f>
        <v/>
      </c>
    </row>
    <row r="27">
      <c r="A27" s="4" t="n">
        <v>26</v>
      </c>
      <c r="B27" s="4">
        <f>IF(OR('导管总数量'!B27="",'导管总数量'!B27=0),"",('导管（腔）总面积'!B27)/'导管总数量'!B27)</f>
        <v/>
      </c>
      <c r="C27" s="4">
        <f>IF(OR('导管总数量'!C27="",'导管总数量'!C27=0),"",('导管（腔）总面积'!C27)/'导管总数量'!C27)</f>
        <v/>
      </c>
      <c r="D27" s="4">
        <f>IF(OR('导管总数量'!D27="",'导管总数量'!D27=0),"",('导管（腔）总面积'!D27)/'导管总数量'!D27)</f>
        <v/>
      </c>
      <c r="E27" s="4">
        <f>IF(COUNT(B27:D27)=0,"",AVERAGE(B27:D27))</f>
        <v/>
      </c>
    </row>
    <row r="28">
      <c r="A28" s="4" t="n">
        <v>27</v>
      </c>
      <c r="B28" s="4">
        <f>IF(OR('导管总数量'!B28="",'导管总数量'!B28=0),"",('导管（腔）总面积'!B28)/'导管总数量'!B28)</f>
        <v/>
      </c>
      <c r="C28" s="4">
        <f>IF(OR('导管总数量'!C28="",'导管总数量'!C28=0),"",('导管（腔）总面积'!C28)/'导管总数量'!C28)</f>
        <v/>
      </c>
      <c r="D28" s="4">
        <f>IF(OR('导管总数量'!D28="",'导管总数量'!D28=0),"",('导管（腔）总面积'!D28)/'导管总数量'!D28)</f>
        <v/>
      </c>
      <c r="E28" s="4">
        <f>IF(COUNT(B28:D28)=0,"",AVERAGE(B28:D28))</f>
        <v/>
      </c>
    </row>
    <row r="29">
      <c r="A29" s="4" t="n">
        <v>28</v>
      </c>
      <c r="B29" s="4">
        <f>IF(OR('导管总数量'!B29="",'导管总数量'!B29=0),"",('导管（腔）总面积'!B29)/'导管总数量'!B29)</f>
        <v/>
      </c>
      <c r="C29" s="4">
        <f>IF(OR('导管总数量'!C29="",'导管总数量'!C29=0),"",('导管（腔）总面积'!C29)/'导管总数量'!C29)</f>
        <v/>
      </c>
      <c r="D29" s="4">
        <f>IF(OR('导管总数量'!D29="",'导管总数量'!D29=0),"",('导管（腔）总面积'!D29)/'导管总数量'!D29)</f>
        <v/>
      </c>
      <c r="E29" s="4">
        <f>IF(COUNT(B29:D29)=0,"",AVERAGE(B29:D29))</f>
        <v/>
      </c>
    </row>
    <row r="30">
      <c r="A30" s="4" t="n">
        <v>29</v>
      </c>
      <c r="B30" s="4">
        <f>IF(OR('导管总数量'!B30="",'导管总数量'!B30=0),"",('导管（腔）总面积'!B30)/'导管总数量'!B30)</f>
        <v/>
      </c>
      <c r="C30" s="4">
        <f>IF(OR('导管总数量'!C30="",'导管总数量'!C30=0),"",('导管（腔）总面积'!C30)/'导管总数量'!C30)</f>
        <v/>
      </c>
      <c r="D30" s="4">
        <f>IF(OR('导管总数量'!D30="",'导管总数量'!D30=0),"",('导管（腔）总面积'!D30)/'导管总数量'!D30)</f>
        <v/>
      </c>
      <c r="E30" s="4">
        <f>IF(COUNT(B30:D30)=0,"",AVERAGE(B30:D30))</f>
        <v/>
      </c>
    </row>
    <row r="31">
      <c r="A31" s="4" t="n">
        <v>30</v>
      </c>
      <c r="B31" s="4">
        <f>IF(OR('导管总数量'!B31="",'导管总数量'!B31=0),"",('导管（腔）总面积'!B31)/'导管总数量'!B31)</f>
        <v/>
      </c>
      <c r="C31" s="4">
        <f>IF(OR('导管总数量'!C31="",'导管总数量'!C31=0),"",('导管（腔）总面积'!C31)/'导管总数量'!C31)</f>
        <v/>
      </c>
      <c r="D31" s="4">
        <f>IF(OR('导管总数量'!D31="",'导管总数量'!D31=0),"",('导管（腔）总面积'!D31)/'导管总数量'!D31)</f>
        <v/>
      </c>
      <c r="E31" s="4">
        <f>IF(COUNT(B31:D31)=0,"",AVERAGE(B31:D31))</f>
        <v/>
      </c>
    </row>
    <row r="32">
      <c r="A32" s="4" t="n">
        <v>31</v>
      </c>
      <c r="B32" s="4">
        <f>IF(OR('导管总数量'!B32="",'导管总数量'!B32=0),"",('导管（腔）总面积'!B32)/'导管总数量'!B32)</f>
        <v/>
      </c>
      <c r="C32" s="4">
        <f>IF(OR('导管总数量'!C32="",'导管总数量'!C32=0),"",('导管（腔）总面积'!C32)/'导管总数量'!C32)</f>
        <v/>
      </c>
      <c r="D32" s="4">
        <f>IF(OR('导管总数量'!D32="",'导管总数量'!D32=0),"",('导管（腔）总面积'!D32)/'导管总数量'!D32)</f>
        <v/>
      </c>
      <c r="E32" s="4">
        <f>IF(COUNT(B32:D32)=0,"",AVERAGE(B32:D32))</f>
        <v/>
      </c>
    </row>
    <row r="33">
      <c r="A33" s="4" t="n">
        <v>32</v>
      </c>
      <c r="B33" s="4">
        <f>IF(OR('导管总数量'!B33="",'导管总数量'!B33=0),"",('导管（腔）总面积'!B33)/'导管总数量'!B33)</f>
        <v/>
      </c>
      <c r="C33" s="4">
        <f>IF(OR('导管总数量'!C33="",'导管总数量'!C33=0),"",('导管（腔）总面积'!C33)/'导管总数量'!C33)</f>
        <v/>
      </c>
      <c r="D33" s="4">
        <f>IF(OR('导管总数量'!D33="",'导管总数量'!D33=0),"",('导管（腔）总面积'!D33)/'导管总数量'!D33)</f>
        <v/>
      </c>
      <c r="E33" s="4">
        <f>IF(COUNT(B33:D33)=0,"",AVERAGE(B33:D33))</f>
        <v/>
      </c>
    </row>
    <row r="34">
      <c r="A34" s="4" t="n">
        <v>33</v>
      </c>
      <c r="B34" s="4">
        <f>IF(OR('导管总数量'!B34="",'导管总数量'!B34=0),"",('导管（腔）总面积'!B34)/'导管总数量'!B34)</f>
        <v/>
      </c>
      <c r="C34" s="4">
        <f>IF(OR('导管总数量'!C34="",'导管总数量'!C34=0),"",('导管（腔）总面积'!C34)/'导管总数量'!C34)</f>
        <v/>
      </c>
      <c r="D34" s="4">
        <f>IF(OR('导管总数量'!D34="",'导管总数量'!D34=0),"",('导管（腔）总面积'!D34)/'导管总数量'!D34)</f>
        <v/>
      </c>
      <c r="E34" s="4">
        <f>IF(COUNT(B34:D34)=0,"",AVERAGE(B34:D34))</f>
        <v/>
      </c>
    </row>
    <row r="35">
      <c r="A35" s="4" t="n">
        <v>34</v>
      </c>
      <c r="B35" s="4">
        <f>IF(OR('导管总数量'!B35="",'导管总数量'!B35=0),"",('导管（腔）总面积'!B35)/'导管总数量'!B35)</f>
        <v/>
      </c>
      <c r="C35" s="4">
        <f>IF(OR('导管总数量'!C35="",'导管总数量'!C35=0),"",('导管（腔）总面积'!C35)/'导管总数量'!C35)</f>
        <v/>
      </c>
      <c r="D35" s="4">
        <f>IF(OR('导管总数量'!D35="",'导管总数量'!D35=0),"",('导管（腔）总面积'!D35)/'导管总数量'!D35)</f>
        <v/>
      </c>
      <c r="E35" s="4">
        <f>IF(COUNT(B35:D35)=0,"",AVERAGE(B35:D35))</f>
        <v/>
      </c>
    </row>
    <row r="36">
      <c r="A36" s="4" t="n">
        <v>35</v>
      </c>
      <c r="B36" s="4">
        <f>IF(OR('导管总数量'!B36="",'导管总数量'!B36=0),"",('导管（腔）总面积'!B36)/'导管总数量'!B36)</f>
        <v/>
      </c>
      <c r="C36" s="4">
        <f>IF(OR('导管总数量'!C36="",'导管总数量'!C36=0),"",('导管（腔）总面积'!C36)/'导管总数量'!C36)</f>
        <v/>
      </c>
      <c r="D36" s="4">
        <f>IF(OR('导管总数量'!D36="",'导管总数量'!D36=0),"",('导管（腔）总面积'!D36)/'导管总数量'!D36)</f>
        <v/>
      </c>
      <c r="E36" s="4">
        <f>IF(COUNT(B36:D36)=0,"",AVERAGE(B36:D36))</f>
        <v/>
      </c>
    </row>
    <row r="37">
      <c r="A37" s="4" t="n">
        <v>36</v>
      </c>
      <c r="B37" s="4">
        <f>IF(OR('导管总数量'!B37="",'导管总数量'!B37=0),"",('导管（腔）总面积'!B37)/'导管总数量'!B37)</f>
        <v/>
      </c>
      <c r="C37" s="4">
        <f>IF(OR('导管总数量'!C37="",'导管总数量'!C37=0),"",('导管（腔）总面积'!C37)/'导管总数量'!C37)</f>
        <v/>
      </c>
      <c r="D37" s="4">
        <f>IF(OR('导管总数量'!D37="",'导管总数量'!D37=0),"",('导管（腔）总面积'!D37)/'导管总数量'!D37)</f>
        <v/>
      </c>
      <c r="E37" s="4">
        <f>IF(COUNT(B37:D37)=0,"",AVERAGE(B37:D37))</f>
        <v/>
      </c>
    </row>
    <row r="38">
      <c r="A38" s="4" t="n">
        <v>37</v>
      </c>
      <c r="B38" s="4">
        <f>IF(OR('导管总数量'!B38="",'导管总数量'!B38=0),"",('导管（腔）总面积'!B38)/'导管总数量'!B38)</f>
        <v/>
      </c>
      <c r="C38" s="4">
        <f>IF(OR('导管总数量'!C38="",'导管总数量'!C38=0),"",('导管（腔）总面积'!C38)/'导管总数量'!C38)</f>
        <v/>
      </c>
      <c r="D38" s="4">
        <f>IF(OR('导管总数量'!D38="",'导管总数量'!D38=0),"",('导管（腔）总面积'!D38)/'导管总数量'!D38)</f>
        <v/>
      </c>
      <c r="E38" s="4">
        <f>IF(COUNT(B38:D38)=0,"",AVERAGE(B38:D38))</f>
        <v/>
      </c>
    </row>
    <row r="39">
      <c r="A39" s="4" t="n">
        <v>38</v>
      </c>
      <c r="B39" s="4">
        <f>IF(OR('导管总数量'!B39="",'导管总数量'!B39=0),"",('导管（腔）总面积'!B39)/'导管总数量'!B39)</f>
        <v/>
      </c>
      <c r="C39" s="4">
        <f>IF(OR('导管总数量'!C39="",'导管总数量'!C39=0),"",('导管（腔）总面积'!C39)/'导管总数量'!C39)</f>
        <v/>
      </c>
      <c r="D39" s="4">
        <f>IF(OR('导管总数量'!D39="",'导管总数量'!D39=0),"",('导管（腔）总面积'!D39)/'导管总数量'!D39)</f>
        <v/>
      </c>
      <c r="E39" s="4">
        <f>IF(COUNT(B39:D39)=0,"",AVERAGE(B39:D39))</f>
        <v/>
      </c>
    </row>
    <row r="40">
      <c r="A40" s="4" t="n">
        <v>39</v>
      </c>
      <c r="B40" s="4">
        <f>IF(OR('导管总数量'!B40="",'导管总数量'!B40=0),"",('导管（腔）总面积'!B40)/'导管总数量'!B40)</f>
        <v/>
      </c>
      <c r="C40" s="4">
        <f>IF(OR('导管总数量'!C40="",'导管总数量'!C40=0),"",('导管（腔）总面积'!C40)/'导管总数量'!C40)</f>
        <v/>
      </c>
      <c r="D40" s="4">
        <f>IF(OR('导管总数量'!D40="",'导管总数量'!D40=0),"",('导管（腔）总面积'!D40)/'导管总数量'!D40)</f>
        <v/>
      </c>
      <c r="E40" s="4">
        <f>IF(COUNT(B40:D40)=0,"",AVERAGE(B40:D40))</f>
        <v/>
      </c>
    </row>
    <row r="41">
      <c r="A41" s="4" t="n">
        <v>40</v>
      </c>
      <c r="B41" s="4">
        <f>IF(OR('导管总数量'!B41="",'导管总数量'!B41=0),"",('导管（腔）总面积'!B41)/'导管总数量'!B41)</f>
        <v/>
      </c>
      <c r="C41" s="4">
        <f>IF(OR('导管总数量'!C41="",'导管总数量'!C41=0),"",('导管（腔）总面积'!C41)/'导管总数量'!C41)</f>
        <v/>
      </c>
      <c r="D41" s="4">
        <f>IF(OR('导管总数量'!D41="",'导管总数量'!D41=0),"",('导管（腔）总面积'!D41)/'导管总数量'!D41)</f>
        <v/>
      </c>
      <c r="E41" s="4">
        <f>IF(COUNT(B41:D41)=0,"",AVERAGE(B41:D41))</f>
        <v/>
      </c>
    </row>
    <row r="42">
      <c r="A42" s="4" t="n">
        <v>41</v>
      </c>
      <c r="B42" s="4">
        <f>IF(OR('导管总数量'!B42="",'导管总数量'!B42=0),"",('导管（腔）总面积'!B42)/'导管总数量'!B42)</f>
        <v/>
      </c>
      <c r="C42" s="4">
        <f>IF(OR('导管总数量'!C42="",'导管总数量'!C42=0),"",('导管（腔）总面积'!C42)/'导管总数量'!C42)</f>
        <v/>
      </c>
      <c r="D42" s="4">
        <f>IF(OR('导管总数量'!D42="",'导管总数量'!D42=0),"",('导管（腔）总面积'!D42)/'导管总数量'!D42)</f>
        <v/>
      </c>
      <c r="E42" s="4">
        <f>IF(COUNT(B42:D42)=0,"",AVERAGE(B42:D42))</f>
        <v/>
      </c>
    </row>
    <row r="43">
      <c r="A43" s="4" t="n">
        <v>42</v>
      </c>
      <c r="B43" s="4">
        <f>IF(OR('导管总数量'!B43="",'导管总数量'!B43=0),"",('导管（腔）总面积'!B43)/'导管总数量'!B43)</f>
        <v/>
      </c>
      <c r="C43" s="4">
        <f>IF(OR('导管总数量'!C43="",'导管总数量'!C43=0),"",('导管（腔）总面积'!C43)/'导管总数量'!C43)</f>
        <v/>
      </c>
      <c r="D43" s="4">
        <f>IF(OR('导管总数量'!D43="",'导管总数量'!D43=0),"",('导管（腔）总面积'!D43)/'导管总数量'!D43)</f>
        <v/>
      </c>
      <c r="E43" s="4">
        <f>IF(COUNT(B43:D43)=0,"",AVERAGE(B43:D43))</f>
        <v/>
      </c>
    </row>
    <row r="44">
      <c r="A44" s="4" t="n">
        <v>43</v>
      </c>
      <c r="B44" s="4">
        <f>IF(OR('导管总数量'!B44="",'导管总数量'!B44=0),"",('导管（腔）总面积'!B44)/'导管总数量'!B44)</f>
        <v/>
      </c>
      <c r="C44" s="4">
        <f>IF(OR('导管总数量'!C44="",'导管总数量'!C44=0),"",('导管（腔）总面积'!C44)/'导管总数量'!C44)</f>
        <v/>
      </c>
      <c r="D44" s="4">
        <f>IF(OR('导管总数量'!D44="",'导管总数量'!D44=0),"",('导管（腔）总面积'!D44)/'导管总数量'!D44)</f>
        <v/>
      </c>
      <c r="E44" s="4">
        <f>IF(COUNT(B44:D44)=0,"",AVERAGE(B44:D44))</f>
        <v/>
      </c>
    </row>
    <row r="45">
      <c r="A45" s="4" t="n">
        <v>44</v>
      </c>
      <c r="B45" s="4">
        <f>IF(OR('导管总数量'!B45="",'导管总数量'!B45=0),"",('导管（腔）总面积'!B45)/'导管总数量'!B45)</f>
        <v/>
      </c>
      <c r="C45" s="4">
        <f>IF(OR('导管总数量'!C45="",'导管总数量'!C45=0),"",('导管（腔）总面积'!C45)/'导管总数量'!C45)</f>
        <v/>
      </c>
      <c r="D45" s="4">
        <f>IF(OR('导管总数量'!D45="",'导管总数量'!D45=0),"",('导管（腔）总面积'!D45)/'导管总数量'!D45)</f>
        <v/>
      </c>
      <c r="E45" s="4">
        <f>IF(COUNT(B45:D45)=0,"",AVERAGE(B45:D45))</f>
        <v/>
      </c>
    </row>
    <row r="46">
      <c r="A46" s="4" t="n">
        <v>45</v>
      </c>
      <c r="B46" s="4">
        <f>IF(OR('导管总数量'!B46="",'导管总数量'!B46=0),"",('导管（腔）总面积'!B46)/'导管总数量'!B46)</f>
        <v/>
      </c>
      <c r="C46" s="4">
        <f>IF(OR('导管总数量'!C46="",'导管总数量'!C46=0),"",('导管（腔）总面积'!C46)/'导管总数量'!C46)</f>
        <v/>
      </c>
      <c r="D46" s="4">
        <f>IF(OR('导管总数量'!D46="",'导管总数量'!D46=0),"",('导管（腔）总面积'!D46)/'导管总数量'!D46)</f>
        <v/>
      </c>
      <c r="E46" s="4">
        <f>IF(COUNT(B46:D46)=0,"",AVERAGE(B46:D46))</f>
        <v/>
      </c>
    </row>
    <row r="47">
      <c r="A47" s="4" t="n">
        <v>46</v>
      </c>
      <c r="B47" s="4">
        <f>IF(OR('导管总数量'!B47="",'导管总数量'!B47=0),"",('导管（腔）总面积'!B47)/'导管总数量'!B47)</f>
        <v/>
      </c>
      <c r="C47" s="4">
        <f>IF(OR('导管总数量'!C47="",'导管总数量'!C47=0),"",('导管（腔）总面积'!C47)/'导管总数量'!C47)</f>
        <v/>
      </c>
      <c r="D47" s="4">
        <f>IF(OR('导管总数量'!D47="",'导管总数量'!D47=0),"",('导管（腔）总面积'!D47)/'导管总数量'!D47)</f>
        <v/>
      </c>
      <c r="E47" s="4">
        <f>IF(COUNT(B47:D47)=0,"",AVERAGE(B47:D47))</f>
        <v/>
      </c>
    </row>
    <row r="48">
      <c r="A48" s="4" t="n">
        <v>47</v>
      </c>
      <c r="B48" s="4">
        <f>IF(OR('导管总数量'!B48="",'导管总数量'!B48=0),"",('导管（腔）总面积'!B48)/'导管总数量'!B48)</f>
        <v/>
      </c>
      <c r="C48" s="4">
        <f>IF(OR('导管总数量'!C48="",'导管总数量'!C48=0),"",('导管（腔）总面积'!C48)/'导管总数量'!C48)</f>
        <v/>
      </c>
      <c r="D48" s="4">
        <f>IF(OR('导管总数量'!D48="",'导管总数量'!D48=0),"",('导管（腔）总面积'!D48)/'导管总数量'!D48)</f>
        <v/>
      </c>
      <c r="E48" s="4">
        <f>IF(COUNT(B48:D48)=0,"",AVERAGE(B48:D48))</f>
        <v/>
      </c>
    </row>
    <row r="49">
      <c r="A49" s="4" t="n">
        <v>48</v>
      </c>
      <c r="B49" s="4">
        <f>IF(OR('导管总数量'!B49="",'导管总数量'!B49=0),"",('导管（腔）总面积'!B49)/'导管总数量'!B49)</f>
        <v/>
      </c>
      <c r="C49" s="4">
        <f>IF(OR('导管总数量'!C49="",'导管总数量'!C49=0),"",('导管（腔）总面积'!C49)/'导管总数量'!C49)</f>
        <v/>
      </c>
      <c r="D49" s="4">
        <f>IF(OR('导管总数量'!D49="",'导管总数量'!D49=0),"",('导管（腔）总面积'!D49)/'导管总数量'!D49)</f>
        <v/>
      </c>
      <c r="E49" s="4">
        <f>IF(COUNT(B49:D49)=0,"",AVERAGE(B49:D49))</f>
        <v/>
      </c>
    </row>
    <row r="50">
      <c r="A50" s="4" t="n">
        <v>49</v>
      </c>
      <c r="B50" s="4">
        <f>IF(OR('导管总数量'!B50="",'导管总数量'!B50=0),"",('导管（腔）总面积'!B50)/'导管总数量'!B50)</f>
        <v/>
      </c>
      <c r="C50" s="4">
        <f>IF(OR('导管总数量'!C50="",'导管总数量'!C50=0),"",('导管（腔）总面积'!C50)/'导管总数量'!C50)</f>
        <v/>
      </c>
      <c r="D50" s="4">
        <f>IF(OR('导管总数量'!D50="",'导管总数量'!D50=0),"",('导管（腔）总面积'!D50)/'导管总数量'!D50)</f>
        <v/>
      </c>
      <c r="E50" s="4">
        <f>IF(COUNT(B50:D50)=0,"",AVERAGE(B50:D50))</f>
        <v/>
      </c>
    </row>
    <row r="51">
      <c r="A51" s="4" t="n">
        <v>50</v>
      </c>
      <c r="B51" s="4">
        <f>IF(OR('导管总数量'!B51="",'导管总数量'!B51=0),"",('导管（腔）总面积'!B51)/'导管总数量'!B51)</f>
        <v/>
      </c>
      <c r="C51" s="4">
        <f>IF(OR('导管总数量'!C51="",'导管总数量'!C51=0),"",('导管（腔）总面积'!C51)/'导管总数量'!C51)</f>
        <v/>
      </c>
      <c r="D51" s="4">
        <f>IF(OR('导管总数量'!D51="",'导管总数量'!D51=0),"",('导管（腔）总面积'!D51)/'导管总数量'!D51)</f>
        <v/>
      </c>
      <c r="E51" s="4">
        <f>IF(COUNT(B51:D51)=0,"",AVERAGE(B51:D51))</f>
        <v/>
      </c>
    </row>
    <row r="52">
      <c r="A52" s="4" t="n">
        <v>51</v>
      </c>
      <c r="B52" s="4">
        <f>IF(OR('导管总数量'!B52="",'导管总数量'!B52=0),"",('导管（腔）总面积'!B52)/'导管总数量'!B52)</f>
        <v/>
      </c>
      <c r="C52" s="4">
        <f>IF(OR('导管总数量'!C52="",'导管总数量'!C52=0),"",('导管（腔）总面积'!C52)/'导管总数量'!C52)</f>
        <v/>
      </c>
      <c r="D52" s="4">
        <f>IF(OR('导管总数量'!D52="",'导管总数量'!D52=0),"",('导管（腔）总面积'!D52)/'导管总数量'!D52)</f>
        <v/>
      </c>
      <c r="E52" s="4">
        <f>IF(COUNT(B52:D52)=0,"",AVERAGE(B52:D52))</f>
        <v/>
      </c>
    </row>
    <row r="53">
      <c r="A53" s="4" t="n">
        <v>52</v>
      </c>
      <c r="B53" s="4">
        <f>IF(OR('导管总数量'!B53="",'导管总数量'!B53=0),"",('导管（腔）总面积'!B53)/'导管总数量'!B53)</f>
        <v/>
      </c>
      <c r="C53" s="4">
        <f>IF(OR('导管总数量'!C53="",'导管总数量'!C53=0),"",('导管（腔）总面积'!C53)/'导管总数量'!C53)</f>
        <v/>
      </c>
      <c r="D53" s="4">
        <f>IF(OR('导管总数量'!D53="",'导管总数量'!D53=0),"",('导管（腔）总面积'!D53)/'导管总数量'!D53)</f>
        <v/>
      </c>
      <c r="E53" s="4">
        <f>IF(COUNT(B53:D53)=0,"",AVERAGE(B53:D53))</f>
        <v/>
      </c>
    </row>
    <row r="54">
      <c r="A54" s="4" t="n">
        <v>53</v>
      </c>
      <c r="B54" s="4">
        <f>IF(OR('导管总数量'!B54="",'导管总数量'!B54=0),"",('导管（腔）总面积'!B54)/'导管总数量'!B54)</f>
        <v/>
      </c>
      <c r="C54" s="4">
        <f>IF(OR('导管总数量'!C54="",'导管总数量'!C54=0),"",('导管（腔）总面积'!C54)/'导管总数量'!C54)</f>
        <v/>
      </c>
      <c r="D54" s="4">
        <f>IF(OR('导管总数量'!D54="",'导管总数量'!D54=0),"",('导管（腔）总面积'!D54)/'导管总数量'!D54)</f>
        <v/>
      </c>
      <c r="E54" s="4">
        <f>IF(COUNT(B54:D54)=0,"",AVERAGE(B54:D54))</f>
        <v/>
      </c>
    </row>
    <row r="55">
      <c r="A55" s="4" t="n">
        <v>54</v>
      </c>
      <c r="B55" s="4">
        <f>IF(OR('导管总数量'!B55="",'导管总数量'!B55=0),"",('导管（腔）总面积'!B55)/'导管总数量'!B55)</f>
        <v/>
      </c>
      <c r="C55" s="4">
        <f>IF(OR('导管总数量'!C55="",'导管总数量'!C55=0),"",('导管（腔）总面积'!C55)/'导管总数量'!C55)</f>
        <v/>
      </c>
      <c r="D55" s="4">
        <f>IF(OR('导管总数量'!D55="",'导管总数量'!D55=0),"",('导管（腔）总面积'!D55)/'导管总数量'!D55)</f>
        <v/>
      </c>
      <c r="E55" s="4">
        <f>IF(COUNT(B55:D55)=0,"",AVERAGE(B55:D55))</f>
        <v/>
      </c>
    </row>
    <row r="56">
      <c r="A56" s="4" t="n">
        <v>55</v>
      </c>
      <c r="B56" s="4">
        <f>IF(OR('导管总数量'!B56="",'导管总数量'!B56=0),"",('导管（腔）总面积'!B56)/'导管总数量'!B56)</f>
        <v/>
      </c>
      <c r="C56" s="4">
        <f>IF(OR('导管总数量'!C56="",'导管总数量'!C56=0),"",('导管（腔）总面积'!C56)/'导管总数量'!C56)</f>
        <v/>
      </c>
      <c r="D56" s="4">
        <f>IF(OR('导管总数量'!D56="",'导管总数量'!D56=0),"",('导管（腔）总面积'!D56)/'导管总数量'!D56)</f>
        <v/>
      </c>
      <c r="E56" s="4">
        <f>IF(COUNT(B56:D56)=0,"",AVERAGE(B56:D56))</f>
        <v/>
      </c>
    </row>
    <row r="57">
      <c r="A57" s="4" t="n">
        <v>56</v>
      </c>
      <c r="B57" s="4">
        <f>IF(OR('导管总数量'!B57="",'导管总数量'!B57=0),"",('导管（腔）总面积'!B57)/'导管总数量'!B57)</f>
        <v/>
      </c>
      <c r="C57" s="4">
        <f>IF(OR('导管总数量'!C57="",'导管总数量'!C57=0),"",('导管（腔）总面积'!C57)/'导管总数量'!C57)</f>
        <v/>
      </c>
      <c r="D57" s="4">
        <f>IF(OR('导管总数量'!D57="",'导管总数量'!D57=0),"",('导管（腔）总面积'!D57)/'导管总数量'!D57)</f>
        <v/>
      </c>
      <c r="E57" s="4">
        <f>IF(COUNT(B57:D57)=0,"",AVERAGE(B57:D57))</f>
        <v/>
      </c>
    </row>
    <row r="58">
      <c r="A58" s="4" t="n">
        <v>57</v>
      </c>
      <c r="B58" s="4">
        <f>IF(OR('导管总数量'!B58="",'导管总数量'!B58=0),"",('导管（腔）总面积'!B58)/'导管总数量'!B58)</f>
        <v/>
      </c>
      <c r="C58" s="4">
        <f>IF(OR('导管总数量'!C58="",'导管总数量'!C58=0),"",('导管（腔）总面积'!C58)/'导管总数量'!C58)</f>
        <v/>
      </c>
      <c r="D58" s="4">
        <f>IF(OR('导管总数量'!D58="",'导管总数量'!D58=0),"",('导管（腔）总面积'!D58)/'导管总数量'!D58)</f>
        <v/>
      </c>
      <c r="E58" s="4">
        <f>IF(COUNT(B58:D58)=0,"",AVERAGE(B58:D58))</f>
        <v/>
      </c>
    </row>
    <row r="59">
      <c r="A59" s="4" t="n">
        <v>58</v>
      </c>
      <c r="B59" s="4">
        <f>IF(OR('导管总数量'!B59="",'导管总数量'!B59=0),"",('导管（腔）总面积'!B59)/'导管总数量'!B59)</f>
        <v/>
      </c>
      <c r="C59" s="4">
        <f>IF(OR('导管总数量'!C59="",'导管总数量'!C59=0),"",('导管（腔）总面积'!C59)/'导管总数量'!C59)</f>
        <v/>
      </c>
      <c r="D59" s="4">
        <f>IF(OR('导管总数量'!D59="",'导管总数量'!D59=0),"",('导管（腔）总面积'!D59)/'导管总数量'!D59)</f>
        <v/>
      </c>
      <c r="E59" s="4">
        <f>IF(COUNT(B59:D59)=0,"",AVERAGE(B59:D59))</f>
        <v/>
      </c>
    </row>
    <row r="60">
      <c r="A60" s="4" t="n">
        <v>59</v>
      </c>
      <c r="B60" s="4">
        <f>IF(OR('导管总数量'!B60="",'导管总数量'!B60=0),"",('导管（腔）总面积'!B60)/'导管总数量'!B60)</f>
        <v/>
      </c>
      <c r="C60" s="4">
        <f>IF(OR('导管总数量'!C60="",'导管总数量'!C60=0),"",('导管（腔）总面积'!C60)/'导管总数量'!C60)</f>
        <v/>
      </c>
      <c r="D60" s="4">
        <f>IF(OR('导管总数量'!D60="",'导管总数量'!D60=0),"",('导管（腔）总面积'!D60)/'导管总数量'!D60)</f>
        <v/>
      </c>
      <c r="E60" s="4">
        <f>IF(COUNT(B60:D60)=0,"",AVERAGE(B60:D60))</f>
        <v/>
      </c>
    </row>
    <row r="61">
      <c r="A61" s="4" t="n">
        <v>60</v>
      </c>
      <c r="B61" s="4">
        <f>IF(OR('导管总数量'!B61="",'导管总数量'!B61=0),"",('导管（腔）总面积'!B61)/'导管总数量'!B61)</f>
        <v/>
      </c>
      <c r="C61" s="4">
        <f>IF(OR('导管总数量'!C61="",'导管总数量'!C61=0),"",('导管（腔）总面积'!C61)/'导管总数量'!C61)</f>
        <v/>
      </c>
      <c r="D61" s="4">
        <f>IF(OR('导管总数量'!D61="",'导管总数量'!D61=0),"",('导管（腔）总面积'!D61)/'导管总数量'!D61)</f>
        <v/>
      </c>
      <c r="E61" s="4">
        <f>IF(COUNT(B61:D61)=0,"",AVERAGE(B61:D61))</f>
        <v/>
      </c>
    </row>
    <row r="62">
      <c r="A62" s="4" t="n">
        <v>61</v>
      </c>
      <c r="B62" s="4">
        <f>IF(OR('导管总数量'!B62="",'导管总数量'!B62=0),"",('导管（腔）总面积'!B62)/'导管总数量'!B62)</f>
        <v/>
      </c>
      <c r="C62" s="4">
        <f>IF(OR('导管总数量'!C62="",'导管总数量'!C62=0),"",('导管（腔）总面积'!C62)/'导管总数量'!C62)</f>
        <v/>
      </c>
      <c r="D62" s="4">
        <f>IF(OR('导管总数量'!D62="",'导管总数量'!D62=0),"",('导管（腔）总面积'!D62)/'导管总数量'!D62)</f>
        <v/>
      </c>
      <c r="E62" s="4">
        <f>IF(COUNT(B62:D62)=0,"",AVERAGE(B62:D62))</f>
        <v/>
      </c>
    </row>
    <row r="63">
      <c r="A63" s="4" t="n">
        <v>62</v>
      </c>
      <c r="B63" s="4">
        <f>IF(OR('导管总数量'!B63="",'导管总数量'!B63=0),"",('导管（腔）总面积'!B63)/'导管总数量'!B63)</f>
        <v/>
      </c>
      <c r="C63" s="4">
        <f>IF(OR('导管总数量'!C63="",'导管总数量'!C63=0),"",('导管（腔）总面积'!C63)/'导管总数量'!C63)</f>
        <v/>
      </c>
      <c r="D63" s="4">
        <f>IF(OR('导管总数量'!D63="",'导管总数量'!D63=0),"",('导管（腔）总面积'!D63)/'导管总数量'!D63)</f>
        <v/>
      </c>
      <c r="E63" s="4">
        <f>IF(COUNT(B63:D63)=0,"",AVERAGE(B63:D63))</f>
        <v/>
      </c>
    </row>
    <row r="64">
      <c r="A64" s="4" t="n">
        <v>63</v>
      </c>
      <c r="B64" s="4">
        <f>IF(OR('导管总数量'!B64="",'导管总数量'!B64=0),"",('导管（腔）总面积'!B64)/'导管总数量'!B64)</f>
        <v/>
      </c>
      <c r="C64" s="4">
        <f>IF(OR('导管总数量'!C64="",'导管总数量'!C64=0),"",('导管（腔）总面积'!C64)/'导管总数量'!C64)</f>
        <v/>
      </c>
      <c r="D64" s="4">
        <f>IF(OR('导管总数量'!D64="",'导管总数量'!D64=0),"",('导管（腔）总面积'!D64)/'导管总数量'!D64)</f>
        <v/>
      </c>
      <c r="E64" s="4">
        <f>IF(COUNT(B64:D64)=0,"",AVERAGE(B64:D64))</f>
        <v/>
      </c>
    </row>
  </sheetData>
  <mergeCells count="2">
    <mergeCell ref="J18:N20"/>
    <mergeCell ref="J7:N16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K22" sqref="K22"/>
    </sheetView>
  </sheetViews>
  <sheetFormatPr baseColWidth="8" defaultColWidth="9" defaultRowHeight="13.5" outlineLevelCol="0"/>
  <cols>
    <col width="9" customWidth="1" style="6" min="1" max="1"/>
    <col width="24.75" customWidth="1" style="6" min="2" max="2"/>
    <col width="24.25" customWidth="1" style="6" min="3" max="3"/>
    <col width="24.875" customWidth="1" style="6" min="4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导管腔面积占木质部比例1</t>
        </is>
      </c>
      <c r="C1" s="4" t="inlineStr">
        <is>
          <t>导管腔面积占木质部比例2</t>
        </is>
      </c>
      <c r="D1" s="4" t="inlineStr">
        <is>
          <t>导管腔面积占木质部比例3</t>
        </is>
      </c>
      <c r="E1" s="4" t="inlineStr">
        <is>
          <t>平均</t>
        </is>
      </c>
    </row>
    <row r="2">
      <c r="A2" s="4" t="n">
        <v>1</v>
      </c>
      <c r="B2" s="4">
        <f>IF(OR('局部木质部面积'!B2="",'局部木质部面积'!B2=0),"",('导管（腔）总面积'!B2)/'局部木质部面积'!B2)</f>
        <v/>
      </c>
      <c r="C2" s="4">
        <f>IF(OR('局部木质部面积'!C2="",'局部木质部面积'!C2=0),"",('导管（腔）总面积'!C2)/'局部木质部面积'!C2)</f>
        <v/>
      </c>
      <c r="D2" s="4">
        <f>IF(OR('局部木质部面积'!D2="",'局部木质部面积'!D2=0),"",('导管（腔）总面积'!D2)/'局部木质部面积'!D2)</f>
        <v/>
      </c>
      <c r="E2" s="4">
        <f>IF(COUNT(B2:D2)=0,"",AVERAGE(B2:D2))</f>
        <v/>
      </c>
    </row>
    <row r="3">
      <c r="A3" s="4" t="n">
        <v>2</v>
      </c>
      <c r="B3" s="4">
        <f>IF(OR('局部木质部面积'!B3="",'局部木质部面积'!B3=0),"",('导管（腔）总面积'!B3)/'局部木质部面积'!B3)</f>
        <v/>
      </c>
      <c r="C3" s="4">
        <f>IF(OR('局部木质部面积'!C3="",'局部木质部面积'!C3=0),"",('导管（腔）总面积'!C3)/'局部木质部面积'!C3)</f>
        <v/>
      </c>
      <c r="D3" s="4">
        <f>IF(OR('局部木质部面积'!D3="",'局部木质部面积'!D3=0),"",('导管（腔）总面积'!D3)/'局部木质部面积'!D3)</f>
        <v/>
      </c>
      <c r="E3" s="4">
        <f>IF(COUNT(B3:D3)=0,"",AVERAGE(B3:D3))</f>
        <v/>
      </c>
    </row>
    <row r="4">
      <c r="A4" s="4" t="n">
        <v>3</v>
      </c>
      <c r="B4" s="4">
        <f>IF(OR('局部木质部面积'!B4="",'局部木质部面积'!B4=0),"",('导管（腔）总面积'!B4)/'局部木质部面积'!B4)</f>
        <v/>
      </c>
      <c r="C4" s="4">
        <f>IF(OR('局部木质部面积'!C4="",'局部木质部面积'!C4=0),"",('导管（腔）总面积'!C4)/'局部木质部面积'!C4)</f>
        <v/>
      </c>
      <c r="D4" s="4">
        <f>IF(OR('局部木质部面积'!D4="",'局部木质部面积'!D4=0),"",('导管（腔）总面积'!D4)/'局部木质部面积'!D4)</f>
        <v/>
      </c>
      <c r="E4" s="4">
        <f>IF(COUNT(B4:D4)=0,"",AVERAGE(B4:D4))</f>
        <v/>
      </c>
    </row>
    <row r="5">
      <c r="A5" s="4" t="n">
        <v>4</v>
      </c>
      <c r="B5" s="4">
        <f>IF(OR('局部木质部面积'!B5="",'局部木质部面积'!B5=0),"",('导管（腔）总面积'!B5)/'局部木质部面积'!B5)</f>
        <v/>
      </c>
      <c r="C5" s="4">
        <f>IF(OR('局部木质部面积'!C5="",'局部木质部面积'!C5=0),"",('导管（腔）总面积'!C5)/'局部木质部面积'!C5)</f>
        <v/>
      </c>
      <c r="D5" s="4">
        <f>IF(OR('局部木质部面积'!D5="",'局部木质部面积'!D5=0),"",('导管（腔）总面积'!D5)/'局部木质部面积'!D5)</f>
        <v/>
      </c>
      <c r="E5" s="4">
        <f>IF(COUNT(B5:D5)=0,"",AVERAGE(B5:D5))</f>
        <v/>
      </c>
    </row>
    <row r="6">
      <c r="A6" s="4" t="n">
        <v>5</v>
      </c>
      <c r="B6" s="4">
        <f>IF(OR('局部木质部面积'!B6="",'局部木质部面积'!B6=0),"",('导管（腔）总面积'!B6)/'局部木质部面积'!B6)</f>
        <v/>
      </c>
      <c r="C6" s="4">
        <f>IF(OR('局部木质部面积'!C6="",'局部木质部面积'!C6=0),"",('导管（腔）总面积'!C6)/'局部木质部面积'!C6)</f>
        <v/>
      </c>
      <c r="D6" s="4">
        <f>IF(OR('局部木质部面积'!D6="",'局部木质部面积'!D6=0),"",('导管（腔）总面积'!D6)/'局部木质部面积'!D6)</f>
        <v/>
      </c>
      <c r="E6" s="4">
        <f>IF(COUNT(B6:D6)=0,"",AVERAGE(B6:D6))</f>
        <v/>
      </c>
    </row>
    <row r="7">
      <c r="A7" s="4" t="n">
        <v>6</v>
      </c>
      <c r="B7" s="4">
        <f>IF(OR('局部木质部面积'!B7="",'局部木质部面积'!B7=0),"",('导管（腔）总面积'!B7)/'局部木质部面积'!B7)</f>
        <v/>
      </c>
      <c r="C7" s="4">
        <f>IF(OR('局部木质部面积'!C7="",'局部木质部面积'!C7=0),"",('导管（腔）总面积'!C7)/'局部木质部面积'!C7)</f>
        <v/>
      </c>
      <c r="D7" s="4">
        <f>IF(OR('局部木质部面积'!D7="",'局部木质部面积'!D7=0),"",('导管（腔）总面积'!D7)/'局部木质部面积'!D7)</f>
        <v/>
      </c>
      <c r="E7" s="4">
        <f>IF(COUNT(B7:D7)=0,"",AVERAGE(B7:D7))</f>
        <v/>
      </c>
      <c r="J7" s="8" t="inlineStr">
        <is>
          <t>导管腔面积占木质部比例=导管（腔）总面积/局部木质部面积</t>
        </is>
      </c>
    </row>
    <row r="8">
      <c r="A8" s="4" t="n">
        <v>7</v>
      </c>
      <c r="B8" s="4">
        <f>IF(OR('局部木质部面积'!B8="",'局部木质部面积'!B8=0),"",('导管（腔）总面积'!B8)/'局部木质部面积'!B8)</f>
        <v/>
      </c>
      <c r="C8" s="4">
        <f>IF(OR('局部木质部面积'!C8="",'局部木质部面积'!C8=0),"",('导管（腔）总面积'!C8)/'局部木质部面积'!C8)</f>
        <v/>
      </c>
      <c r="D8" s="4">
        <f>IF(OR('局部木质部面积'!D8="",'局部木质部面积'!D8=0),"",('导管（腔）总面积'!D8)/'局部木质部面积'!D8)</f>
        <v/>
      </c>
      <c r="E8" s="4">
        <f>IF(COUNT(B8:D8)=0,"",AVERAGE(B8:D8))</f>
        <v/>
      </c>
    </row>
    <row r="9">
      <c r="A9" s="4" t="n">
        <v>8</v>
      </c>
      <c r="B9" s="4">
        <f>IF(OR('局部木质部面积'!B9="",'局部木质部面积'!B9=0),"",('导管（腔）总面积'!B9)/'局部木质部面积'!B9)</f>
        <v/>
      </c>
      <c r="C9" s="4">
        <f>IF(OR('局部木质部面积'!C9="",'局部木质部面积'!C9=0),"",('导管（腔）总面积'!C9)/'局部木质部面积'!C9)</f>
        <v/>
      </c>
      <c r="D9" s="4">
        <f>IF(OR('局部木质部面积'!D9="",'局部木质部面积'!D9=0),"",('导管（腔）总面积'!D9)/'局部木质部面积'!D9)</f>
        <v/>
      </c>
      <c r="E9" s="4">
        <f>IF(COUNT(B9:D9)=0,"",AVERAGE(B9:D9))</f>
        <v/>
      </c>
    </row>
    <row r="10">
      <c r="A10" s="4" t="n">
        <v>9</v>
      </c>
      <c r="B10" s="4">
        <f>IF(OR('局部木质部面积'!B10="",'局部木质部面积'!B10=0),"",('导管（腔）总面积'!B10)/'局部木质部面积'!B10)</f>
        <v/>
      </c>
      <c r="C10" s="4">
        <f>IF(OR('局部木质部面积'!C10="",'局部木质部面积'!C10=0),"",('导管（腔）总面积'!C10)/'局部木质部面积'!C10)</f>
        <v/>
      </c>
      <c r="D10" s="4">
        <f>IF(OR('局部木质部面积'!D10="",'局部木质部面积'!D10=0),"",('导管（腔）总面积'!D10)/'局部木质部面积'!D10)</f>
        <v/>
      </c>
      <c r="E10" s="4">
        <f>IF(COUNT(B10:D10)=0,"",AVERAGE(B10:D10))</f>
        <v/>
      </c>
    </row>
    <row r="11">
      <c r="A11" s="4" t="n">
        <v>10</v>
      </c>
      <c r="B11" s="4">
        <f>IF(OR('局部木质部面积'!B11="",'局部木质部面积'!B11=0),"",('导管（腔）总面积'!B11)/'局部木质部面积'!B11)</f>
        <v/>
      </c>
      <c r="C11" s="4">
        <f>IF(OR('局部木质部面积'!C11="",'局部木质部面积'!C11=0),"",('导管（腔）总面积'!C11)/'局部木质部面积'!C11)</f>
        <v/>
      </c>
      <c r="D11" s="4">
        <f>IF(OR('局部木质部面积'!D11="",'局部木质部面积'!D11=0),"",('导管（腔）总面积'!D11)/'局部木质部面积'!D11)</f>
        <v/>
      </c>
      <c r="E11" s="4">
        <f>IF(COUNT(B11:D11)=0,"",AVERAGE(B11:D11))</f>
        <v/>
      </c>
    </row>
    <row r="12">
      <c r="A12" s="4" t="n">
        <v>11</v>
      </c>
      <c r="B12" s="4">
        <f>IF(OR('局部木质部面积'!B12="",'局部木质部面积'!B12=0),"",('导管（腔）总面积'!B12)/'局部木质部面积'!B12)</f>
        <v/>
      </c>
      <c r="C12" s="4">
        <f>IF(OR('局部木质部面积'!C12="",'局部木质部面积'!C12=0),"",('导管（腔）总面积'!C12)/'局部木质部面积'!C12)</f>
        <v/>
      </c>
      <c r="D12" s="4">
        <f>IF(OR('局部木质部面积'!D12="",'局部木质部面积'!D12=0),"",('导管（腔）总面积'!D12)/'局部木质部面积'!D12)</f>
        <v/>
      </c>
      <c r="E12" s="4">
        <f>IF(COUNT(B12:D12)=0,"",AVERAGE(B12:D12))</f>
        <v/>
      </c>
    </row>
    <row r="13">
      <c r="A13" s="4" t="n">
        <v>12</v>
      </c>
      <c r="B13" s="4">
        <f>IF(OR('局部木质部面积'!B13="",'局部木质部面积'!B13=0),"",('导管（腔）总面积'!B13)/'局部木质部面积'!B13)</f>
        <v/>
      </c>
      <c r="C13" s="4">
        <f>IF(OR('局部木质部面积'!C13="",'局部木质部面积'!C13=0),"",('导管（腔）总面积'!C13)/'局部木质部面积'!C13)</f>
        <v/>
      </c>
      <c r="D13" s="4">
        <f>IF(OR('局部木质部面积'!D13="",'局部木质部面积'!D13=0),"",('导管（腔）总面积'!D13)/'局部木质部面积'!D13)</f>
        <v/>
      </c>
      <c r="E13" s="4">
        <f>IF(COUNT(B13:D13)=0,"",AVERAGE(B13:D13))</f>
        <v/>
      </c>
    </row>
    <row r="14">
      <c r="A14" s="4" t="n">
        <v>13</v>
      </c>
      <c r="B14" s="4">
        <f>IF(OR('局部木质部面积'!B14="",'局部木质部面积'!B14=0),"",('导管（腔）总面积'!B14)/'局部木质部面积'!B14)</f>
        <v/>
      </c>
      <c r="C14" s="4">
        <f>IF(OR('局部木质部面积'!C14="",'局部木质部面积'!C14=0),"",('导管（腔）总面积'!C14)/'局部木质部面积'!C14)</f>
        <v/>
      </c>
      <c r="D14" s="4">
        <f>IF(OR('局部木质部面积'!D14="",'局部木质部面积'!D14=0),"",('导管（腔）总面积'!D14)/'局部木质部面积'!D14)</f>
        <v/>
      </c>
      <c r="E14" s="4">
        <f>IF(COUNT(B14:D14)=0,"",AVERAGE(B14:D14))</f>
        <v/>
      </c>
    </row>
    <row r="15">
      <c r="A15" s="4" t="n">
        <v>14</v>
      </c>
      <c r="B15" s="4">
        <f>IF(OR('局部木质部面积'!B15="",'局部木质部面积'!B15=0),"",('导管（腔）总面积'!B15)/'局部木质部面积'!B15)</f>
        <v/>
      </c>
      <c r="C15" s="4">
        <f>IF(OR('局部木质部面积'!C15="",'局部木质部面积'!C15=0),"",('导管（腔）总面积'!C15)/'局部木质部面积'!C15)</f>
        <v/>
      </c>
      <c r="D15" s="4">
        <f>IF(OR('局部木质部面积'!D15="",'局部木质部面积'!D15=0),"",('导管（腔）总面积'!D15)/'局部木质部面积'!D15)</f>
        <v/>
      </c>
      <c r="E15" s="4">
        <f>IF(COUNT(B15:D15)=0,"",AVERAGE(B15:D15))</f>
        <v/>
      </c>
    </row>
    <row r="16">
      <c r="A16" s="4" t="n">
        <v>15</v>
      </c>
      <c r="B16" s="4">
        <f>IF(OR('局部木质部面积'!B16="",'局部木质部面积'!B16=0),"",('导管（腔）总面积'!B16)/'局部木质部面积'!B16)</f>
        <v/>
      </c>
      <c r="C16" s="4">
        <f>IF(OR('局部木质部面积'!C16="",'局部木质部面积'!C16=0),"",('导管（腔）总面积'!C16)/'局部木质部面积'!C16)</f>
        <v/>
      </c>
      <c r="D16" s="4">
        <f>IF(OR('局部木质部面积'!D16="",'局部木质部面积'!D16=0),"",('导管（腔）总面积'!D16)/'局部木质部面积'!D16)</f>
        <v/>
      </c>
      <c r="E16" s="4">
        <f>IF(COUNT(B16:D16)=0,"",AVERAGE(B16:D16))</f>
        <v/>
      </c>
    </row>
    <row r="17">
      <c r="A17" s="4" t="n">
        <v>16</v>
      </c>
      <c r="B17" s="4">
        <f>IF(OR('局部木质部面积'!B17="",'局部木质部面积'!B17=0),"",('导管（腔）总面积'!B17)/'局部木质部面积'!B17)</f>
        <v/>
      </c>
      <c r="C17" s="4">
        <f>IF(OR('局部木质部面积'!C17="",'局部木质部面积'!C17=0),"",('导管（腔）总面积'!C17)/'局部木质部面积'!C17)</f>
        <v/>
      </c>
      <c r="D17" s="4">
        <f>IF(OR('局部木质部面积'!D17="",'局部木质部面积'!D17=0),"",('导管（腔）总面积'!D17)/'局部木质部面积'!D17)</f>
        <v/>
      </c>
      <c r="E17" s="4">
        <f>IF(COUNT(B17:D17)=0,"",AVERAGE(B17:D17))</f>
        <v/>
      </c>
    </row>
    <row r="18">
      <c r="A18" s="4" t="n">
        <v>17</v>
      </c>
      <c r="B18" s="4">
        <f>IF(OR('局部木质部面积'!B18="",'局部木质部面积'!B18=0),"",('导管（腔）总面积'!B18)/'局部木质部面积'!B18)</f>
        <v/>
      </c>
      <c r="C18" s="4">
        <f>IF(OR('局部木质部面积'!C18="",'局部木质部面积'!C18=0),"",('导管（腔）总面积'!C18)/'局部木质部面积'!C18)</f>
        <v/>
      </c>
      <c r="D18" s="4">
        <f>IF(OR('局部木质部面积'!D18="",'局部木质部面积'!D18=0),"",('导管（腔）总面积'!D18)/'局部木质部面积'!D18)</f>
        <v/>
      </c>
      <c r="E18" s="4">
        <f>IF(COUNT(B18:D18)=0,"",AVERAGE(B18:D18))</f>
        <v/>
      </c>
    </row>
    <row r="19">
      <c r="A19" s="4" t="n">
        <v>18</v>
      </c>
      <c r="B19" s="4">
        <f>IF(OR('局部木质部面积'!B19="",'局部木质部面积'!B19=0),"",('导管（腔）总面积'!B19)/'局部木质部面积'!B19)</f>
        <v/>
      </c>
      <c r="C19" s="4">
        <f>IF(OR('局部木质部面积'!C19="",'局部木质部面积'!C19=0),"",('导管（腔）总面积'!C19)/'局部木质部面积'!C19)</f>
        <v/>
      </c>
      <c r="D19" s="4">
        <f>IF(OR('局部木质部面积'!D19="",'局部木质部面积'!D19=0),"",('导管（腔）总面积'!D19)/'局部木质部面积'!D19)</f>
        <v/>
      </c>
      <c r="E19" s="4">
        <f>IF(COUNT(B19:D19)=0,"",AVERAGE(B19:D19))</f>
        <v/>
      </c>
    </row>
    <row r="20">
      <c r="A20" s="4" t="n">
        <v>19</v>
      </c>
      <c r="B20" s="4">
        <f>IF(OR('局部木质部面积'!B20="",'局部木质部面积'!B20=0),"",('导管（腔）总面积'!B20)/'局部木质部面积'!B20)</f>
        <v/>
      </c>
      <c r="C20" s="4">
        <f>IF(OR('局部木质部面积'!C20="",'局部木质部面积'!C20=0),"",('导管（腔）总面积'!C20)/'局部木质部面积'!C20)</f>
        <v/>
      </c>
      <c r="D20" s="4">
        <f>IF(OR('局部木质部面积'!D20="",'局部木质部面积'!D20=0),"",('导管（腔）总面积'!D20)/'局部木质部面积'!D20)</f>
        <v/>
      </c>
      <c r="E20" s="4">
        <f>IF(COUNT(B20:D20)=0,"",AVERAGE(B20:D20))</f>
        <v/>
      </c>
    </row>
    <row r="21">
      <c r="A21" s="4" t="n">
        <v>20</v>
      </c>
      <c r="B21" s="4">
        <f>IF(OR('局部木质部面积'!B21="",'局部木质部面积'!B21=0),"",('导管（腔）总面积'!B21)/'局部木质部面积'!B21)</f>
        <v/>
      </c>
      <c r="C21" s="4">
        <f>IF(OR('局部木质部面积'!C21="",'局部木质部面积'!C21=0),"",('导管（腔）总面积'!C21)/'局部木质部面积'!C21)</f>
        <v/>
      </c>
      <c r="D21" s="4">
        <f>IF(OR('局部木质部面积'!D21="",'局部木质部面积'!D21=0),"",('导管（腔）总面积'!D21)/'局部木质部面积'!D21)</f>
        <v/>
      </c>
      <c r="E21" s="4">
        <f>IF(COUNT(B21:D21)=0,"",AVERAGE(B21:D21))</f>
        <v/>
      </c>
    </row>
    <row r="22">
      <c r="A22" s="4" t="n">
        <v>21</v>
      </c>
      <c r="B22" s="4">
        <f>IF(OR('局部木质部面积'!B22="",'局部木质部面积'!B22=0),"",('导管（腔）总面积'!B22)/'局部木质部面积'!B22)</f>
        <v/>
      </c>
      <c r="C22" s="4">
        <f>IF(OR('局部木质部面积'!C22="",'局部木质部面积'!C22=0),"",('导管（腔）总面积'!C22)/'局部木质部面积'!C22)</f>
        <v/>
      </c>
      <c r="D22" s="4">
        <f>IF(OR('局部木质部面积'!D22="",'局部木质部面积'!D22=0),"",('导管（腔）总面积'!D22)/'局部木质部面积'!D22)</f>
        <v/>
      </c>
      <c r="E22" s="4">
        <f>IF(COUNT(B22:D22)=0,"",AVERAGE(B22:D22))</f>
        <v/>
      </c>
    </row>
    <row r="23">
      <c r="A23" s="4" t="n">
        <v>22</v>
      </c>
      <c r="B23" s="4">
        <f>IF(OR('局部木质部面积'!B23="",'局部木质部面积'!B23=0),"",('导管（腔）总面积'!B23)/'局部木质部面积'!B23)</f>
        <v/>
      </c>
      <c r="C23" s="4">
        <f>IF(OR('局部木质部面积'!C23="",'局部木质部面积'!C23=0),"",('导管（腔）总面积'!C23)/'局部木质部面积'!C23)</f>
        <v/>
      </c>
      <c r="D23" s="4">
        <f>IF(OR('局部木质部面积'!D23="",'局部木质部面积'!D23=0),"",('导管（腔）总面积'!D23)/'局部木质部面积'!D23)</f>
        <v/>
      </c>
      <c r="E23" s="4">
        <f>IF(COUNT(B23:D23)=0,"",AVERAGE(B23:D23))</f>
        <v/>
      </c>
    </row>
    <row r="24">
      <c r="A24" s="4" t="n">
        <v>23</v>
      </c>
      <c r="B24" s="4">
        <f>IF(OR('局部木质部面积'!B24="",'局部木质部面积'!B24=0),"",('导管（腔）总面积'!B24)/'局部木质部面积'!B24)</f>
        <v/>
      </c>
      <c r="C24" s="4">
        <f>IF(OR('局部木质部面积'!C24="",'局部木质部面积'!C24=0),"",('导管（腔）总面积'!C24)/'局部木质部面积'!C24)</f>
        <v/>
      </c>
      <c r="D24" s="4">
        <f>IF(OR('局部木质部面积'!D24="",'局部木质部面积'!D24=0),"",('导管（腔）总面积'!D24)/'局部木质部面积'!D24)</f>
        <v/>
      </c>
      <c r="E24" s="4">
        <f>IF(COUNT(B24:D24)=0,"",AVERAGE(B24:D24))</f>
        <v/>
      </c>
    </row>
    <row r="25">
      <c r="A25" s="4" t="n">
        <v>24</v>
      </c>
      <c r="B25" s="4">
        <f>IF(OR('局部木质部面积'!B25="",'局部木质部面积'!B25=0),"",('导管（腔）总面积'!B25)/'局部木质部面积'!B25)</f>
        <v/>
      </c>
      <c r="C25" s="4">
        <f>IF(OR('局部木质部面积'!C25="",'局部木质部面积'!C25=0),"",('导管（腔）总面积'!C25)/'局部木质部面积'!C25)</f>
        <v/>
      </c>
      <c r="D25" s="4">
        <f>IF(OR('局部木质部面积'!D25="",'局部木质部面积'!D25=0),"",('导管（腔）总面积'!D25)/'局部木质部面积'!D25)</f>
        <v/>
      </c>
      <c r="E25" s="4">
        <f>IF(COUNT(B25:D25)=0,"",AVERAGE(B25:D25))</f>
        <v/>
      </c>
    </row>
    <row r="26">
      <c r="A26" s="4" t="n">
        <v>25</v>
      </c>
      <c r="B26" s="4">
        <f>IF(OR('局部木质部面积'!B26="",'局部木质部面积'!B26=0),"",('导管（腔）总面积'!B26)/'局部木质部面积'!B26)</f>
        <v/>
      </c>
      <c r="C26" s="4">
        <f>IF(OR('局部木质部面积'!C26="",'局部木质部面积'!C26=0),"",('导管（腔）总面积'!C26)/'局部木质部面积'!C26)</f>
        <v/>
      </c>
      <c r="D26" s="4">
        <f>IF(OR('局部木质部面积'!D26="",'局部木质部面积'!D26=0),"",('导管（腔）总面积'!D26)/'局部木质部面积'!D26)</f>
        <v/>
      </c>
      <c r="E26" s="4">
        <f>IF(COUNT(B26:D26)=0,"",AVERAGE(B26:D26))</f>
        <v/>
      </c>
    </row>
    <row r="27">
      <c r="A27" s="4" t="n">
        <v>26</v>
      </c>
      <c r="B27" s="4">
        <f>IF(OR('局部木质部面积'!B27="",'局部木质部面积'!B27=0),"",('导管（腔）总面积'!B27)/'局部木质部面积'!B27)</f>
        <v/>
      </c>
      <c r="C27" s="4">
        <f>IF(OR('局部木质部面积'!C27="",'局部木质部面积'!C27=0),"",('导管（腔）总面积'!C27)/'局部木质部面积'!C27)</f>
        <v/>
      </c>
      <c r="D27" s="4">
        <f>IF(OR('局部木质部面积'!D27="",'局部木质部面积'!D27=0),"",('导管（腔）总面积'!D27)/'局部木质部面积'!D27)</f>
        <v/>
      </c>
      <c r="E27" s="4">
        <f>IF(COUNT(B27:D27)=0,"",AVERAGE(B27:D27))</f>
        <v/>
      </c>
    </row>
    <row r="28">
      <c r="A28" s="4" t="n">
        <v>27</v>
      </c>
      <c r="B28" s="4">
        <f>IF(OR('局部木质部面积'!B28="",'局部木质部面积'!B28=0),"",('导管（腔）总面积'!B28)/'局部木质部面积'!B28)</f>
        <v/>
      </c>
      <c r="C28" s="4">
        <f>IF(OR('局部木质部面积'!C28="",'局部木质部面积'!C28=0),"",('导管（腔）总面积'!C28)/'局部木质部面积'!C28)</f>
        <v/>
      </c>
      <c r="D28" s="4">
        <f>IF(OR('局部木质部面积'!D28="",'局部木质部面积'!D28=0),"",('导管（腔）总面积'!D28)/'局部木质部面积'!D28)</f>
        <v/>
      </c>
      <c r="E28" s="4">
        <f>IF(COUNT(B28:D28)=0,"",AVERAGE(B28:D28))</f>
        <v/>
      </c>
    </row>
    <row r="29">
      <c r="A29" s="4" t="n">
        <v>28</v>
      </c>
      <c r="B29" s="4">
        <f>IF(OR('局部木质部面积'!B29="",'局部木质部面积'!B29=0),"",('导管（腔）总面积'!B29)/'局部木质部面积'!B29)</f>
        <v/>
      </c>
      <c r="C29" s="4">
        <f>IF(OR('局部木质部面积'!C29="",'局部木质部面积'!C29=0),"",('导管（腔）总面积'!C29)/'局部木质部面积'!C29)</f>
        <v/>
      </c>
      <c r="D29" s="4">
        <f>IF(OR('局部木质部面积'!D29="",'局部木质部面积'!D29=0),"",('导管（腔）总面积'!D29)/'局部木质部面积'!D29)</f>
        <v/>
      </c>
      <c r="E29" s="4">
        <f>IF(COUNT(B29:D29)=0,"",AVERAGE(B29:D29))</f>
        <v/>
      </c>
    </row>
    <row r="30">
      <c r="A30" s="4" t="n">
        <v>29</v>
      </c>
      <c r="B30" s="4">
        <f>IF(OR('局部木质部面积'!B30="",'局部木质部面积'!B30=0),"",('导管（腔）总面积'!B30)/'局部木质部面积'!B30)</f>
        <v/>
      </c>
      <c r="C30" s="4">
        <f>IF(OR('局部木质部面积'!C30="",'局部木质部面积'!C30=0),"",('导管（腔）总面积'!C30)/'局部木质部面积'!C30)</f>
        <v/>
      </c>
      <c r="D30" s="4">
        <f>IF(OR('局部木质部面积'!D30="",'局部木质部面积'!D30=0),"",('导管（腔）总面积'!D30)/'局部木质部面积'!D30)</f>
        <v/>
      </c>
      <c r="E30" s="4">
        <f>IF(COUNT(B30:D30)=0,"",AVERAGE(B30:D30))</f>
        <v/>
      </c>
    </row>
    <row r="31">
      <c r="A31" s="4" t="n">
        <v>30</v>
      </c>
      <c r="B31" s="4">
        <f>IF(OR('局部木质部面积'!B31="",'局部木质部面积'!B31=0),"",('导管（腔）总面积'!B31)/'局部木质部面积'!B31)</f>
        <v/>
      </c>
      <c r="C31" s="4">
        <f>IF(OR('局部木质部面积'!C31="",'局部木质部面积'!C31=0),"",('导管（腔）总面积'!C31)/'局部木质部面积'!C31)</f>
        <v/>
      </c>
      <c r="D31" s="4">
        <f>IF(OR('局部木质部面积'!D31="",'局部木质部面积'!D31=0),"",('导管（腔）总面积'!D31)/'局部木质部面积'!D31)</f>
        <v/>
      </c>
      <c r="E31" s="4">
        <f>IF(COUNT(B31:D31)=0,"",AVERAGE(B31:D31))</f>
        <v/>
      </c>
    </row>
    <row r="32">
      <c r="A32" s="4" t="n">
        <v>31</v>
      </c>
      <c r="B32" s="4">
        <f>IF(OR('局部木质部面积'!B32="",'局部木质部面积'!B32=0),"",('导管（腔）总面积'!B32)/'局部木质部面积'!B32)</f>
        <v/>
      </c>
      <c r="C32" s="4">
        <f>IF(OR('局部木质部面积'!C32="",'局部木质部面积'!C32=0),"",('导管（腔）总面积'!C32)/'局部木质部面积'!C32)</f>
        <v/>
      </c>
      <c r="D32" s="4">
        <f>IF(OR('局部木质部面积'!D32="",'局部木质部面积'!D32=0),"",('导管（腔）总面积'!D32)/'局部木质部面积'!D32)</f>
        <v/>
      </c>
      <c r="E32" s="4">
        <f>IF(COUNT(B32:D32)=0,"",AVERAGE(B32:D32))</f>
        <v/>
      </c>
    </row>
    <row r="33">
      <c r="A33" s="4" t="n">
        <v>32</v>
      </c>
      <c r="B33" s="4">
        <f>IF(OR('局部木质部面积'!B33="",'局部木质部面积'!B33=0),"",('导管（腔）总面积'!B33)/'局部木质部面积'!B33)</f>
        <v/>
      </c>
      <c r="C33" s="4">
        <f>IF(OR('局部木质部面积'!C33="",'局部木质部面积'!C33=0),"",('导管（腔）总面积'!C33)/'局部木质部面积'!C33)</f>
        <v/>
      </c>
      <c r="D33" s="4">
        <f>IF(OR('局部木质部面积'!D33="",'局部木质部面积'!D33=0),"",('导管（腔）总面积'!D33)/'局部木质部面积'!D33)</f>
        <v/>
      </c>
      <c r="E33" s="4">
        <f>IF(COUNT(B33:D33)=0,"",AVERAGE(B33:D33))</f>
        <v/>
      </c>
    </row>
    <row r="34">
      <c r="A34" s="4" t="n">
        <v>33</v>
      </c>
      <c r="B34" s="4">
        <f>IF(OR('局部木质部面积'!B34="",'局部木质部面积'!B34=0),"",('导管（腔）总面积'!B34)/'局部木质部面积'!B34)</f>
        <v/>
      </c>
      <c r="C34" s="4">
        <f>IF(OR('局部木质部面积'!C34="",'局部木质部面积'!C34=0),"",('导管（腔）总面积'!C34)/'局部木质部面积'!C34)</f>
        <v/>
      </c>
      <c r="D34" s="4">
        <f>IF(OR('局部木质部面积'!D34="",'局部木质部面积'!D34=0),"",('导管（腔）总面积'!D34)/'局部木质部面积'!D34)</f>
        <v/>
      </c>
      <c r="E34" s="4">
        <f>IF(COUNT(B34:D34)=0,"",AVERAGE(B34:D34))</f>
        <v/>
      </c>
    </row>
    <row r="35">
      <c r="A35" s="4" t="n">
        <v>34</v>
      </c>
      <c r="B35" s="4">
        <f>IF(OR('局部木质部面积'!B35="",'局部木质部面积'!B35=0),"",('导管（腔）总面积'!B35)/'局部木质部面积'!B35)</f>
        <v/>
      </c>
      <c r="C35" s="4">
        <f>IF(OR('局部木质部面积'!C35="",'局部木质部面积'!C35=0),"",('导管（腔）总面积'!C35)/'局部木质部面积'!C35)</f>
        <v/>
      </c>
      <c r="D35" s="4">
        <f>IF(OR('局部木质部面积'!D35="",'局部木质部面积'!D35=0),"",('导管（腔）总面积'!D35)/'局部木质部面积'!D35)</f>
        <v/>
      </c>
      <c r="E35" s="4">
        <f>IF(COUNT(B35:D35)=0,"",AVERAGE(B35:D35))</f>
        <v/>
      </c>
    </row>
    <row r="36">
      <c r="A36" s="4" t="n">
        <v>35</v>
      </c>
      <c r="B36" s="4">
        <f>IF(OR('局部木质部面积'!B36="",'局部木质部面积'!B36=0),"",('导管（腔）总面积'!B36)/'局部木质部面积'!B36)</f>
        <v/>
      </c>
      <c r="C36" s="4">
        <f>IF(OR('局部木质部面积'!C36="",'局部木质部面积'!C36=0),"",('导管（腔）总面积'!C36)/'局部木质部面积'!C36)</f>
        <v/>
      </c>
      <c r="D36" s="4">
        <f>IF(OR('局部木质部面积'!D36="",'局部木质部面积'!D36=0),"",('导管（腔）总面积'!D36)/'局部木质部面积'!D36)</f>
        <v/>
      </c>
      <c r="E36" s="4">
        <f>IF(COUNT(B36:D36)=0,"",AVERAGE(B36:D36))</f>
        <v/>
      </c>
    </row>
    <row r="37">
      <c r="A37" s="4" t="n">
        <v>36</v>
      </c>
      <c r="B37" s="4">
        <f>IF(OR('局部木质部面积'!B37="",'局部木质部面积'!B37=0),"",('导管（腔）总面积'!B37)/'局部木质部面积'!B37)</f>
        <v/>
      </c>
      <c r="C37" s="4">
        <f>IF(OR('局部木质部面积'!C37="",'局部木质部面积'!C37=0),"",('导管（腔）总面积'!C37)/'局部木质部面积'!C37)</f>
        <v/>
      </c>
      <c r="D37" s="4">
        <f>IF(OR('局部木质部面积'!D37="",'局部木质部面积'!D37=0),"",('导管（腔）总面积'!D37)/'局部木质部面积'!D37)</f>
        <v/>
      </c>
      <c r="E37" s="4">
        <f>IF(COUNT(B37:D37)=0,"",AVERAGE(B37:D37))</f>
        <v/>
      </c>
    </row>
    <row r="38">
      <c r="A38" s="4" t="n">
        <v>37</v>
      </c>
      <c r="B38" s="4">
        <f>IF(OR('局部木质部面积'!B38="",'局部木质部面积'!B38=0),"",('导管（腔）总面积'!B38)/'局部木质部面积'!B38)</f>
        <v/>
      </c>
      <c r="C38" s="4">
        <f>IF(OR('局部木质部面积'!C38="",'局部木质部面积'!C38=0),"",('导管（腔）总面积'!C38)/'局部木质部面积'!C38)</f>
        <v/>
      </c>
      <c r="D38" s="4">
        <f>IF(OR('局部木质部面积'!D38="",'局部木质部面积'!D38=0),"",('导管（腔）总面积'!D38)/'局部木质部面积'!D38)</f>
        <v/>
      </c>
      <c r="E38" s="4">
        <f>IF(COUNT(B38:D38)=0,"",AVERAGE(B38:D38))</f>
        <v/>
      </c>
    </row>
    <row r="39">
      <c r="A39" s="4" t="n">
        <v>38</v>
      </c>
      <c r="B39" s="4">
        <f>IF(OR('局部木质部面积'!B39="",'局部木质部面积'!B39=0),"",('导管（腔）总面积'!B39)/'局部木质部面积'!B39)</f>
        <v/>
      </c>
      <c r="C39" s="4">
        <f>IF(OR('局部木质部面积'!C39="",'局部木质部面积'!C39=0),"",('导管（腔）总面积'!C39)/'局部木质部面积'!C39)</f>
        <v/>
      </c>
      <c r="D39" s="4">
        <f>IF(OR('局部木质部面积'!D39="",'局部木质部面积'!D39=0),"",('导管（腔）总面积'!D39)/'局部木质部面积'!D39)</f>
        <v/>
      </c>
      <c r="E39" s="4">
        <f>IF(COUNT(B39:D39)=0,"",AVERAGE(B39:D39))</f>
        <v/>
      </c>
    </row>
    <row r="40">
      <c r="A40" s="4" t="n">
        <v>39</v>
      </c>
      <c r="B40" s="4">
        <f>IF(OR('局部木质部面积'!B40="",'局部木质部面积'!B40=0),"",('导管（腔）总面积'!B40)/'局部木质部面积'!B40)</f>
        <v/>
      </c>
      <c r="C40" s="4">
        <f>IF(OR('局部木质部面积'!C40="",'局部木质部面积'!C40=0),"",('导管（腔）总面积'!C40)/'局部木质部面积'!C40)</f>
        <v/>
      </c>
      <c r="D40" s="4">
        <f>IF(OR('局部木质部面积'!D40="",'局部木质部面积'!D40=0),"",('导管（腔）总面积'!D40)/'局部木质部面积'!D40)</f>
        <v/>
      </c>
      <c r="E40" s="4">
        <f>IF(COUNT(B40:D40)=0,"",AVERAGE(B40:D40))</f>
        <v/>
      </c>
    </row>
    <row r="41">
      <c r="A41" s="4" t="n">
        <v>40</v>
      </c>
      <c r="B41" s="4">
        <f>IF(OR('局部木质部面积'!B41="",'局部木质部面积'!B41=0),"",('导管（腔）总面积'!B41)/'局部木质部面积'!B41)</f>
        <v/>
      </c>
      <c r="C41" s="4">
        <f>IF(OR('局部木质部面积'!C41="",'局部木质部面积'!C41=0),"",('导管（腔）总面积'!C41)/'局部木质部面积'!C41)</f>
        <v/>
      </c>
      <c r="D41" s="4">
        <f>IF(OR('局部木质部面积'!D41="",'局部木质部面积'!D41=0),"",('导管（腔）总面积'!D41)/'局部木质部面积'!D41)</f>
        <v/>
      </c>
      <c r="E41" s="4">
        <f>IF(COUNT(B41:D41)=0,"",AVERAGE(B41:D41))</f>
        <v/>
      </c>
    </row>
    <row r="42">
      <c r="A42" s="4" t="n">
        <v>41</v>
      </c>
      <c r="B42" s="4">
        <f>IF(OR('局部木质部面积'!B42="",'局部木质部面积'!B42=0),"",('导管（腔）总面积'!B42)/'局部木质部面积'!B42)</f>
        <v/>
      </c>
      <c r="C42" s="4">
        <f>IF(OR('局部木质部面积'!C42="",'局部木质部面积'!C42=0),"",('导管（腔）总面积'!C42)/'局部木质部面积'!C42)</f>
        <v/>
      </c>
      <c r="D42" s="4">
        <f>IF(OR('局部木质部面积'!D42="",'局部木质部面积'!D42=0),"",('导管（腔）总面积'!D42)/'局部木质部面积'!D42)</f>
        <v/>
      </c>
      <c r="E42" s="4">
        <f>IF(COUNT(B42:D42)=0,"",AVERAGE(B42:D42))</f>
        <v/>
      </c>
    </row>
    <row r="43">
      <c r="A43" s="4" t="n">
        <v>42</v>
      </c>
      <c r="B43" s="4">
        <f>IF(OR('局部木质部面积'!B43="",'局部木质部面积'!B43=0),"",('导管（腔）总面积'!B43)/'局部木质部面积'!B43)</f>
        <v/>
      </c>
      <c r="C43" s="4">
        <f>IF(OR('局部木质部面积'!C43="",'局部木质部面积'!C43=0),"",('导管（腔）总面积'!C43)/'局部木质部面积'!C43)</f>
        <v/>
      </c>
      <c r="D43" s="4">
        <f>IF(OR('局部木质部面积'!D43="",'局部木质部面积'!D43=0),"",('导管（腔）总面积'!D43)/'局部木质部面积'!D43)</f>
        <v/>
      </c>
      <c r="E43" s="4">
        <f>IF(COUNT(B43:D43)=0,"",AVERAGE(B43:D43))</f>
        <v/>
      </c>
    </row>
    <row r="44">
      <c r="A44" s="4" t="n">
        <v>43</v>
      </c>
      <c r="B44" s="4">
        <f>IF(OR('局部木质部面积'!B44="",'局部木质部面积'!B44=0),"",('导管（腔）总面积'!B44)/'局部木质部面积'!B44)</f>
        <v/>
      </c>
      <c r="C44" s="4">
        <f>IF(OR('局部木质部面积'!C44="",'局部木质部面积'!C44=0),"",('导管（腔）总面积'!C44)/'局部木质部面积'!C44)</f>
        <v/>
      </c>
      <c r="D44" s="4">
        <f>IF(OR('局部木质部面积'!D44="",'局部木质部面积'!D44=0),"",('导管（腔）总面积'!D44)/'局部木质部面积'!D44)</f>
        <v/>
      </c>
      <c r="E44" s="4">
        <f>IF(COUNT(B44:D44)=0,"",AVERAGE(B44:D44))</f>
        <v/>
      </c>
    </row>
    <row r="45">
      <c r="A45" s="4" t="n">
        <v>44</v>
      </c>
      <c r="B45" s="4">
        <f>IF(OR('局部木质部面积'!B45="",'局部木质部面积'!B45=0),"",('导管（腔）总面积'!B45)/'局部木质部面积'!B45)</f>
        <v/>
      </c>
      <c r="C45" s="4">
        <f>IF(OR('局部木质部面积'!C45="",'局部木质部面积'!C45=0),"",('导管（腔）总面积'!C45)/'局部木质部面积'!C45)</f>
        <v/>
      </c>
      <c r="D45" s="4">
        <f>IF(OR('局部木质部面积'!D45="",'局部木质部面积'!D45=0),"",('导管（腔）总面积'!D45)/'局部木质部面积'!D45)</f>
        <v/>
      </c>
      <c r="E45" s="4">
        <f>IF(COUNT(B45:D45)=0,"",AVERAGE(B45:D45))</f>
        <v/>
      </c>
    </row>
    <row r="46">
      <c r="A46" s="4" t="n">
        <v>45</v>
      </c>
      <c r="B46" s="4">
        <f>IF(OR('局部木质部面积'!B46="",'局部木质部面积'!B46=0),"",('导管（腔）总面积'!B46)/'局部木质部面积'!B46)</f>
        <v/>
      </c>
      <c r="C46" s="4">
        <f>IF(OR('局部木质部面积'!C46="",'局部木质部面积'!C46=0),"",('导管（腔）总面积'!C46)/'局部木质部面积'!C46)</f>
        <v/>
      </c>
      <c r="D46" s="4">
        <f>IF(OR('局部木质部面积'!D46="",'局部木质部面积'!D46=0),"",('导管（腔）总面积'!D46)/'局部木质部面积'!D46)</f>
        <v/>
      </c>
      <c r="E46" s="4">
        <f>IF(COUNT(B46:D46)=0,"",AVERAGE(B46:D46))</f>
        <v/>
      </c>
    </row>
    <row r="47">
      <c r="A47" s="4" t="n">
        <v>46</v>
      </c>
      <c r="B47" s="4">
        <f>IF(OR('局部木质部面积'!B47="",'局部木质部面积'!B47=0),"",('导管（腔）总面积'!B47)/'局部木质部面积'!B47)</f>
        <v/>
      </c>
      <c r="C47" s="4">
        <f>IF(OR('局部木质部面积'!C47="",'局部木质部面积'!C47=0),"",('导管（腔）总面积'!C47)/'局部木质部面积'!C47)</f>
        <v/>
      </c>
      <c r="D47" s="4">
        <f>IF(OR('局部木质部面积'!D47="",'局部木质部面积'!D47=0),"",('导管（腔）总面积'!D47)/'局部木质部面积'!D47)</f>
        <v/>
      </c>
      <c r="E47" s="4">
        <f>IF(COUNT(B47:D47)=0,"",AVERAGE(B47:D47))</f>
        <v/>
      </c>
    </row>
    <row r="48">
      <c r="A48" s="4" t="n">
        <v>47</v>
      </c>
      <c r="B48" s="4">
        <f>IF(OR('局部木质部面积'!B48="",'局部木质部面积'!B48=0),"",('导管（腔）总面积'!B48)/'局部木质部面积'!B48)</f>
        <v/>
      </c>
      <c r="C48" s="4">
        <f>IF(OR('局部木质部面积'!C48="",'局部木质部面积'!C48=0),"",('导管（腔）总面积'!C48)/'局部木质部面积'!C48)</f>
        <v/>
      </c>
      <c r="D48" s="4">
        <f>IF(OR('局部木质部面积'!D48="",'局部木质部面积'!D48=0),"",('导管（腔）总面积'!D48)/'局部木质部面积'!D48)</f>
        <v/>
      </c>
      <c r="E48" s="4">
        <f>IF(COUNT(B48:D48)=0,"",AVERAGE(B48:D48))</f>
        <v/>
      </c>
    </row>
    <row r="49">
      <c r="A49" s="4" t="n">
        <v>48</v>
      </c>
      <c r="B49" s="4">
        <f>IF(OR('局部木质部面积'!B49="",'局部木质部面积'!B49=0),"",('导管（腔）总面积'!B49)/'局部木质部面积'!B49)</f>
        <v/>
      </c>
      <c r="C49" s="4">
        <f>IF(OR('局部木质部面积'!C49="",'局部木质部面积'!C49=0),"",('导管（腔）总面积'!C49)/'局部木质部面积'!C49)</f>
        <v/>
      </c>
      <c r="D49" s="4">
        <f>IF(OR('局部木质部面积'!D49="",'局部木质部面积'!D49=0),"",('导管（腔）总面积'!D49)/'局部木质部面积'!D49)</f>
        <v/>
      </c>
      <c r="E49" s="4">
        <f>IF(COUNT(B49:D49)=0,"",AVERAGE(B49:D49))</f>
        <v/>
      </c>
    </row>
    <row r="50">
      <c r="A50" s="4" t="n">
        <v>49</v>
      </c>
      <c r="B50" s="4">
        <f>IF(OR('局部木质部面积'!B50="",'局部木质部面积'!B50=0),"",('导管（腔）总面积'!B50)/'局部木质部面积'!B50)</f>
        <v/>
      </c>
      <c r="C50" s="4">
        <f>IF(OR('局部木质部面积'!C50="",'局部木质部面积'!C50=0),"",('导管（腔）总面积'!C50)/'局部木质部面积'!C50)</f>
        <v/>
      </c>
      <c r="D50" s="4">
        <f>IF(OR('局部木质部面积'!D50="",'局部木质部面积'!D50=0),"",('导管（腔）总面积'!D50)/'局部木质部面积'!D50)</f>
        <v/>
      </c>
      <c r="E50" s="4">
        <f>IF(COUNT(B50:D50)=0,"",AVERAGE(B50:D50))</f>
        <v/>
      </c>
    </row>
    <row r="51">
      <c r="A51" s="4" t="n">
        <v>50</v>
      </c>
      <c r="B51" s="4">
        <f>IF(OR('局部木质部面积'!B51="",'局部木质部面积'!B51=0),"",('导管（腔）总面积'!B51)/'局部木质部面积'!B51)</f>
        <v/>
      </c>
      <c r="C51" s="4">
        <f>IF(OR('局部木质部面积'!C51="",'局部木质部面积'!C51=0),"",('导管（腔）总面积'!C51)/'局部木质部面积'!C51)</f>
        <v/>
      </c>
      <c r="D51" s="4">
        <f>IF(OR('局部木质部面积'!D51="",'局部木质部面积'!D51=0),"",('导管（腔）总面积'!D51)/'局部木质部面积'!D51)</f>
        <v/>
      </c>
      <c r="E51" s="4">
        <f>IF(COUNT(B51:D51)=0,"",AVERAGE(B51:D51))</f>
        <v/>
      </c>
    </row>
    <row r="52">
      <c r="A52" s="4" t="n">
        <v>51</v>
      </c>
      <c r="B52" s="4">
        <f>IF(OR('局部木质部面积'!B52="",'局部木质部面积'!B52=0),"",('导管（腔）总面积'!B52)/'局部木质部面积'!B52)</f>
        <v/>
      </c>
      <c r="C52" s="4">
        <f>IF(OR('局部木质部面积'!C52="",'局部木质部面积'!C52=0),"",('导管（腔）总面积'!C52)/'局部木质部面积'!C52)</f>
        <v/>
      </c>
      <c r="D52" s="4">
        <f>IF(OR('局部木质部面积'!D52="",'局部木质部面积'!D52=0),"",('导管（腔）总面积'!D52)/'局部木质部面积'!D52)</f>
        <v/>
      </c>
      <c r="E52" s="4">
        <f>IF(COUNT(B52:D52)=0,"",AVERAGE(B52:D52))</f>
        <v/>
      </c>
    </row>
    <row r="53">
      <c r="A53" s="4" t="n">
        <v>52</v>
      </c>
      <c r="B53" s="4">
        <f>IF(OR('局部木质部面积'!B53="",'局部木质部面积'!B53=0),"",('导管（腔）总面积'!B53)/'局部木质部面积'!B53)</f>
        <v/>
      </c>
      <c r="C53" s="4">
        <f>IF(OR('局部木质部面积'!C53="",'局部木质部面积'!C53=0),"",('导管（腔）总面积'!C53)/'局部木质部面积'!C53)</f>
        <v/>
      </c>
      <c r="D53" s="4">
        <f>IF(OR('局部木质部面积'!D53="",'局部木质部面积'!D53=0),"",('导管（腔）总面积'!D53)/'局部木质部面积'!D53)</f>
        <v/>
      </c>
      <c r="E53" s="4">
        <f>IF(COUNT(B53:D53)=0,"",AVERAGE(B53:D53))</f>
        <v/>
      </c>
    </row>
    <row r="54">
      <c r="A54" s="4" t="n">
        <v>53</v>
      </c>
      <c r="B54" s="4">
        <f>IF(OR('局部木质部面积'!B54="",'局部木质部面积'!B54=0),"",('导管（腔）总面积'!B54)/'局部木质部面积'!B54)</f>
        <v/>
      </c>
      <c r="C54" s="4">
        <f>IF(OR('局部木质部面积'!C54="",'局部木质部面积'!C54=0),"",('导管（腔）总面积'!C54)/'局部木质部面积'!C54)</f>
        <v/>
      </c>
      <c r="D54" s="4">
        <f>IF(OR('局部木质部面积'!D54="",'局部木质部面积'!D54=0),"",('导管（腔）总面积'!D54)/'局部木质部面积'!D54)</f>
        <v/>
      </c>
      <c r="E54" s="4">
        <f>IF(COUNT(B54:D54)=0,"",AVERAGE(B54:D54))</f>
        <v/>
      </c>
    </row>
    <row r="55">
      <c r="A55" s="4" t="n">
        <v>54</v>
      </c>
      <c r="B55" s="4">
        <f>IF(OR('局部木质部面积'!B55="",'局部木质部面积'!B55=0),"",('导管（腔）总面积'!B55)/'局部木质部面积'!B55)</f>
        <v/>
      </c>
      <c r="C55" s="4">
        <f>IF(OR('局部木质部面积'!C55="",'局部木质部面积'!C55=0),"",('导管（腔）总面积'!C55)/'局部木质部面积'!C55)</f>
        <v/>
      </c>
      <c r="D55" s="4">
        <f>IF(OR('局部木质部面积'!D55="",'局部木质部面积'!D55=0),"",('导管（腔）总面积'!D55)/'局部木质部面积'!D55)</f>
        <v/>
      </c>
      <c r="E55" s="4">
        <f>IF(COUNT(B55:D55)=0,"",AVERAGE(B55:D55))</f>
        <v/>
      </c>
    </row>
    <row r="56">
      <c r="A56" s="4" t="n">
        <v>55</v>
      </c>
      <c r="B56" s="4">
        <f>IF(OR('局部木质部面积'!B56="",'局部木质部面积'!B56=0),"",('导管（腔）总面积'!B56)/'局部木质部面积'!B56)</f>
        <v/>
      </c>
      <c r="C56" s="4">
        <f>IF(OR('局部木质部面积'!C56="",'局部木质部面积'!C56=0),"",('导管（腔）总面积'!C56)/'局部木质部面积'!C56)</f>
        <v/>
      </c>
      <c r="D56" s="4">
        <f>IF(OR('局部木质部面积'!D56="",'局部木质部面积'!D56=0),"",('导管（腔）总面积'!D56)/'局部木质部面积'!D56)</f>
        <v/>
      </c>
      <c r="E56" s="4">
        <f>IF(COUNT(B56:D56)=0,"",AVERAGE(B56:D56))</f>
        <v/>
      </c>
    </row>
    <row r="57">
      <c r="A57" s="4" t="n">
        <v>56</v>
      </c>
      <c r="B57" s="4">
        <f>IF(OR('局部木质部面积'!B57="",'局部木质部面积'!B57=0),"",('导管（腔）总面积'!B57)/'局部木质部面积'!B57)</f>
        <v/>
      </c>
      <c r="C57" s="4">
        <f>IF(OR('局部木质部面积'!C57="",'局部木质部面积'!C57=0),"",('导管（腔）总面积'!C57)/'局部木质部面积'!C57)</f>
        <v/>
      </c>
      <c r="D57" s="4">
        <f>IF(OR('局部木质部面积'!D57="",'局部木质部面积'!D57=0),"",('导管（腔）总面积'!D57)/'局部木质部面积'!D57)</f>
        <v/>
      </c>
      <c r="E57" s="4">
        <f>IF(COUNT(B57:D57)=0,"",AVERAGE(B57:D57))</f>
        <v/>
      </c>
    </row>
    <row r="58">
      <c r="A58" s="4" t="n">
        <v>57</v>
      </c>
      <c r="B58" s="4">
        <f>IF(OR('局部木质部面积'!B58="",'局部木质部面积'!B58=0),"",('导管（腔）总面积'!B58)/'局部木质部面积'!B58)</f>
        <v/>
      </c>
      <c r="C58" s="4">
        <f>IF(OR('局部木质部面积'!C58="",'局部木质部面积'!C58=0),"",('导管（腔）总面积'!C58)/'局部木质部面积'!C58)</f>
        <v/>
      </c>
      <c r="D58" s="4">
        <f>IF(OR('局部木质部面积'!D58="",'局部木质部面积'!D58=0),"",('导管（腔）总面积'!D58)/'局部木质部面积'!D58)</f>
        <v/>
      </c>
      <c r="E58" s="4">
        <f>IF(COUNT(B58:D58)=0,"",AVERAGE(B58:D58))</f>
        <v/>
      </c>
    </row>
    <row r="59">
      <c r="A59" s="4" t="n">
        <v>58</v>
      </c>
      <c r="B59" s="4">
        <f>IF(OR('局部木质部面积'!B59="",'局部木质部面积'!B59=0),"",('导管（腔）总面积'!B59)/'局部木质部面积'!B59)</f>
        <v/>
      </c>
      <c r="C59" s="4">
        <f>IF(OR('局部木质部面积'!C59="",'局部木质部面积'!C59=0),"",('导管（腔）总面积'!C59)/'局部木质部面积'!C59)</f>
        <v/>
      </c>
      <c r="D59" s="4">
        <f>IF(OR('局部木质部面积'!D59="",'局部木质部面积'!D59=0),"",('导管（腔）总面积'!D59)/'局部木质部面积'!D59)</f>
        <v/>
      </c>
      <c r="E59" s="4">
        <f>IF(COUNT(B59:D59)=0,"",AVERAGE(B59:D59))</f>
        <v/>
      </c>
    </row>
    <row r="60">
      <c r="A60" s="4" t="n">
        <v>59</v>
      </c>
      <c r="B60" s="4">
        <f>IF(OR('局部木质部面积'!B60="",'局部木质部面积'!B60=0),"",('导管（腔）总面积'!B60)/'局部木质部面积'!B60)</f>
        <v/>
      </c>
      <c r="C60" s="4">
        <f>IF(OR('局部木质部面积'!C60="",'局部木质部面积'!C60=0),"",('导管（腔）总面积'!C60)/'局部木质部面积'!C60)</f>
        <v/>
      </c>
      <c r="D60" s="4">
        <f>IF(OR('局部木质部面积'!D60="",'局部木质部面积'!D60=0),"",('导管（腔）总面积'!D60)/'局部木质部面积'!D60)</f>
        <v/>
      </c>
      <c r="E60" s="4">
        <f>IF(COUNT(B60:D60)=0,"",AVERAGE(B60:D60))</f>
        <v/>
      </c>
    </row>
    <row r="61">
      <c r="A61" s="4" t="n">
        <v>60</v>
      </c>
      <c r="B61" s="4">
        <f>IF(OR('局部木质部面积'!B61="",'局部木质部面积'!B61=0),"",('导管（腔）总面积'!B61)/'局部木质部面积'!B61)</f>
        <v/>
      </c>
      <c r="C61" s="4">
        <f>IF(OR('局部木质部面积'!C61="",'局部木质部面积'!C61=0),"",('导管（腔）总面积'!C61)/'局部木质部面积'!C61)</f>
        <v/>
      </c>
      <c r="D61" s="4">
        <f>IF(OR('局部木质部面积'!D61="",'局部木质部面积'!D61=0),"",('导管（腔）总面积'!D61)/'局部木质部面积'!D61)</f>
        <v/>
      </c>
      <c r="E61" s="4">
        <f>IF(COUNT(B61:D61)=0,"",AVERAGE(B61:D61))</f>
        <v/>
      </c>
    </row>
    <row r="62">
      <c r="A62" s="4" t="n">
        <v>61</v>
      </c>
      <c r="B62" s="4">
        <f>IF(OR('局部木质部面积'!B62="",'局部木质部面积'!B62=0),"",('导管（腔）总面积'!B62)/'局部木质部面积'!B62)</f>
        <v/>
      </c>
      <c r="C62" s="4">
        <f>IF(OR('局部木质部面积'!C62="",'局部木质部面积'!C62=0),"",('导管（腔）总面积'!C62)/'局部木质部面积'!C62)</f>
        <v/>
      </c>
      <c r="D62" s="4">
        <f>IF(OR('局部木质部面积'!D62="",'局部木质部面积'!D62=0),"",('导管（腔）总面积'!D62)/'局部木质部面积'!D62)</f>
        <v/>
      </c>
      <c r="E62" s="4">
        <f>IF(COUNT(B62:D62)=0,"",AVERAGE(B62:D62))</f>
        <v/>
      </c>
    </row>
    <row r="63">
      <c r="A63" s="4" t="n">
        <v>62</v>
      </c>
      <c r="B63" s="4">
        <f>IF(OR('局部木质部面积'!B63="",'局部木质部面积'!B63=0),"",('导管（腔）总面积'!B63)/'局部木质部面积'!B63)</f>
        <v/>
      </c>
      <c r="C63" s="4">
        <f>IF(OR('局部木质部面积'!C63="",'局部木质部面积'!C63=0),"",('导管（腔）总面积'!C63)/'局部木质部面积'!C63)</f>
        <v/>
      </c>
      <c r="D63" s="4">
        <f>IF(OR('局部木质部面积'!D63="",'局部木质部面积'!D63=0),"",('导管（腔）总面积'!D63)/'局部木质部面积'!D63)</f>
        <v/>
      </c>
      <c r="E63" s="4">
        <f>IF(COUNT(B63:D63)=0,"",AVERAGE(B63:D63))</f>
        <v/>
      </c>
    </row>
    <row r="64">
      <c r="A64" s="4" t="n">
        <v>63</v>
      </c>
      <c r="B64" s="4">
        <f>IF(OR('局部木质部面积'!B64="",'局部木质部面积'!B64=0),"",('导管（腔）总面积'!B64)/'局部木质部面积'!B64)</f>
        <v/>
      </c>
      <c r="C64" s="4">
        <f>IF(OR('局部木质部面积'!C64="",'局部木质部面积'!C64=0),"",('导管（腔）总面积'!C64)/'局部木质部面积'!C64)</f>
        <v/>
      </c>
      <c r="D64" s="4">
        <f>IF(OR('局部木质部面积'!D64="",'局部木质部面积'!D64=0),"",('导管（腔）总面积'!D64)/'局部木质部面积'!D64)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2" sqref="H32"/>
    </sheetView>
  </sheetViews>
  <sheetFormatPr baseColWidth="8" defaultColWidth="9" defaultRowHeight="13.5" outlineLevelCol="0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E1" sqref="E$1:E$1048576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形成层连续性评分1</t>
        </is>
      </c>
      <c r="C1" s="4" t="inlineStr">
        <is>
          <t>形成层连续性评分2</t>
        </is>
      </c>
      <c r="D1" s="4" t="inlineStr">
        <is>
          <t>形成层连续性评分3</t>
        </is>
      </c>
      <c r="E1" s="4" t="inlineStr">
        <is>
          <t>平均</t>
        </is>
      </c>
    </row>
    <row r="2">
      <c r="A2" s="4" t="n">
        <v>1</v>
      </c>
      <c r="B2" s="4" t="n">
        <v>7</v>
      </c>
      <c r="C2" s="4" t="n">
        <v>7</v>
      </c>
      <c r="D2" s="4" t="n">
        <v>8</v>
      </c>
      <c r="E2" s="4">
        <f>IF(COUNT(B2:D2)=0,"",AVERAGE(B2:D2))</f>
        <v/>
      </c>
    </row>
    <row r="3">
      <c r="A3" s="4" t="n">
        <v>2</v>
      </c>
      <c r="B3" s="4" t="n">
        <v>7</v>
      </c>
      <c r="C3" s="4" t="n">
        <v>7</v>
      </c>
      <c r="D3" s="4" t="n">
        <v>7</v>
      </c>
      <c r="E3" s="4">
        <f>IF(COUNT(B3:D3)=0,"",AVERAGE(B3:D3))</f>
        <v/>
      </c>
    </row>
    <row r="4">
      <c r="A4" s="4" t="n">
        <v>3</v>
      </c>
      <c r="B4" s="4" t="n">
        <v>7</v>
      </c>
      <c r="C4" s="4" t="n">
        <v>5</v>
      </c>
      <c r="D4" s="4" t="n">
        <v>5</v>
      </c>
      <c r="E4" s="4">
        <f>IF(COUNT(B4:D4)=0,"",AVERAGE(B4:D4))</f>
        <v/>
      </c>
    </row>
    <row r="5">
      <c r="A5" s="4" t="n">
        <v>4</v>
      </c>
      <c r="B5" s="4" t="n">
        <v>7</v>
      </c>
      <c r="C5" s="4" t="n">
        <v>8</v>
      </c>
      <c r="D5" s="4" t="n">
        <v>8</v>
      </c>
      <c r="E5" s="4">
        <f>IF(COUNT(B5:D5)=0,"",AVERAGE(B5:D5))</f>
        <v/>
      </c>
    </row>
    <row r="6">
      <c r="A6" s="4" t="n">
        <v>5</v>
      </c>
      <c r="B6" s="4" t="n">
        <v>9</v>
      </c>
      <c r="C6" s="4" t="n">
        <v>9</v>
      </c>
      <c r="D6" s="4" t="n">
        <v>9</v>
      </c>
      <c r="E6" s="4">
        <f>IF(COUNT(B6:D6)=0,"",AVERAGE(B6:D6))</f>
        <v/>
      </c>
    </row>
    <row r="7">
      <c r="A7" s="4" t="n">
        <v>6</v>
      </c>
      <c r="B7" s="4" t="n">
        <v>8</v>
      </c>
      <c r="C7" s="4" t="n">
        <v>9</v>
      </c>
      <c r="D7" s="4" t="n">
        <v>9</v>
      </c>
      <c r="E7" s="4">
        <f>IF(COUNT(B7:D7)=0,"",AVERAGE(B7:D7))</f>
        <v/>
      </c>
    </row>
    <row r="8">
      <c r="A8" s="4" t="n">
        <v>7</v>
      </c>
      <c r="B8" s="4" t="n">
        <v>7</v>
      </c>
      <c r="C8" s="4" t="n">
        <v>6</v>
      </c>
      <c r="D8" s="4" t="n">
        <v>4</v>
      </c>
      <c r="E8" s="4">
        <f>IF(COUNT(B8:D8)=0,"",AVERAGE(B8:D8))</f>
        <v/>
      </c>
    </row>
    <row r="9">
      <c r="A9" s="4" t="n">
        <v>8</v>
      </c>
      <c r="B9" s="4" t="n">
        <v>5</v>
      </c>
      <c r="C9" s="4" t="n">
        <v>5</v>
      </c>
      <c r="D9" s="4" t="n">
        <v>8</v>
      </c>
      <c r="E9" s="4">
        <f>IF(COUNT(B9:D9)=0,"",AVERAGE(B9:D9))</f>
        <v/>
      </c>
    </row>
    <row r="10">
      <c r="A10" s="4" t="n">
        <v>9</v>
      </c>
      <c r="B10" s="4" t="n">
        <v>6</v>
      </c>
      <c r="C10" s="4" t="n">
        <v>7</v>
      </c>
      <c r="D10" s="4" t="n">
        <v>7</v>
      </c>
      <c r="E10" s="4">
        <f>IF(COUNT(B10:D10)=0,"",AVERAGE(B10:D10))</f>
        <v/>
      </c>
    </row>
    <row r="11">
      <c r="A11" s="4" t="n">
        <v>10</v>
      </c>
      <c r="B11" s="4" t="n">
        <v>9</v>
      </c>
      <c r="C11" s="4" t="n">
        <v>8</v>
      </c>
      <c r="D11" s="4" t="n">
        <v>8</v>
      </c>
      <c r="E11" s="4">
        <f>IF(COUNT(B11:D11)=0,"",AVERAGE(B11:D11))</f>
        <v/>
      </c>
    </row>
    <row r="12">
      <c r="A12" s="4" t="n">
        <v>11</v>
      </c>
      <c r="B12" s="4" t="n">
        <v>8</v>
      </c>
      <c r="C12" s="4" t="n">
        <v>6</v>
      </c>
      <c r="D12" s="4" t="n">
        <v>7</v>
      </c>
      <c r="E12" s="4">
        <f>IF(COUNT(B12:D12)=0,"",AVERAGE(B12:D12))</f>
        <v/>
      </c>
    </row>
    <row r="13">
      <c r="A13" s="4" t="n">
        <v>12</v>
      </c>
      <c r="B13" s="4" t="n">
        <v>8</v>
      </c>
      <c r="C13" s="4" t="n">
        <v>7</v>
      </c>
      <c r="D13" s="4" t="n">
        <v>8</v>
      </c>
      <c r="E13" s="4">
        <f>IF(COUNT(B13:D13)=0,"",AVERAGE(B13:D13))</f>
        <v/>
      </c>
    </row>
    <row r="14">
      <c r="A14" s="4" t="n">
        <v>13</v>
      </c>
      <c r="B14" s="4" t="n">
        <v>9</v>
      </c>
      <c r="C14" s="4" t="n">
        <v>9</v>
      </c>
      <c r="D14" s="4" t="n">
        <v>8</v>
      </c>
      <c r="E14" s="4">
        <f>IF(COUNT(B14:D14)=0,"",AVERAGE(B14:D14))</f>
        <v/>
      </c>
    </row>
    <row r="15">
      <c r="A15" s="4" t="n">
        <v>14</v>
      </c>
      <c r="B15" s="4" t="n">
        <v>8</v>
      </c>
      <c r="C15" s="4" t="n">
        <v>9</v>
      </c>
      <c r="D15" s="4" t="n">
        <v>9</v>
      </c>
      <c r="E15" s="4">
        <f>IF(COUNT(B15:D15)=0,"",AVERAGE(B15:D15))</f>
        <v/>
      </c>
    </row>
    <row r="16">
      <c r="A16" s="4" t="n">
        <v>15</v>
      </c>
      <c r="B16" s="4" t="n">
        <v>7</v>
      </c>
      <c r="C16" s="4" t="n">
        <v>7</v>
      </c>
      <c r="D16" s="4" t="n">
        <v>7</v>
      </c>
      <c r="E16" s="4">
        <f>IF(COUNT(B16:D16)=0,"",AVERAGE(B16:D16))</f>
        <v/>
      </c>
    </row>
    <row r="17">
      <c r="A17" s="4" t="n">
        <v>16</v>
      </c>
      <c r="B17" s="4" t="n">
        <v>7</v>
      </c>
      <c r="C17" s="4" t="n">
        <v>8</v>
      </c>
      <c r="D17" s="4" t="n">
        <v>6</v>
      </c>
      <c r="E17" s="4">
        <f>IF(COUNT(B17:D17)=0,"",AVERAGE(B17:D17))</f>
        <v/>
      </c>
    </row>
    <row r="18">
      <c r="A18" s="4" t="n">
        <v>17</v>
      </c>
      <c r="B18" s="4" t="n">
        <v>8</v>
      </c>
      <c r="C18" s="4" t="n">
        <v>9</v>
      </c>
      <c r="D18" s="4" t="n">
        <v>7</v>
      </c>
      <c r="E18" s="4">
        <f>IF(COUNT(B18:D18)=0,"",AVERAGE(B18:D18))</f>
        <v/>
      </c>
    </row>
    <row r="19">
      <c r="A19" s="4" t="n">
        <v>18</v>
      </c>
      <c r="B19" s="4" t="n">
        <v>8</v>
      </c>
      <c r="C19" s="4" t="n">
        <v>6</v>
      </c>
      <c r="D19" s="4" t="n">
        <v>8</v>
      </c>
      <c r="E19" s="4">
        <f>IF(COUNT(B19:D19)=0,"",AVERAGE(B19:D19))</f>
        <v/>
      </c>
    </row>
    <row r="20">
      <c r="A20" s="4" t="n">
        <v>19</v>
      </c>
      <c r="B20" s="4" t="n">
        <v>7</v>
      </c>
      <c r="C20" s="4" t="n">
        <v>6</v>
      </c>
      <c r="D20" s="4" t="n">
        <v>8</v>
      </c>
      <c r="E20" s="4">
        <f>IF(COUNT(B20:D20)=0,"",AVERAGE(B20:D20))</f>
        <v/>
      </c>
    </row>
    <row r="21">
      <c r="A21" s="4" t="n">
        <v>20</v>
      </c>
      <c r="B21" s="4" t="n">
        <v>9</v>
      </c>
      <c r="C21" s="4" t="n">
        <v>8</v>
      </c>
      <c r="D21" s="4" t="n">
        <v>7</v>
      </c>
      <c r="E21" s="4">
        <f>IF(COUNT(B21:D21)=0,"",AVERAGE(B21:D21))</f>
        <v/>
      </c>
    </row>
    <row r="22">
      <c r="A22" s="4" t="n">
        <v>21</v>
      </c>
      <c r="B22" s="4" t="n">
        <v>5</v>
      </c>
      <c r="C22" s="4" t="n">
        <v>7</v>
      </c>
      <c r="D22" s="4" t="n">
        <v>7</v>
      </c>
      <c r="E22" s="4">
        <f>IF(COUNT(B22:D22)=0,"",AVERAGE(B22:D22))</f>
        <v/>
      </c>
    </row>
    <row r="23">
      <c r="A23" s="4" t="n">
        <v>22</v>
      </c>
      <c r="B23" s="4" t="n">
        <v>8</v>
      </c>
      <c r="C23" s="4" t="n">
        <v>7</v>
      </c>
      <c r="D23" s="4" t="n">
        <v>8</v>
      </c>
      <c r="E23" s="4">
        <f>IF(COUNT(B23:D23)=0,"",AVERAGE(B23:D23))</f>
        <v/>
      </c>
    </row>
    <row r="24">
      <c r="A24" s="4" t="n">
        <v>23</v>
      </c>
      <c r="B24" s="4" t="n">
        <v>7</v>
      </c>
      <c r="C24" s="4" t="n">
        <v>7</v>
      </c>
      <c r="D24" s="4" t="n">
        <v>7</v>
      </c>
      <c r="E24" s="4">
        <f>IF(COUNT(B24:D24)=0,"",AVERAGE(B24:D24))</f>
        <v/>
      </c>
    </row>
    <row r="25">
      <c r="A25" s="4" t="n">
        <v>24</v>
      </c>
      <c r="B25" s="4" t="n">
        <v>8</v>
      </c>
      <c r="C25" s="4" t="n">
        <v>8</v>
      </c>
      <c r="D25" s="4" t="n">
        <v>6</v>
      </c>
      <c r="E25" s="4">
        <f>IF(COUNT(B25:D25)=0,"",AVERAGE(B25:D25))</f>
        <v/>
      </c>
    </row>
    <row r="26">
      <c r="A26" s="4" t="n">
        <v>25</v>
      </c>
      <c r="B26" s="4" t="n">
        <v>7</v>
      </c>
      <c r="C26" s="4" t="n">
        <v>8</v>
      </c>
      <c r="D26" s="4" t="n">
        <v>9</v>
      </c>
      <c r="E26" s="4">
        <f>IF(COUNT(B26:D26)=0,"",AVERAGE(B26:D26))</f>
        <v/>
      </c>
    </row>
    <row r="27">
      <c r="A27" s="4" t="n">
        <v>26</v>
      </c>
      <c r="B27" s="4" t="n">
        <v>7</v>
      </c>
      <c r="C27" s="4" t="n">
        <v>6</v>
      </c>
      <c r="D27" s="4" t="n">
        <v>5</v>
      </c>
      <c r="E27" s="4">
        <f>IF(COUNT(B27:D27)=0,"",AVERAGE(B27:D27))</f>
        <v/>
      </c>
    </row>
    <row r="28">
      <c r="A28" s="4" t="n">
        <v>27</v>
      </c>
      <c r="B28" s="4" t="n">
        <v>4</v>
      </c>
      <c r="C28" s="4" t="n">
        <v>5</v>
      </c>
      <c r="D28" s="4" t="n">
        <v>6</v>
      </c>
      <c r="E28" s="4">
        <f>IF(COUNT(B28:D28)=0,"",AVERAGE(B28:D28))</f>
        <v/>
      </c>
    </row>
    <row r="29">
      <c r="A29" s="4" t="n">
        <v>28</v>
      </c>
      <c r="B29" s="4" t="n">
        <v>8</v>
      </c>
      <c r="C29" s="4" t="n">
        <v>8</v>
      </c>
      <c r="D29" s="4" t="n">
        <v>8</v>
      </c>
      <c r="E29" s="4">
        <f>IF(COUNT(B29:D29)=0,"",AVERAGE(B29:D29))</f>
        <v/>
      </c>
    </row>
    <row r="30">
      <c r="A30" s="4" t="n">
        <v>29</v>
      </c>
      <c r="B30" s="4" t="n">
        <v>9</v>
      </c>
      <c r="C30" s="4" t="n">
        <v>8</v>
      </c>
      <c r="D30" s="4" t="n">
        <v>8</v>
      </c>
      <c r="E30" s="4">
        <f>IF(COUNT(B30:D30)=0,"",AVERAGE(B30:D30))</f>
        <v/>
      </c>
    </row>
    <row r="31">
      <c r="A31" s="4" t="n">
        <v>30</v>
      </c>
      <c r="B31" s="4" t="n">
        <v>6</v>
      </c>
      <c r="C31" s="4" t="n">
        <v>7</v>
      </c>
      <c r="D31" s="4" t="n">
        <v>6</v>
      </c>
      <c r="E31" s="4">
        <f>IF(COUNT(B31:D31)=0,"",AVERAGE(B31:D31))</f>
        <v/>
      </c>
    </row>
    <row r="32">
      <c r="A32" s="4" t="n">
        <v>31</v>
      </c>
      <c r="B32" s="4" t="n">
        <v>8</v>
      </c>
      <c r="C32" s="4" t="n">
        <v>6</v>
      </c>
      <c r="D32" s="4" t="n">
        <v>7</v>
      </c>
      <c r="E32" s="4">
        <f>IF(COUNT(B32:D32)=0,"",AVERAGE(B32:D32))</f>
        <v/>
      </c>
    </row>
    <row r="33">
      <c r="A33" s="4" t="n">
        <v>32</v>
      </c>
      <c r="B33" s="4" t="n">
        <v>7</v>
      </c>
      <c r="C33" s="4" t="n">
        <v>7</v>
      </c>
      <c r="D33" s="4" t="n">
        <v>6</v>
      </c>
      <c r="E33" s="4">
        <f>IF(COUNT(B33:D33)=0,"",AVERAGE(B33:D33))</f>
        <v/>
      </c>
    </row>
    <row r="34">
      <c r="A34" s="4" t="n">
        <v>33</v>
      </c>
      <c r="B34" s="4" t="n">
        <v>7</v>
      </c>
      <c r="C34" s="4" t="n">
        <v>7</v>
      </c>
      <c r="D34" s="4" t="n">
        <v>9</v>
      </c>
      <c r="E34" s="4">
        <f>IF(COUNT(B34:D34)=0,"",AVERAGE(B34:D34))</f>
        <v/>
      </c>
    </row>
    <row r="35">
      <c r="A35" s="4" t="n">
        <v>34</v>
      </c>
      <c r="B35" s="4" t="n">
        <v>8</v>
      </c>
      <c r="C35" s="4" t="n">
        <v>8</v>
      </c>
      <c r="D35" s="4" t="n">
        <v>7</v>
      </c>
      <c r="E35" s="4">
        <f>IF(COUNT(B35:D35)=0,"",AVERAGE(B35:D35))</f>
        <v/>
      </c>
    </row>
    <row r="36">
      <c r="A36" s="4" t="n">
        <v>35</v>
      </c>
      <c r="B36" s="4" t="n">
        <v>4</v>
      </c>
      <c r="C36" s="4" t="n">
        <v>5</v>
      </c>
      <c r="D36" s="4" t="n">
        <v>6</v>
      </c>
      <c r="E36" s="4">
        <f>IF(COUNT(B36:D36)=0,"",AVERAGE(B36:D36))</f>
        <v/>
      </c>
    </row>
    <row r="37">
      <c r="A37" s="4" t="n">
        <v>36</v>
      </c>
      <c r="B37" s="4" t="n">
        <v>6</v>
      </c>
      <c r="C37" s="4" t="n">
        <v>6</v>
      </c>
      <c r="D37" s="4" t="n">
        <v>5</v>
      </c>
      <c r="E37" s="4">
        <f>IF(COUNT(B37:D37)=0,"",AVERAGE(B37:D37))</f>
        <v/>
      </c>
    </row>
    <row r="38">
      <c r="A38" s="4" t="n">
        <v>37</v>
      </c>
      <c r="B38" s="4" t="n">
        <v>6</v>
      </c>
      <c r="C38" s="4" t="n">
        <v>7</v>
      </c>
      <c r="D38" s="4" t="n">
        <v>6</v>
      </c>
      <c r="E38" s="4">
        <f>IF(COUNT(B38:D38)=0,"",AVERAGE(B38:D38))</f>
        <v/>
      </c>
    </row>
    <row r="39">
      <c r="A39" s="4" t="n">
        <v>38</v>
      </c>
      <c r="B39" s="4" t="n">
        <v>7</v>
      </c>
      <c r="C39" s="4" t="n">
        <v>5</v>
      </c>
      <c r="D39" s="4" t="n">
        <v>8</v>
      </c>
      <c r="E39" s="4">
        <f>IF(COUNT(B39:D39)=0,"",AVERAGE(B39:D39))</f>
        <v/>
      </c>
    </row>
    <row r="40">
      <c r="A40" s="4" t="n">
        <v>39</v>
      </c>
      <c r="B40" s="4" t="n">
        <v>4</v>
      </c>
      <c r="C40" s="4" t="n">
        <v>5</v>
      </c>
      <c r="D40" s="4" t="n">
        <v>5</v>
      </c>
      <c r="E40" s="4">
        <f>IF(COUNT(B40:D40)=0,"",AVERAGE(B40:D40))</f>
        <v/>
      </c>
    </row>
    <row r="41">
      <c r="A41" s="4" t="n">
        <v>40</v>
      </c>
      <c r="B41" s="4" t="n">
        <v>5</v>
      </c>
      <c r="C41" s="4" t="n">
        <v>7</v>
      </c>
      <c r="D41" s="4" t="n">
        <v>8</v>
      </c>
      <c r="E41" s="4">
        <f>IF(COUNT(B41:D41)=0,"",AVERAGE(B41:D41))</f>
        <v/>
      </c>
    </row>
    <row r="42">
      <c r="A42" s="4" t="n">
        <v>41</v>
      </c>
      <c r="B42" s="4" t="n">
        <v>6</v>
      </c>
      <c r="C42" s="4" t="n">
        <v>5</v>
      </c>
      <c r="D42" s="4" t="n">
        <v>5</v>
      </c>
      <c r="E42" s="4">
        <f>IF(COUNT(B42:D42)=0,"",AVERAGE(B42:D42))</f>
        <v/>
      </c>
    </row>
    <row r="43">
      <c r="A43" s="4" t="n">
        <v>42</v>
      </c>
      <c r="B43" s="4" t="n">
        <v>5</v>
      </c>
      <c r="C43" s="4" t="n">
        <v>7</v>
      </c>
      <c r="D43" s="4" t="n">
        <v>7</v>
      </c>
      <c r="E43" s="4">
        <f>IF(COUNT(B43:D43)=0,"",AVERAGE(B43:D43))</f>
        <v/>
      </c>
    </row>
    <row r="44">
      <c r="A44" s="4" t="n">
        <v>43</v>
      </c>
      <c r="B44" s="4" t="n">
        <v>7</v>
      </c>
      <c r="C44" s="4" t="n">
        <v>7</v>
      </c>
      <c r="D44" s="4" t="n">
        <v>8</v>
      </c>
      <c r="E44" s="4">
        <f>IF(COUNT(B44:D44)=0,"",AVERAGE(B44:D44))</f>
        <v/>
      </c>
    </row>
    <row r="45">
      <c r="A45" s="4" t="n">
        <v>44</v>
      </c>
      <c r="B45" s="4" t="n">
        <v>7</v>
      </c>
      <c r="C45" s="4" t="n">
        <v>7</v>
      </c>
      <c r="D45" s="4" t="n">
        <v>7</v>
      </c>
      <c r="E45" s="4">
        <f>IF(COUNT(B45:D45)=0,"",AVERAGE(B45:D45))</f>
        <v/>
      </c>
    </row>
    <row r="46">
      <c r="A46" s="4" t="n">
        <v>45</v>
      </c>
      <c r="B46" s="4" t="n">
        <v>2</v>
      </c>
      <c r="C46" s="4" t="n">
        <v>7</v>
      </c>
      <c r="D46" s="4" t="n">
        <v>7</v>
      </c>
      <c r="E46" s="4">
        <f>IF(COUNT(B46:D46)=0,"",AVERAGE(B46:D46))</f>
        <v/>
      </c>
    </row>
    <row r="47">
      <c r="A47" s="4" t="n">
        <v>46</v>
      </c>
      <c r="B47" s="4" t="n">
        <v>6</v>
      </c>
      <c r="C47" s="4" t="n">
        <v>5</v>
      </c>
      <c r="D47" s="4" t="n">
        <v>6</v>
      </c>
      <c r="E47" s="4">
        <f>IF(COUNT(B47:D47)=0,"",AVERAGE(B47:D47))</f>
        <v/>
      </c>
    </row>
    <row r="48">
      <c r="A48" s="4" t="n">
        <v>47</v>
      </c>
      <c r="B48" s="4" t="n">
        <v>5</v>
      </c>
      <c r="C48" s="4" t="n">
        <v>6</v>
      </c>
      <c r="D48" s="4" t="n">
        <v>6</v>
      </c>
      <c r="E48" s="4">
        <f>IF(COUNT(B48:D48)=0,"",AVERAGE(B48:D48))</f>
        <v/>
      </c>
    </row>
    <row r="49">
      <c r="A49" s="4" t="n">
        <v>48</v>
      </c>
      <c r="B49" s="4" t="n">
        <v>8</v>
      </c>
      <c r="C49" s="4" t="n">
        <v>7</v>
      </c>
      <c r="D49" s="4" t="n">
        <v>9</v>
      </c>
      <c r="E49" s="4">
        <f>IF(COUNT(B49:D49)=0,"",AVERAGE(B49:D49))</f>
        <v/>
      </c>
    </row>
    <row r="50">
      <c r="A50" s="4" t="n">
        <v>49</v>
      </c>
      <c r="B50" s="4" t="n">
        <v>7</v>
      </c>
      <c r="C50" s="4" t="n">
        <v>7</v>
      </c>
      <c r="D50" s="4" t="n">
        <v>9</v>
      </c>
      <c r="E50" s="4">
        <f>IF(COUNT(B50:D50)=0,"",AVERAGE(B50:D50))</f>
        <v/>
      </c>
    </row>
    <row r="51">
      <c r="A51" s="4" t="n">
        <v>50</v>
      </c>
      <c r="B51" s="4" t="n">
        <v>9</v>
      </c>
      <c r="C51" s="4" t="n">
        <v>2</v>
      </c>
      <c r="D51" s="4" t="n">
        <v>10</v>
      </c>
      <c r="E51" s="4">
        <f>IF(COUNT(B51:D51)=0,"",AVERAGE(B51:D51))</f>
        <v/>
      </c>
    </row>
    <row r="52">
      <c r="A52" s="4" t="n">
        <v>51</v>
      </c>
      <c r="B52" s="4" t="n">
        <v>9</v>
      </c>
      <c r="C52" s="4" t="n">
        <v>8</v>
      </c>
      <c r="D52" s="4" t="n">
        <v>8</v>
      </c>
      <c r="E52" s="4">
        <f>IF(COUNT(B52:D52)=0,"",AVERAGE(B52:D52))</f>
        <v/>
      </c>
    </row>
    <row r="53">
      <c r="A53" s="4" t="n">
        <v>52</v>
      </c>
      <c r="B53" s="4" t="n">
        <v>4</v>
      </c>
      <c r="C53" s="4" t="n">
        <v>4</v>
      </c>
      <c r="D53" s="4" t="n">
        <v>6</v>
      </c>
      <c r="E53" s="4">
        <f>IF(COUNT(B53:D53)=0,"",AVERAGE(B53:D53))</f>
        <v/>
      </c>
    </row>
    <row r="54">
      <c r="A54" s="4" t="n">
        <v>53</v>
      </c>
      <c r="B54" s="4" t="n">
        <v>2</v>
      </c>
      <c r="C54" s="4" t="n">
        <v>4</v>
      </c>
      <c r="D54" s="4" t="n">
        <v>6</v>
      </c>
      <c r="E54" s="4">
        <f>IF(COUNT(B54:D54)=0,"",AVERAGE(B54:D54))</f>
        <v/>
      </c>
    </row>
    <row r="55">
      <c r="A55" s="4" t="n">
        <v>54</v>
      </c>
      <c r="B55" s="4" t="n">
        <v>2</v>
      </c>
      <c r="C55" s="4" t="n">
        <v>2</v>
      </c>
      <c r="D55" s="4" t="n">
        <v>2</v>
      </c>
      <c r="E55" s="4">
        <f>IF(COUNT(B55:D55)=0,"",AVERAGE(B55:D55))</f>
        <v/>
      </c>
    </row>
    <row r="56">
      <c r="A56" s="4" t="n">
        <v>55</v>
      </c>
      <c r="B56" s="4" t="n">
        <v>7</v>
      </c>
      <c r="C56" s="4" t="n">
        <v>7</v>
      </c>
      <c r="D56" s="4" t="n">
        <v>7</v>
      </c>
      <c r="E56" s="4">
        <f>IF(COUNT(B56:D56)=0,"",AVERAGE(B56:D56))</f>
        <v/>
      </c>
    </row>
    <row r="57">
      <c r="A57" s="4" t="n">
        <v>56</v>
      </c>
      <c r="B57" s="4" t="n">
        <v>9</v>
      </c>
      <c r="C57" s="4" t="n">
        <v>9</v>
      </c>
      <c r="D57" s="4" t="n">
        <v>10</v>
      </c>
      <c r="E57" s="4">
        <f>IF(COUNT(B57:D57)=0,"",AVERAGE(B57:D57))</f>
        <v/>
      </c>
    </row>
    <row r="58">
      <c r="A58" s="4" t="n">
        <v>57</v>
      </c>
      <c r="B58" s="4" t="n">
        <v>9</v>
      </c>
      <c r="C58" s="4" t="n">
        <v>9</v>
      </c>
      <c r="D58" s="4" t="n">
        <v>9</v>
      </c>
      <c r="E58" s="4">
        <f>IF(COUNT(B58:D58)=0,"",AVERAGE(B58:D58))</f>
        <v/>
      </c>
    </row>
    <row r="59">
      <c r="A59" s="4" t="n">
        <v>58</v>
      </c>
      <c r="B59" s="4" t="n">
        <v>4</v>
      </c>
      <c r="C59" s="4" t="n">
        <v>6</v>
      </c>
      <c r="D59" s="4" t="n">
        <v>5</v>
      </c>
      <c r="E59" s="4">
        <f>IF(COUNT(B59:D59)=0,"",AVERAGE(B59:D59))</f>
        <v/>
      </c>
    </row>
    <row r="60">
      <c r="A60" s="4" t="n">
        <v>59</v>
      </c>
      <c r="B60" s="4" t="n">
        <v>8</v>
      </c>
      <c r="C60" s="4" t="n">
        <v>4</v>
      </c>
      <c r="D60" s="4" t="n">
        <v>3</v>
      </c>
      <c r="E60" s="4">
        <f>IF(COUNT(B60:D60)=0,"",AVERAGE(B60:D60))</f>
        <v/>
      </c>
    </row>
    <row r="61">
      <c r="A61" s="4" t="n">
        <v>60</v>
      </c>
      <c r="B61" s="4" t="n">
        <v>2</v>
      </c>
      <c r="C61" s="4" t="n">
        <v>1</v>
      </c>
      <c r="D61" s="4" t="n">
        <v>1</v>
      </c>
      <c r="E61" s="4">
        <f>IF(COUNT(B61:D61)=0,"",AVERAGE(B61:D61))</f>
        <v/>
      </c>
    </row>
    <row r="62">
      <c r="A62" s="4" t="n">
        <v>61</v>
      </c>
      <c r="B62" s="4" t="n">
        <v>8</v>
      </c>
      <c r="C62" s="4" t="n">
        <v>8</v>
      </c>
      <c r="D62" s="4" t="n">
        <v>9</v>
      </c>
      <c r="E62" s="4">
        <f>IF(COUNT(B62:D62)=0,"",AVERAGE(B62:D62))</f>
        <v/>
      </c>
    </row>
    <row r="63">
      <c r="A63" s="4" t="n">
        <v>62</v>
      </c>
      <c r="B63" s="4" t="n">
        <v>10</v>
      </c>
      <c r="C63" s="4" t="n">
        <v>10</v>
      </c>
      <c r="D63" s="4" t="n">
        <v>9</v>
      </c>
      <c r="E63" s="4">
        <f>IF(COUNT(B63:D63)=0,"",AVERAGE(B63:D63))</f>
        <v/>
      </c>
    </row>
    <row r="64">
      <c r="A64" s="4" t="n">
        <v>63</v>
      </c>
      <c r="B64" s="4" t="n">
        <v>8</v>
      </c>
      <c r="C64" s="4" t="n">
        <v>8</v>
      </c>
      <c r="D64" s="4" t="n">
        <v>7</v>
      </c>
      <c r="E64" s="4">
        <f>IF(COUNT(B64:D64)=0,"",AVERAGE(B64:D64))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尉jj</dc:creator>
  <dcterms:created xsi:type="dcterms:W3CDTF">2023-05-12T11:15:00Z</dcterms:created>
  <dcterms:modified xsi:type="dcterms:W3CDTF">2026-08-27T01:35:03Z</dcterms:modified>
  <cp:lastModifiedBy>盗人心￡神話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1FDA7F6527CF43929382EDD6F06D2CE3_12</vt:lpwstr>
  </property>
  <property name="CalculationRule" fmtid="{D5CDD505-2E9C-101B-9397-08002B2CF9AE}" pid="4">
    <vt:i4>0</vt:i4>
  </property>
</Properties>
</file>